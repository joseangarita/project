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escarga\Dashboard\"/>
    </mc:Choice>
  </mc:AlternateContent>
  <xr:revisionPtr revIDLastSave="0" documentId="13_ncr:1_{CE3DA92A-29C7-4533-B026-7612446C0C1E}" xr6:coauthVersionLast="47" xr6:coauthVersionMax="47" xr10:uidLastSave="{00000000-0000-0000-0000-000000000000}"/>
  <bookViews>
    <workbookView xWindow="-120" yWindow="-120" windowWidth="20730" windowHeight="11040" xr2:uid="{CA7657D9-5CEE-452F-8A5E-EA90E67D8F33}"/>
  </bookViews>
  <sheets>
    <sheet name="Data" sheetId="1" r:id="rId1"/>
    <sheet name="Listas" sheetId="3" r:id="rId2"/>
  </sheets>
  <externalReferences>
    <externalReference r:id="rId3"/>
  </externalReferences>
  <definedNames>
    <definedName name="_xlnm._FilterDatabase" localSheetId="0" hidden="1">Data!$A$1:$AM$1500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P1500" i="1" l="1"/>
  <c r="AO1500" i="1"/>
  <c r="AN1500" i="1"/>
  <c r="AM1500" i="1"/>
  <c r="AL1500" i="1"/>
  <c r="AK1500" i="1"/>
  <c r="AJ1500" i="1"/>
  <c r="AI1500" i="1"/>
  <c r="AH1500" i="1"/>
  <c r="AG1500" i="1"/>
  <c r="AF1500" i="1"/>
  <c r="AP1499" i="1"/>
  <c r="AO1499" i="1"/>
  <c r="AN1499" i="1"/>
  <c r="AM1499" i="1"/>
  <c r="AL1499" i="1"/>
  <c r="AK1499" i="1"/>
  <c r="AJ1499" i="1"/>
  <c r="AI1499" i="1"/>
  <c r="AH1499" i="1"/>
  <c r="AG1499" i="1"/>
  <c r="AF1499" i="1"/>
  <c r="AP1498" i="1"/>
  <c r="AO1498" i="1"/>
  <c r="AN1498" i="1"/>
  <c r="AM1498" i="1"/>
  <c r="AL1498" i="1"/>
  <c r="AK1498" i="1"/>
  <c r="AJ1498" i="1"/>
  <c r="AI1498" i="1"/>
  <c r="AH1498" i="1"/>
  <c r="AG1498" i="1"/>
  <c r="AF1498" i="1"/>
  <c r="AP1497" i="1"/>
  <c r="AO1497" i="1"/>
  <c r="AN1497" i="1"/>
  <c r="AM1497" i="1"/>
  <c r="AL1497" i="1"/>
  <c r="AK1497" i="1"/>
  <c r="AJ1497" i="1"/>
  <c r="AI1497" i="1"/>
  <c r="AH1497" i="1"/>
  <c r="AG1497" i="1"/>
  <c r="AF1497" i="1"/>
  <c r="AP1496" i="1"/>
  <c r="AO1496" i="1"/>
  <c r="AN1496" i="1"/>
  <c r="AM1496" i="1"/>
  <c r="AL1496" i="1"/>
  <c r="AK1496" i="1"/>
  <c r="AJ1496" i="1"/>
  <c r="AI1496" i="1"/>
  <c r="AH1496" i="1"/>
  <c r="AG1496" i="1"/>
  <c r="AF1496" i="1"/>
  <c r="AP1495" i="1"/>
  <c r="AO1495" i="1"/>
  <c r="AN1495" i="1"/>
  <c r="AM1495" i="1"/>
  <c r="AL1495" i="1"/>
  <c r="AK1495" i="1"/>
  <c r="AJ1495" i="1"/>
  <c r="AI1495" i="1"/>
  <c r="AH1495" i="1"/>
  <c r="AG1495" i="1"/>
  <c r="AF1495" i="1"/>
  <c r="AP1494" i="1"/>
  <c r="AO1494" i="1"/>
  <c r="AN1494" i="1"/>
  <c r="AM1494" i="1"/>
  <c r="AL1494" i="1"/>
  <c r="AK1494" i="1"/>
  <c r="AJ1494" i="1"/>
  <c r="AI1494" i="1"/>
  <c r="AH1494" i="1"/>
  <c r="AG1494" i="1"/>
  <c r="AF1494" i="1"/>
  <c r="AP1493" i="1"/>
  <c r="AO1493" i="1"/>
  <c r="AN1493" i="1"/>
  <c r="AM1493" i="1"/>
  <c r="AL1493" i="1"/>
  <c r="AK1493" i="1"/>
  <c r="AJ1493" i="1"/>
  <c r="AI1493" i="1"/>
  <c r="AH1493" i="1"/>
  <c r="AG1493" i="1"/>
  <c r="AF1493" i="1"/>
  <c r="AP1492" i="1"/>
  <c r="AO1492" i="1"/>
  <c r="AN1492" i="1"/>
  <c r="AM1492" i="1"/>
  <c r="AL1492" i="1"/>
  <c r="AK1492" i="1"/>
  <c r="AJ1492" i="1"/>
  <c r="AI1492" i="1"/>
  <c r="AH1492" i="1"/>
  <c r="AG1492" i="1"/>
  <c r="AF1492" i="1"/>
  <c r="AP1491" i="1"/>
  <c r="AO1491" i="1"/>
  <c r="AN1491" i="1"/>
  <c r="AM1491" i="1"/>
  <c r="AL1491" i="1"/>
  <c r="AK1491" i="1"/>
  <c r="AJ1491" i="1"/>
  <c r="AI1491" i="1"/>
  <c r="AH1491" i="1"/>
  <c r="AG1491" i="1"/>
  <c r="AF1491" i="1"/>
  <c r="AP1490" i="1"/>
  <c r="AO1490" i="1"/>
  <c r="AN1490" i="1"/>
  <c r="AM1490" i="1"/>
  <c r="AL1490" i="1"/>
  <c r="AK1490" i="1"/>
  <c r="AJ1490" i="1"/>
  <c r="AI1490" i="1"/>
  <c r="AH1490" i="1"/>
  <c r="AG1490" i="1"/>
  <c r="AF1490" i="1"/>
  <c r="AP1489" i="1"/>
  <c r="AO1489" i="1"/>
  <c r="AN1489" i="1"/>
  <c r="AM1489" i="1"/>
  <c r="AL1489" i="1"/>
  <c r="AK1489" i="1"/>
  <c r="AJ1489" i="1"/>
  <c r="AI1489" i="1"/>
  <c r="AH1489" i="1"/>
  <c r="AG1489" i="1"/>
  <c r="AF1489" i="1"/>
  <c r="AP1488" i="1"/>
  <c r="AO1488" i="1"/>
  <c r="AN1488" i="1"/>
  <c r="AM1488" i="1"/>
  <c r="AL1488" i="1"/>
  <c r="AK1488" i="1"/>
  <c r="AJ1488" i="1"/>
  <c r="AI1488" i="1"/>
  <c r="AH1488" i="1"/>
  <c r="AG1488" i="1"/>
  <c r="AF1488" i="1"/>
  <c r="AP1487" i="1"/>
  <c r="AO1487" i="1"/>
  <c r="AN1487" i="1"/>
  <c r="AM1487" i="1"/>
  <c r="AL1487" i="1"/>
  <c r="AK1487" i="1"/>
  <c r="AJ1487" i="1"/>
  <c r="AI1487" i="1"/>
  <c r="AH1487" i="1"/>
  <c r="AG1487" i="1"/>
  <c r="AF1487" i="1"/>
  <c r="AP1486" i="1"/>
  <c r="AO1486" i="1"/>
  <c r="AN1486" i="1"/>
  <c r="AM1486" i="1"/>
  <c r="AL1486" i="1"/>
  <c r="AK1486" i="1"/>
  <c r="AJ1486" i="1"/>
  <c r="AI1486" i="1"/>
  <c r="AH1486" i="1"/>
  <c r="AG1486" i="1"/>
  <c r="AF1486" i="1"/>
  <c r="AP1485" i="1"/>
  <c r="AO1485" i="1"/>
  <c r="AN1485" i="1"/>
  <c r="AM1485" i="1"/>
  <c r="AL1485" i="1"/>
  <c r="AK1485" i="1"/>
  <c r="AJ1485" i="1"/>
  <c r="AI1485" i="1"/>
  <c r="AH1485" i="1"/>
  <c r="AG1485" i="1"/>
  <c r="AF1485" i="1"/>
  <c r="AP1484" i="1"/>
  <c r="AO1484" i="1"/>
  <c r="AN1484" i="1"/>
  <c r="AM1484" i="1"/>
  <c r="AL1484" i="1"/>
  <c r="AK1484" i="1"/>
  <c r="AJ1484" i="1"/>
  <c r="AI1484" i="1"/>
  <c r="AH1484" i="1"/>
  <c r="AG1484" i="1"/>
  <c r="AF1484" i="1"/>
  <c r="AP1483" i="1"/>
  <c r="AO1483" i="1"/>
  <c r="AN1483" i="1"/>
  <c r="AM1483" i="1"/>
  <c r="AL1483" i="1"/>
  <c r="AK1483" i="1"/>
  <c r="AJ1483" i="1"/>
  <c r="AI1483" i="1"/>
  <c r="AH1483" i="1"/>
  <c r="AG1483" i="1"/>
  <c r="AF1483" i="1"/>
  <c r="AP1482" i="1"/>
  <c r="AO1482" i="1"/>
  <c r="AN1482" i="1"/>
  <c r="AM1482" i="1"/>
  <c r="AL1482" i="1"/>
  <c r="AK1482" i="1"/>
  <c r="AJ1482" i="1"/>
  <c r="AI1482" i="1"/>
  <c r="AH1482" i="1"/>
  <c r="AG1482" i="1"/>
  <c r="AF1482" i="1"/>
  <c r="AP1481" i="1"/>
  <c r="AO1481" i="1"/>
  <c r="AN1481" i="1"/>
  <c r="AM1481" i="1"/>
  <c r="AL1481" i="1"/>
  <c r="AK1481" i="1"/>
  <c r="AJ1481" i="1"/>
  <c r="AI1481" i="1"/>
  <c r="AH1481" i="1"/>
  <c r="AG1481" i="1"/>
  <c r="AF1481" i="1"/>
  <c r="AP1480" i="1"/>
  <c r="AO1480" i="1"/>
  <c r="AN1480" i="1"/>
  <c r="AM1480" i="1"/>
  <c r="AL1480" i="1"/>
  <c r="AK1480" i="1"/>
  <c r="AJ1480" i="1"/>
  <c r="AI1480" i="1"/>
  <c r="AH1480" i="1"/>
  <c r="AG1480" i="1"/>
  <c r="AF1480" i="1"/>
  <c r="AP1479" i="1"/>
  <c r="AO1479" i="1"/>
  <c r="AN1479" i="1"/>
  <c r="AM1479" i="1"/>
  <c r="AL1479" i="1"/>
  <c r="AK1479" i="1"/>
  <c r="AJ1479" i="1"/>
  <c r="AI1479" i="1"/>
  <c r="AH1479" i="1"/>
  <c r="AG1479" i="1"/>
  <c r="AF1479" i="1"/>
  <c r="AP1478" i="1"/>
  <c r="AO1478" i="1"/>
  <c r="AN1478" i="1"/>
  <c r="AM1478" i="1"/>
  <c r="AL1478" i="1"/>
  <c r="AK1478" i="1"/>
  <c r="AJ1478" i="1"/>
  <c r="AI1478" i="1"/>
  <c r="AH1478" i="1"/>
  <c r="AG1478" i="1"/>
  <c r="AF1478" i="1"/>
  <c r="AP1477" i="1"/>
  <c r="AO1477" i="1"/>
  <c r="AN1477" i="1"/>
  <c r="AM1477" i="1"/>
  <c r="AL1477" i="1"/>
  <c r="AK1477" i="1"/>
  <c r="AJ1477" i="1"/>
  <c r="AI1477" i="1"/>
  <c r="AH1477" i="1"/>
  <c r="AG1477" i="1"/>
  <c r="AF1477" i="1"/>
  <c r="AP1476" i="1"/>
  <c r="AO1476" i="1"/>
  <c r="AN1476" i="1"/>
  <c r="AM1476" i="1"/>
  <c r="AL1476" i="1"/>
  <c r="AK1476" i="1"/>
  <c r="AJ1476" i="1"/>
  <c r="AI1476" i="1"/>
  <c r="AH1476" i="1"/>
  <c r="AG1476" i="1"/>
  <c r="AF1476" i="1"/>
  <c r="AP1475" i="1"/>
  <c r="AO1475" i="1"/>
  <c r="AN1475" i="1"/>
  <c r="AM1475" i="1"/>
  <c r="AL1475" i="1"/>
  <c r="AK1475" i="1"/>
  <c r="AJ1475" i="1"/>
  <c r="AI1475" i="1"/>
  <c r="AH1475" i="1"/>
  <c r="AG1475" i="1"/>
  <c r="AF1475" i="1"/>
  <c r="AP1474" i="1"/>
  <c r="AO1474" i="1"/>
  <c r="AN1474" i="1"/>
  <c r="AM1474" i="1"/>
  <c r="AL1474" i="1"/>
  <c r="AK1474" i="1"/>
  <c r="AJ1474" i="1"/>
  <c r="AI1474" i="1"/>
  <c r="AH1474" i="1"/>
  <c r="AG1474" i="1"/>
  <c r="AF1474" i="1"/>
  <c r="AP1473" i="1"/>
  <c r="AO1473" i="1"/>
  <c r="AN1473" i="1"/>
  <c r="AM1473" i="1"/>
  <c r="AL1473" i="1"/>
  <c r="AK1473" i="1"/>
  <c r="AJ1473" i="1"/>
  <c r="AI1473" i="1"/>
  <c r="AH1473" i="1"/>
  <c r="AG1473" i="1"/>
  <c r="AF1473" i="1"/>
  <c r="AP1472" i="1"/>
  <c r="AO1472" i="1"/>
  <c r="AN1472" i="1"/>
  <c r="AM1472" i="1"/>
  <c r="AL1472" i="1"/>
  <c r="AK1472" i="1"/>
  <c r="AJ1472" i="1"/>
  <c r="AI1472" i="1"/>
  <c r="AH1472" i="1"/>
  <c r="AG1472" i="1"/>
  <c r="AF1472" i="1"/>
  <c r="AP1471" i="1"/>
  <c r="AO1471" i="1"/>
  <c r="AN1471" i="1"/>
  <c r="AM1471" i="1"/>
  <c r="AL1471" i="1"/>
  <c r="AK1471" i="1"/>
  <c r="AJ1471" i="1"/>
  <c r="AI1471" i="1"/>
  <c r="AH1471" i="1"/>
  <c r="AG1471" i="1"/>
  <c r="AF1471" i="1"/>
  <c r="AP1470" i="1"/>
  <c r="AO1470" i="1"/>
  <c r="AN1470" i="1"/>
  <c r="AM1470" i="1"/>
  <c r="AL1470" i="1"/>
  <c r="AK1470" i="1"/>
  <c r="AJ1470" i="1"/>
  <c r="AI1470" i="1"/>
  <c r="AH1470" i="1"/>
  <c r="AG1470" i="1"/>
  <c r="AF1470" i="1"/>
  <c r="AP1469" i="1"/>
  <c r="AO1469" i="1"/>
  <c r="AN1469" i="1"/>
  <c r="AM1469" i="1"/>
  <c r="AL1469" i="1"/>
  <c r="AK1469" i="1"/>
  <c r="AJ1469" i="1"/>
  <c r="AI1469" i="1"/>
  <c r="AH1469" i="1"/>
  <c r="AG1469" i="1"/>
  <c r="AF1469" i="1"/>
  <c r="AP1468" i="1"/>
  <c r="AO1468" i="1"/>
  <c r="AN1468" i="1"/>
  <c r="AM1468" i="1"/>
  <c r="AL1468" i="1"/>
  <c r="AK1468" i="1"/>
  <c r="AJ1468" i="1"/>
  <c r="AI1468" i="1"/>
  <c r="AH1468" i="1"/>
  <c r="AG1468" i="1"/>
  <c r="AF1468" i="1"/>
  <c r="AP1467" i="1"/>
  <c r="AO1467" i="1"/>
  <c r="AN1467" i="1"/>
  <c r="AM1467" i="1"/>
  <c r="AL1467" i="1"/>
  <c r="AK1467" i="1"/>
  <c r="AJ1467" i="1"/>
  <c r="AI1467" i="1"/>
  <c r="AH1467" i="1"/>
  <c r="AG1467" i="1"/>
  <c r="AF1467" i="1"/>
  <c r="AP1466" i="1"/>
  <c r="AO1466" i="1"/>
  <c r="AN1466" i="1"/>
  <c r="AM1466" i="1"/>
  <c r="AL1466" i="1"/>
  <c r="AK1466" i="1"/>
  <c r="AJ1466" i="1"/>
  <c r="AI1466" i="1"/>
  <c r="AH1466" i="1"/>
  <c r="AG1466" i="1"/>
  <c r="AF1466" i="1"/>
  <c r="AP1465" i="1"/>
  <c r="AO1465" i="1"/>
  <c r="AN1465" i="1"/>
  <c r="AM1465" i="1"/>
  <c r="AL1465" i="1"/>
  <c r="AK1465" i="1"/>
  <c r="AJ1465" i="1"/>
  <c r="AI1465" i="1"/>
  <c r="AH1465" i="1"/>
  <c r="AG1465" i="1"/>
  <c r="AF1465" i="1"/>
  <c r="AP1464" i="1"/>
  <c r="AO1464" i="1"/>
  <c r="AN1464" i="1"/>
  <c r="AM1464" i="1"/>
  <c r="AL1464" i="1"/>
  <c r="AK1464" i="1"/>
  <c r="AJ1464" i="1"/>
  <c r="AI1464" i="1"/>
  <c r="AH1464" i="1"/>
  <c r="AG1464" i="1"/>
  <c r="AF1464" i="1"/>
  <c r="AP1463" i="1"/>
  <c r="AO1463" i="1"/>
  <c r="AN1463" i="1"/>
  <c r="AM1463" i="1"/>
  <c r="AL1463" i="1"/>
  <c r="AK1463" i="1"/>
  <c r="AJ1463" i="1"/>
  <c r="AI1463" i="1"/>
  <c r="AH1463" i="1"/>
  <c r="AG1463" i="1"/>
  <c r="AF1463" i="1"/>
  <c r="AP1462" i="1"/>
  <c r="AO1462" i="1"/>
  <c r="AN1462" i="1"/>
  <c r="AM1462" i="1"/>
  <c r="AL1462" i="1"/>
  <c r="AK1462" i="1"/>
  <c r="AJ1462" i="1"/>
  <c r="AI1462" i="1"/>
  <c r="AH1462" i="1"/>
  <c r="AG1462" i="1"/>
  <c r="AF1462" i="1"/>
  <c r="AP1461" i="1"/>
  <c r="AO1461" i="1"/>
  <c r="AN1461" i="1"/>
  <c r="AM1461" i="1"/>
  <c r="AL1461" i="1"/>
  <c r="AK1461" i="1"/>
  <c r="AJ1461" i="1"/>
  <c r="AI1461" i="1"/>
  <c r="AH1461" i="1"/>
  <c r="AG1461" i="1"/>
  <c r="AF1461" i="1"/>
  <c r="AP1460" i="1"/>
  <c r="AO1460" i="1"/>
  <c r="AN1460" i="1"/>
  <c r="AM1460" i="1"/>
  <c r="AL1460" i="1"/>
  <c r="AK1460" i="1"/>
  <c r="AJ1460" i="1"/>
  <c r="AI1460" i="1"/>
  <c r="AH1460" i="1"/>
  <c r="AG1460" i="1"/>
  <c r="AF1460" i="1"/>
  <c r="AP1459" i="1"/>
  <c r="AO1459" i="1"/>
  <c r="AN1459" i="1"/>
  <c r="AM1459" i="1"/>
  <c r="AL1459" i="1"/>
  <c r="AK1459" i="1"/>
  <c r="AJ1459" i="1"/>
  <c r="AI1459" i="1"/>
  <c r="AH1459" i="1"/>
  <c r="AG1459" i="1"/>
  <c r="AF1459" i="1"/>
  <c r="AP1458" i="1"/>
  <c r="AO1458" i="1"/>
  <c r="AN1458" i="1"/>
  <c r="AM1458" i="1"/>
  <c r="AL1458" i="1"/>
  <c r="AK1458" i="1"/>
  <c r="AJ1458" i="1"/>
  <c r="AI1458" i="1"/>
  <c r="AH1458" i="1"/>
  <c r="AG1458" i="1"/>
  <c r="AF1458" i="1"/>
  <c r="AP1457" i="1"/>
  <c r="AO1457" i="1"/>
  <c r="AN1457" i="1"/>
  <c r="AM1457" i="1"/>
  <c r="AL1457" i="1"/>
  <c r="AK1457" i="1"/>
  <c r="AJ1457" i="1"/>
  <c r="AI1457" i="1"/>
  <c r="AH1457" i="1"/>
  <c r="AG1457" i="1"/>
  <c r="AF1457" i="1"/>
  <c r="AP1456" i="1"/>
  <c r="AO1456" i="1"/>
  <c r="AN1456" i="1"/>
  <c r="AM1456" i="1"/>
  <c r="AL1456" i="1"/>
  <c r="AK1456" i="1"/>
  <c r="AJ1456" i="1"/>
  <c r="AI1456" i="1"/>
  <c r="AH1456" i="1"/>
  <c r="AG1456" i="1"/>
  <c r="AF1456" i="1"/>
  <c r="AP1455" i="1"/>
  <c r="AO1455" i="1"/>
  <c r="AN1455" i="1"/>
  <c r="AM1455" i="1"/>
  <c r="AL1455" i="1"/>
  <c r="AK1455" i="1"/>
  <c r="AJ1455" i="1"/>
  <c r="AI1455" i="1"/>
  <c r="AH1455" i="1"/>
  <c r="AG1455" i="1"/>
  <c r="AF1455" i="1"/>
  <c r="AP1454" i="1"/>
  <c r="AO1454" i="1"/>
  <c r="AN1454" i="1"/>
  <c r="AM1454" i="1"/>
  <c r="AL1454" i="1"/>
  <c r="AK1454" i="1"/>
  <c r="AJ1454" i="1"/>
  <c r="AI1454" i="1"/>
  <c r="AH1454" i="1"/>
  <c r="AG1454" i="1"/>
  <c r="AF1454" i="1"/>
  <c r="AP1453" i="1"/>
  <c r="AO1453" i="1"/>
  <c r="AN1453" i="1"/>
  <c r="AM1453" i="1"/>
  <c r="AL1453" i="1"/>
  <c r="AK1453" i="1"/>
  <c r="AJ1453" i="1"/>
  <c r="AI1453" i="1"/>
  <c r="AH1453" i="1"/>
  <c r="AG1453" i="1"/>
  <c r="AF1453" i="1"/>
  <c r="AP1452" i="1"/>
  <c r="AO1452" i="1"/>
  <c r="AN1452" i="1"/>
  <c r="AM1452" i="1"/>
  <c r="AL1452" i="1"/>
  <c r="AK1452" i="1"/>
  <c r="AJ1452" i="1"/>
  <c r="AI1452" i="1"/>
  <c r="AH1452" i="1"/>
  <c r="AG1452" i="1"/>
  <c r="AF1452" i="1"/>
  <c r="AP1451" i="1"/>
  <c r="AO1451" i="1"/>
  <c r="AN1451" i="1"/>
  <c r="AM1451" i="1"/>
  <c r="AL1451" i="1"/>
  <c r="AK1451" i="1"/>
  <c r="AJ1451" i="1"/>
  <c r="AI1451" i="1"/>
  <c r="AH1451" i="1"/>
  <c r="AG1451" i="1"/>
  <c r="AF1451" i="1"/>
  <c r="AP1450" i="1"/>
  <c r="AO1450" i="1"/>
  <c r="AN1450" i="1"/>
  <c r="AM1450" i="1"/>
  <c r="AL1450" i="1"/>
  <c r="AK1450" i="1"/>
  <c r="AJ1450" i="1"/>
  <c r="AI1450" i="1"/>
  <c r="AH1450" i="1"/>
  <c r="AG1450" i="1"/>
  <c r="AF1450" i="1"/>
  <c r="AP1449" i="1"/>
  <c r="AO1449" i="1"/>
  <c r="AN1449" i="1"/>
  <c r="AM1449" i="1"/>
  <c r="AL1449" i="1"/>
  <c r="AK1449" i="1"/>
  <c r="AJ1449" i="1"/>
  <c r="AI1449" i="1"/>
  <c r="AH1449" i="1"/>
  <c r="AG1449" i="1"/>
  <c r="AF1449" i="1"/>
  <c r="AP1448" i="1"/>
  <c r="AO1448" i="1"/>
  <c r="AN1448" i="1"/>
  <c r="AM1448" i="1"/>
  <c r="AL1448" i="1"/>
  <c r="AK1448" i="1"/>
  <c r="AJ1448" i="1"/>
  <c r="AI1448" i="1"/>
  <c r="AH1448" i="1"/>
  <c r="AG1448" i="1"/>
  <c r="AF1448" i="1"/>
  <c r="AP1447" i="1"/>
  <c r="AO1447" i="1"/>
  <c r="AN1447" i="1"/>
  <c r="AM1447" i="1"/>
  <c r="AL1447" i="1"/>
  <c r="AK1447" i="1"/>
  <c r="AJ1447" i="1"/>
  <c r="AI1447" i="1"/>
  <c r="AH1447" i="1"/>
  <c r="AG1447" i="1"/>
  <c r="AF1447" i="1"/>
  <c r="AP1446" i="1"/>
  <c r="AO1446" i="1"/>
  <c r="AN1446" i="1"/>
  <c r="AM1446" i="1"/>
  <c r="AL1446" i="1"/>
  <c r="AK1446" i="1"/>
  <c r="AJ1446" i="1"/>
  <c r="AI1446" i="1"/>
  <c r="AH1446" i="1"/>
  <c r="AG1446" i="1"/>
  <c r="AF1446" i="1"/>
  <c r="AP1445" i="1"/>
  <c r="AO1445" i="1"/>
  <c r="AN1445" i="1"/>
  <c r="AM1445" i="1"/>
  <c r="AL1445" i="1"/>
  <c r="AK1445" i="1"/>
  <c r="AJ1445" i="1"/>
  <c r="AI1445" i="1"/>
  <c r="AH1445" i="1"/>
  <c r="AG1445" i="1"/>
  <c r="AF1445" i="1"/>
  <c r="AP1444" i="1"/>
  <c r="AO1444" i="1"/>
  <c r="AN1444" i="1"/>
  <c r="AM1444" i="1"/>
  <c r="AL1444" i="1"/>
  <c r="AK1444" i="1"/>
  <c r="AJ1444" i="1"/>
  <c r="AI1444" i="1"/>
  <c r="AH1444" i="1"/>
  <c r="AG1444" i="1"/>
  <c r="AF1444" i="1"/>
  <c r="AP1443" i="1"/>
  <c r="AO1443" i="1"/>
  <c r="AN1443" i="1"/>
  <c r="AM1443" i="1"/>
  <c r="AL1443" i="1"/>
  <c r="AK1443" i="1"/>
  <c r="AJ1443" i="1"/>
  <c r="AI1443" i="1"/>
  <c r="AH1443" i="1"/>
  <c r="AG1443" i="1"/>
  <c r="AF1443" i="1"/>
  <c r="AP1442" i="1"/>
  <c r="AO1442" i="1"/>
  <c r="AN1442" i="1"/>
  <c r="AM1442" i="1"/>
  <c r="AL1442" i="1"/>
  <c r="AK1442" i="1"/>
  <c r="AJ1442" i="1"/>
  <c r="AI1442" i="1"/>
  <c r="AH1442" i="1"/>
  <c r="AG1442" i="1"/>
  <c r="AF1442" i="1"/>
  <c r="AP1441" i="1"/>
  <c r="AO1441" i="1"/>
  <c r="AN1441" i="1"/>
  <c r="AM1441" i="1"/>
  <c r="AL1441" i="1"/>
  <c r="AK1441" i="1"/>
  <c r="AJ1441" i="1"/>
  <c r="AI1441" i="1"/>
  <c r="AH1441" i="1"/>
  <c r="AG1441" i="1"/>
  <c r="AF1441" i="1"/>
  <c r="AP1440" i="1"/>
  <c r="AO1440" i="1"/>
  <c r="AN1440" i="1"/>
  <c r="AM1440" i="1"/>
  <c r="AL1440" i="1"/>
  <c r="AK1440" i="1"/>
  <c r="AJ1440" i="1"/>
  <c r="AI1440" i="1"/>
  <c r="AH1440" i="1"/>
  <c r="AG1440" i="1"/>
  <c r="AF1440" i="1"/>
  <c r="AP1439" i="1"/>
  <c r="AO1439" i="1"/>
  <c r="AN1439" i="1"/>
  <c r="AM1439" i="1"/>
  <c r="AL1439" i="1"/>
  <c r="AK1439" i="1"/>
  <c r="AJ1439" i="1"/>
  <c r="AI1439" i="1"/>
  <c r="AH1439" i="1"/>
  <c r="AG1439" i="1"/>
  <c r="AF1439" i="1"/>
  <c r="AP1438" i="1"/>
  <c r="AO1438" i="1"/>
  <c r="AN1438" i="1"/>
  <c r="AM1438" i="1"/>
  <c r="AL1438" i="1"/>
  <c r="AK1438" i="1"/>
  <c r="AJ1438" i="1"/>
  <c r="AI1438" i="1"/>
  <c r="AH1438" i="1"/>
  <c r="AG1438" i="1"/>
  <c r="AF1438" i="1"/>
  <c r="AP1437" i="1"/>
  <c r="AO1437" i="1"/>
  <c r="AN1437" i="1"/>
  <c r="AM1437" i="1"/>
  <c r="AL1437" i="1"/>
  <c r="AK1437" i="1"/>
  <c r="AJ1437" i="1"/>
  <c r="AI1437" i="1"/>
  <c r="AH1437" i="1"/>
  <c r="AG1437" i="1"/>
  <c r="AF1437" i="1"/>
  <c r="AP1436" i="1"/>
  <c r="AO1436" i="1"/>
  <c r="AN1436" i="1"/>
  <c r="AM1436" i="1"/>
  <c r="AL1436" i="1"/>
  <c r="AK1436" i="1"/>
  <c r="AJ1436" i="1"/>
  <c r="AI1436" i="1"/>
  <c r="AH1436" i="1"/>
  <c r="AG1436" i="1"/>
  <c r="AF1436" i="1"/>
  <c r="AP1435" i="1"/>
  <c r="AO1435" i="1"/>
  <c r="AN1435" i="1"/>
  <c r="AM1435" i="1"/>
  <c r="AL1435" i="1"/>
  <c r="AK1435" i="1"/>
  <c r="AJ1435" i="1"/>
  <c r="AI1435" i="1"/>
  <c r="AH1435" i="1"/>
  <c r="AG1435" i="1"/>
  <c r="AF1435" i="1"/>
  <c r="AP1434" i="1"/>
  <c r="AO1434" i="1"/>
  <c r="AN1434" i="1"/>
  <c r="AM1434" i="1"/>
  <c r="AL1434" i="1"/>
  <c r="AK1434" i="1"/>
  <c r="AJ1434" i="1"/>
  <c r="AI1434" i="1"/>
  <c r="AH1434" i="1"/>
  <c r="AG1434" i="1"/>
  <c r="AF1434" i="1"/>
  <c r="AP1433" i="1"/>
  <c r="AO1433" i="1"/>
  <c r="AN1433" i="1"/>
  <c r="AM1433" i="1"/>
  <c r="AL1433" i="1"/>
  <c r="AK1433" i="1"/>
  <c r="AJ1433" i="1"/>
  <c r="AI1433" i="1"/>
  <c r="AH1433" i="1"/>
  <c r="AG1433" i="1"/>
  <c r="AF1433" i="1"/>
  <c r="AP1432" i="1"/>
  <c r="AO1432" i="1"/>
  <c r="AN1432" i="1"/>
  <c r="AM1432" i="1"/>
  <c r="AL1432" i="1"/>
  <c r="AK1432" i="1"/>
  <c r="AJ1432" i="1"/>
  <c r="AI1432" i="1"/>
  <c r="AH1432" i="1"/>
  <c r="AG1432" i="1"/>
  <c r="AF1432" i="1"/>
  <c r="AP1431" i="1"/>
  <c r="AO1431" i="1"/>
  <c r="AN1431" i="1"/>
  <c r="AM1431" i="1"/>
  <c r="AL1431" i="1"/>
  <c r="AK1431" i="1"/>
  <c r="AJ1431" i="1"/>
  <c r="AI1431" i="1"/>
  <c r="AH1431" i="1"/>
  <c r="AG1431" i="1"/>
  <c r="AF1431" i="1"/>
  <c r="AP1430" i="1"/>
  <c r="AO1430" i="1"/>
  <c r="AN1430" i="1"/>
  <c r="AM1430" i="1"/>
  <c r="AL1430" i="1"/>
  <c r="AK1430" i="1"/>
  <c r="AJ1430" i="1"/>
  <c r="AI1430" i="1"/>
  <c r="AH1430" i="1"/>
  <c r="AG1430" i="1"/>
  <c r="AF1430" i="1"/>
  <c r="AP1429" i="1"/>
  <c r="AO1429" i="1"/>
  <c r="AN1429" i="1"/>
  <c r="AM1429" i="1"/>
  <c r="AL1429" i="1"/>
  <c r="AK1429" i="1"/>
  <c r="AJ1429" i="1"/>
  <c r="AI1429" i="1"/>
  <c r="AH1429" i="1"/>
  <c r="AG1429" i="1"/>
  <c r="AF1429" i="1"/>
  <c r="AP1428" i="1"/>
  <c r="AO1428" i="1"/>
  <c r="AN1428" i="1"/>
  <c r="AM1428" i="1"/>
  <c r="AL1428" i="1"/>
  <c r="AK1428" i="1"/>
  <c r="AJ1428" i="1"/>
  <c r="AI1428" i="1"/>
  <c r="AH1428" i="1"/>
  <c r="AG1428" i="1"/>
  <c r="AF1428" i="1"/>
  <c r="AP1427" i="1"/>
  <c r="AO1427" i="1"/>
  <c r="AN1427" i="1"/>
  <c r="AM1427" i="1"/>
  <c r="AL1427" i="1"/>
  <c r="AK1427" i="1"/>
  <c r="AJ1427" i="1"/>
  <c r="AI1427" i="1"/>
  <c r="AH1427" i="1"/>
  <c r="AG1427" i="1"/>
  <c r="AF1427" i="1"/>
  <c r="AP1426" i="1"/>
  <c r="AO1426" i="1"/>
  <c r="AN1426" i="1"/>
  <c r="AM1426" i="1"/>
  <c r="AL1426" i="1"/>
  <c r="AK1426" i="1"/>
  <c r="AJ1426" i="1"/>
  <c r="AI1426" i="1"/>
  <c r="AH1426" i="1"/>
  <c r="AG1426" i="1"/>
  <c r="AF1426" i="1"/>
  <c r="AP1425" i="1"/>
  <c r="AO1425" i="1"/>
  <c r="AN1425" i="1"/>
  <c r="AM1425" i="1"/>
  <c r="AL1425" i="1"/>
  <c r="AK1425" i="1"/>
  <c r="AJ1425" i="1"/>
  <c r="AI1425" i="1"/>
  <c r="AH1425" i="1"/>
  <c r="AG1425" i="1"/>
  <c r="AF1425" i="1"/>
  <c r="AP1424" i="1"/>
  <c r="AO1424" i="1"/>
  <c r="AN1424" i="1"/>
  <c r="AM1424" i="1"/>
  <c r="AL1424" i="1"/>
  <c r="AK1424" i="1"/>
  <c r="AJ1424" i="1"/>
  <c r="AI1424" i="1"/>
  <c r="AH1424" i="1"/>
  <c r="AG1424" i="1"/>
  <c r="AF1424" i="1"/>
  <c r="AP1423" i="1"/>
  <c r="AO1423" i="1"/>
  <c r="AN1423" i="1"/>
  <c r="AM1423" i="1"/>
  <c r="AL1423" i="1"/>
  <c r="AK1423" i="1"/>
  <c r="AJ1423" i="1"/>
  <c r="AI1423" i="1"/>
  <c r="AH1423" i="1"/>
  <c r="AG1423" i="1"/>
  <c r="AF1423" i="1"/>
  <c r="AP1422" i="1"/>
  <c r="AO1422" i="1"/>
  <c r="AN1422" i="1"/>
  <c r="AM1422" i="1"/>
  <c r="AL1422" i="1"/>
  <c r="AK1422" i="1"/>
  <c r="AJ1422" i="1"/>
  <c r="AI1422" i="1"/>
  <c r="AH1422" i="1"/>
  <c r="AG1422" i="1"/>
  <c r="AF1422" i="1"/>
  <c r="AP1421" i="1"/>
  <c r="AO1421" i="1"/>
  <c r="AN1421" i="1"/>
  <c r="AM1421" i="1"/>
  <c r="AL1421" i="1"/>
  <c r="AK1421" i="1"/>
  <c r="AJ1421" i="1"/>
  <c r="AI1421" i="1"/>
  <c r="AH1421" i="1"/>
  <c r="AG1421" i="1"/>
  <c r="AF1421" i="1"/>
  <c r="AP1420" i="1"/>
  <c r="AO1420" i="1"/>
  <c r="AN1420" i="1"/>
  <c r="AM1420" i="1"/>
  <c r="AL1420" i="1"/>
  <c r="AK1420" i="1"/>
  <c r="AJ1420" i="1"/>
  <c r="AI1420" i="1"/>
  <c r="AH1420" i="1"/>
  <c r="AG1420" i="1"/>
  <c r="AF1420" i="1"/>
  <c r="AP1419" i="1"/>
  <c r="AO1419" i="1"/>
  <c r="AN1419" i="1"/>
  <c r="AM1419" i="1"/>
  <c r="AL1419" i="1"/>
  <c r="AK1419" i="1"/>
  <c r="AJ1419" i="1"/>
  <c r="AI1419" i="1"/>
  <c r="AH1419" i="1"/>
  <c r="AG1419" i="1"/>
  <c r="AF1419" i="1"/>
  <c r="AP1418" i="1"/>
  <c r="AO1418" i="1"/>
  <c r="AN1418" i="1"/>
  <c r="AM1418" i="1"/>
  <c r="AL1418" i="1"/>
  <c r="AK1418" i="1"/>
  <c r="AJ1418" i="1"/>
  <c r="AI1418" i="1"/>
  <c r="AH1418" i="1"/>
  <c r="AG1418" i="1"/>
  <c r="AF1418" i="1"/>
  <c r="AP1417" i="1"/>
  <c r="AO1417" i="1"/>
  <c r="AN1417" i="1"/>
  <c r="AM1417" i="1"/>
  <c r="AL1417" i="1"/>
  <c r="AK1417" i="1"/>
  <c r="AJ1417" i="1"/>
  <c r="AI1417" i="1"/>
  <c r="AH1417" i="1"/>
  <c r="AG1417" i="1"/>
  <c r="AF1417" i="1"/>
  <c r="AP1416" i="1"/>
  <c r="AO1416" i="1"/>
  <c r="AN1416" i="1"/>
  <c r="AM1416" i="1"/>
  <c r="AL1416" i="1"/>
  <c r="AK1416" i="1"/>
  <c r="AJ1416" i="1"/>
  <c r="AI1416" i="1"/>
  <c r="AH1416" i="1"/>
  <c r="AG1416" i="1"/>
  <c r="AF1416" i="1"/>
  <c r="AP1415" i="1"/>
  <c r="AO1415" i="1"/>
  <c r="AN1415" i="1"/>
  <c r="AM1415" i="1"/>
  <c r="AL1415" i="1"/>
  <c r="AK1415" i="1"/>
  <c r="AJ1415" i="1"/>
  <c r="AI1415" i="1"/>
  <c r="AH1415" i="1"/>
  <c r="AG1415" i="1"/>
  <c r="AF1415" i="1"/>
  <c r="AP1414" i="1"/>
  <c r="AO1414" i="1"/>
  <c r="AN1414" i="1"/>
  <c r="AM1414" i="1"/>
  <c r="AL1414" i="1"/>
  <c r="AK1414" i="1"/>
  <c r="AJ1414" i="1"/>
  <c r="AI1414" i="1"/>
  <c r="AH1414" i="1"/>
  <c r="AG1414" i="1"/>
  <c r="AF1414" i="1"/>
  <c r="AP1413" i="1"/>
  <c r="AO1413" i="1"/>
  <c r="AN1413" i="1"/>
  <c r="AM1413" i="1"/>
  <c r="AL1413" i="1"/>
  <c r="AK1413" i="1"/>
  <c r="AJ1413" i="1"/>
  <c r="AI1413" i="1"/>
  <c r="AH1413" i="1"/>
  <c r="AG1413" i="1"/>
  <c r="AF1413" i="1"/>
  <c r="AP1412" i="1"/>
  <c r="AO1412" i="1"/>
  <c r="AN1412" i="1"/>
  <c r="AM1412" i="1"/>
  <c r="AL1412" i="1"/>
  <c r="AK1412" i="1"/>
  <c r="AJ1412" i="1"/>
  <c r="AI1412" i="1"/>
  <c r="AH1412" i="1"/>
  <c r="AG1412" i="1"/>
  <c r="AF1412" i="1"/>
  <c r="AP1411" i="1"/>
  <c r="AO1411" i="1"/>
  <c r="AN1411" i="1"/>
  <c r="AM1411" i="1"/>
  <c r="AL1411" i="1"/>
  <c r="AK1411" i="1"/>
  <c r="AJ1411" i="1"/>
  <c r="AI1411" i="1"/>
  <c r="AH1411" i="1"/>
  <c r="AG1411" i="1"/>
  <c r="AF1411" i="1"/>
  <c r="AP1410" i="1"/>
  <c r="AO1410" i="1"/>
  <c r="AN1410" i="1"/>
  <c r="AM1410" i="1"/>
  <c r="AL1410" i="1"/>
  <c r="AK1410" i="1"/>
  <c r="AJ1410" i="1"/>
  <c r="AI1410" i="1"/>
  <c r="AH1410" i="1"/>
  <c r="AG1410" i="1"/>
  <c r="AF1410" i="1"/>
  <c r="AP1409" i="1"/>
  <c r="AO1409" i="1"/>
  <c r="AN1409" i="1"/>
  <c r="AM1409" i="1"/>
  <c r="AL1409" i="1"/>
  <c r="AK1409" i="1"/>
  <c r="AJ1409" i="1"/>
  <c r="AI1409" i="1"/>
  <c r="AH1409" i="1"/>
  <c r="AG1409" i="1"/>
  <c r="AF1409" i="1"/>
  <c r="AP1408" i="1"/>
  <c r="AO1408" i="1"/>
  <c r="AN1408" i="1"/>
  <c r="AM1408" i="1"/>
  <c r="AL1408" i="1"/>
  <c r="AK1408" i="1"/>
  <c r="AJ1408" i="1"/>
  <c r="AI1408" i="1"/>
  <c r="AH1408" i="1"/>
  <c r="AG1408" i="1"/>
  <c r="AF1408" i="1"/>
  <c r="AP1407" i="1"/>
  <c r="AO1407" i="1"/>
  <c r="AN1407" i="1"/>
  <c r="AM1407" i="1"/>
  <c r="AL1407" i="1"/>
  <c r="AK1407" i="1"/>
  <c r="AJ1407" i="1"/>
  <c r="AI1407" i="1"/>
  <c r="AH1407" i="1"/>
  <c r="AG1407" i="1"/>
  <c r="AF1407" i="1"/>
  <c r="AP1406" i="1"/>
  <c r="AO1406" i="1"/>
  <c r="AN1406" i="1"/>
  <c r="AM1406" i="1"/>
  <c r="AL1406" i="1"/>
  <c r="AK1406" i="1"/>
  <c r="AJ1406" i="1"/>
  <c r="AI1406" i="1"/>
  <c r="AH1406" i="1"/>
  <c r="AG1406" i="1"/>
  <c r="AF1406" i="1"/>
  <c r="AP1405" i="1"/>
  <c r="AO1405" i="1"/>
  <c r="AN1405" i="1"/>
  <c r="AM1405" i="1"/>
  <c r="AL1405" i="1"/>
  <c r="AK1405" i="1"/>
  <c r="AJ1405" i="1"/>
  <c r="AI1405" i="1"/>
  <c r="AH1405" i="1"/>
  <c r="AG1405" i="1"/>
  <c r="AF1405" i="1"/>
  <c r="AP1404" i="1"/>
  <c r="AO1404" i="1"/>
  <c r="AN1404" i="1"/>
  <c r="AM1404" i="1"/>
  <c r="AL1404" i="1"/>
  <c r="AK1404" i="1"/>
  <c r="AJ1404" i="1"/>
  <c r="AI1404" i="1"/>
  <c r="AH1404" i="1"/>
  <c r="AG1404" i="1"/>
  <c r="AF1404" i="1"/>
  <c r="AP1403" i="1"/>
  <c r="AO1403" i="1"/>
  <c r="AN1403" i="1"/>
  <c r="AM1403" i="1"/>
  <c r="AL1403" i="1"/>
  <c r="AK1403" i="1"/>
  <c r="AJ1403" i="1"/>
  <c r="AI1403" i="1"/>
  <c r="AH1403" i="1"/>
  <c r="AG1403" i="1"/>
  <c r="AF1403" i="1"/>
  <c r="AP1402" i="1"/>
  <c r="AO1402" i="1"/>
  <c r="AN1402" i="1"/>
  <c r="AM1402" i="1"/>
  <c r="AL1402" i="1"/>
  <c r="AK1402" i="1"/>
  <c r="AJ1402" i="1"/>
  <c r="AI1402" i="1"/>
  <c r="AH1402" i="1"/>
  <c r="AG1402" i="1"/>
  <c r="AF1402" i="1"/>
  <c r="AP1401" i="1"/>
  <c r="AO1401" i="1"/>
  <c r="AN1401" i="1"/>
  <c r="AM1401" i="1"/>
  <c r="AL1401" i="1"/>
  <c r="AK1401" i="1"/>
  <c r="AJ1401" i="1"/>
  <c r="AI1401" i="1"/>
  <c r="AH1401" i="1"/>
  <c r="AG1401" i="1"/>
  <c r="AF1401" i="1"/>
  <c r="AP1400" i="1"/>
  <c r="AO1400" i="1"/>
  <c r="AN1400" i="1"/>
  <c r="AM1400" i="1"/>
  <c r="AL1400" i="1"/>
  <c r="AK1400" i="1"/>
  <c r="AJ1400" i="1"/>
  <c r="AI1400" i="1"/>
  <c r="AH1400" i="1"/>
  <c r="AG1400" i="1"/>
  <c r="AF1400" i="1"/>
  <c r="AP1399" i="1"/>
  <c r="AO1399" i="1"/>
  <c r="AN1399" i="1"/>
  <c r="AM1399" i="1"/>
  <c r="AL1399" i="1"/>
  <c r="AK1399" i="1"/>
  <c r="AJ1399" i="1"/>
  <c r="AI1399" i="1"/>
  <c r="AH1399" i="1"/>
  <c r="AG1399" i="1"/>
  <c r="AF1399" i="1"/>
  <c r="AP1398" i="1"/>
  <c r="AO1398" i="1"/>
  <c r="AN1398" i="1"/>
  <c r="AM1398" i="1"/>
  <c r="AL1398" i="1"/>
  <c r="AK1398" i="1"/>
  <c r="AJ1398" i="1"/>
  <c r="AI1398" i="1"/>
  <c r="AH1398" i="1"/>
  <c r="AG1398" i="1"/>
  <c r="AF1398" i="1"/>
  <c r="AP1397" i="1"/>
  <c r="AO1397" i="1"/>
  <c r="AN1397" i="1"/>
  <c r="AM1397" i="1"/>
  <c r="AL1397" i="1"/>
  <c r="AK1397" i="1"/>
  <c r="AJ1397" i="1"/>
  <c r="AI1397" i="1"/>
  <c r="AH1397" i="1"/>
  <c r="AG1397" i="1"/>
  <c r="AF1397" i="1"/>
  <c r="AP1396" i="1"/>
  <c r="AO1396" i="1"/>
  <c r="AN1396" i="1"/>
  <c r="AM1396" i="1"/>
  <c r="AL1396" i="1"/>
  <c r="AK1396" i="1"/>
  <c r="AJ1396" i="1"/>
  <c r="AI1396" i="1"/>
  <c r="AH1396" i="1"/>
  <c r="AG1396" i="1"/>
  <c r="AF1396" i="1"/>
  <c r="AP1395" i="1"/>
  <c r="AO1395" i="1"/>
  <c r="AN1395" i="1"/>
  <c r="AM1395" i="1"/>
  <c r="AL1395" i="1"/>
  <c r="AK1395" i="1"/>
  <c r="AJ1395" i="1"/>
  <c r="AI1395" i="1"/>
  <c r="AH1395" i="1"/>
  <c r="AG1395" i="1"/>
  <c r="AF1395" i="1"/>
  <c r="AP1394" i="1"/>
  <c r="AO1394" i="1"/>
  <c r="AN1394" i="1"/>
  <c r="AM1394" i="1"/>
  <c r="AL1394" i="1"/>
  <c r="AK1394" i="1"/>
  <c r="AJ1394" i="1"/>
  <c r="AI1394" i="1"/>
  <c r="AH1394" i="1"/>
  <c r="AG1394" i="1"/>
  <c r="AF1394" i="1"/>
  <c r="AP1393" i="1"/>
  <c r="AO1393" i="1"/>
  <c r="AN1393" i="1"/>
  <c r="AM1393" i="1"/>
  <c r="AL1393" i="1"/>
  <c r="AK1393" i="1"/>
  <c r="AJ1393" i="1"/>
  <c r="AI1393" i="1"/>
  <c r="AH1393" i="1"/>
  <c r="AG1393" i="1"/>
  <c r="AF1393" i="1"/>
  <c r="AP1392" i="1"/>
  <c r="AO1392" i="1"/>
  <c r="AN1392" i="1"/>
  <c r="AM1392" i="1"/>
  <c r="AL1392" i="1"/>
  <c r="AK1392" i="1"/>
  <c r="AJ1392" i="1"/>
  <c r="AI1392" i="1"/>
  <c r="AH1392" i="1"/>
  <c r="AG1392" i="1"/>
  <c r="AF1392" i="1"/>
  <c r="AP1391" i="1"/>
  <c r="AO1391" i="1"/>
  <c r="AN1391" i="1"/>
  <c r="AM1391" i="1"/>
  <c r="AL1391" i="1"/>
  <c r="AK1391" i="1"/>
  <c r="AJ1391" i="1"/>
  <c r="AI1391" i="1"/>
  <c r="AH1391" i="1"/>
  <c r="AG1391" i="1"/>
  <c r="AF1391" i="1"/>
  <c r="AP1390" i="1"/>
  <c r="AO1390" i="1"/>
  <c r="AN1390" i="1"/>
  <c r="AM1390" i="1"/>
  <c r="AL1390" i="1"/>
  <c r="AK1390" i="1"/>
  <c r="AJ1390" i="1"/>
  <c r="AI1390" i="1"/>
  <c r="AH1390" i="1"/>
  <c r="AG1390" i="1"/>
  <c r="AF1390" i="1"/>
  <c r="AP1389" i="1"/>
  <c r="AO1389" i="1"/>
  <c r="AN1389" i="1"/>
  <c r="AM1389" i="1"/>
  <c r="AL1389" i="1"/>
  <c r="AK1389" i="1"/>
  <c r="AJ1389" i="1"/>
  <c r="AI1389" i="1"/>
  <c r="AH1389" i="1"/>
  <c r="AG1389" i="1"/>
  <c r="AF1389" i="1"/>
  <c r="AP1388" i="1"/>
  <c r="AO1388" i="1"/>
  <c r="AN1388" i="1"/>
  <c r="AM1388" i="1"/>
  <c r="AL1388" i="1"/>
  <c r="AK1388" i="1"/>
  <c r="AJ1388" i="1"/>
  <c r="AI1388" i="1"/>
  <c r="AH1388" i="1"/>
  <c r="AG1388" i="1"/>
  <c r="AF1388" i="1"/>
  <c r="AP1387" i="1"/>
  <c r="AO1387" i="1"/>
  <c r="AN1387" i="1"/>
  <c r="AM1387" i="1"/>
  <c r="AL1387" i="1"/>
  <c r="AK1387" i="1"/>
  <c r="AJ1387" i="1"/>
  <c r="AI1387" i="1"/>
  <c r="AH1387" i="1"/>
  <c r="AG1387" i="1"/>
  <c r="AF1387" i="1"/>
  <c r="AP1386" i="1"/>
  <c r="AO1386" i="1"/>
  <c r="AN1386" i="1"/>
  <c r="AM1386" i="1"/>
  <c r="AL1386" i="1"/>
  <c r="AK1386" i="1"/>
  <c r="AJ1386" i="1"/>
  <c r="AI1386" i="1"/>
  <c r="AH1386" i="1"/>
  <c r="AG1386" i="1"/>
  <c r="AF1386" i="1"/>
  <c r="AP1385" i="1"/>
  <c r="AO1385" i="1"/>
  <c r="AN1385" i="1"/>
  <c r="AM1385" i="1"/>
  <c r="AL1385" i="1"/>
  <c r="AK1385" i="1"/>
  <c r="AJ1385" i="1"/>
  <c r="AI1385" i="1"/>
  <c r="AH1385" i="1"/>
  <c r="AG1385" i="1"/>
  <c r="AF1385" i="1"/>
  <c r="AP1384" i="1"/>
  <c r="AO1384" i="1"/>
  <c r="AN1384" i="1"/>
  <c r="AM1384" i="1"/>
  <c r="AL1384" i="1"/>
  <c r="AK1384" i="1"/>
  <c r="AJ1384" i="1"/>
  <c r="AI1384" i="1"/>
  <c r="AH1384" i="1"/>
  <c r="AG1384" i="1"/>
  <c r="AF1384" i="1"/>
  <c r="AP1383" i="1"/>
  <c r="AO1383" i="1"/>
  <c r="AN1383" i="1"/>
  <c r="AM1383" i="1"/>
  <c r="AL1383" i="1"/>
  <c r="AK1383" i="1"/>
  <c r="AJ1383" i="1"/>
  <c r="AI1383" i="1"/>
  <c r="AH1383" i="1"/>
  <c r="AG1383" i="1"/>
  <c r="AF1383" i="1"/>
  <c r="AP1382" i="1"/>
  <c r="AO1382" i="1"/>
  <c r="AN1382" i="1"/>
  <c r="AM1382" i="1"/>
  <c r="AL1382" i="1"/>
  <c r="AK1382" i="1"/>
  <c r="AJ1382" i="1"/>
  <c r="AI1382" i="1"/>
  <c r="AH1382" i="1"/>
  <c r="AG1382" i="1"/>
  <c r="AF1382" i="1"/>
  <c r="AP1381" i="1"/>
  <c r="AO1381" i="1"/>
  <c r="AN1381" i="1"/>
  <c r="AM1381" i="1"/>
  <c r="AL1381" i="1"/>
  <c r="AK1381" i="1"/>
  <c r="AJ1381" i="1"/>
  <c r="AI1381" i="1"/>
  <c r="AH1381" i="1"/>
  <c r="AG1381" i="1"/>
  <c r="AF1381" i="1"/>
  <c r="AP1380" i="1"/>
  <c r="AO1380" i="1"/>
  <c r="AN1380" i="1"/>
  <c r="AM1380" i="1"/>
  <c r="AL1380" i="1"/>
  <c r="AK1380" i="1"/>
  <c r="AJ1380" i="1"/>
  <c r="AI1380" i="1"/>
  <c r="AH1380" i="1"/>
  <c r="AG1380" i="1"/>
  <c r="AF1380" i="1"/>
  <c r="AP1379" i="1"/>
  <c r="AO1379" i="1"/>
  <c r="AN1379" i="1"/>
  <c r="AM1379" i="1"/>
  <c r="AL1379" i="1"/>
  <c r="AK1379" i="1"/>
  <c r="AJ1379" i="1"/>
  <c r="AI1379" i="1"/>
  <c r="AH1379" i="1"/>
  <c r="AG1379" i="1"/>
  <c r="AF1379" i="1"/>
  <c r="AP1378" i="1"/>
  <c r="AO1378" i="1"/>
  <c r="AN1378" i="1"/>
  <c r="AM1378" i="1"/>
  <c r="AL1378" i="1"/>
  <c r="AK1378" i="1"/>
  <c r="AJ1378" i="1"/>
  <c r="AI1378" i="1"/>
  <c r="AH1378" i="1"/>
  <c r="AG1378" i="1"/>
  <c r="AF1378" i="1"/>
  <c r="AP1377" i="1"/>
  <c r="AO1377" i="1"/>
  <c r="AN1377" i="1"/>
  <c r="AM1377" i="1"/>
  <c r="AL1377" i="1"/>
  <c r="AK1377" i="1"/>
  <c r="AJ1377" i="1"/>
  <c r="AI1377" i="1"/>
  <c r="AH1377" i="1"/>
  <c r="AG1377" i="1"/>
  <c r="AF1377" i="1"/>
  <c r="AP1376" i="1"/>
  <c r="AO1376" i="1"/>
  <c r="AN1376" i="1"/>
  <c r="AM1376" i="1"/>
  <c r="AL1376" i="1"/>
  <c r="AK1376" i="1"/>
  <c r="AJ1376" i="1"/>
  <c r="AI1376" i="1"/>
  <c r="AH1376" i="1"/>
  <c r="AG1376" i="1"/>
  <c r="AF1376" i="1"/>
  <c r="AP1375" i="1"/>
  <c r="AO1375" i="1"/>
  <c r="AN1375" i="1"/>
  <c r="AM1375" i="1"/>
  <c r="AL1375" i="1"/>
  <c r="AK1375" i="1"/>
  <c r="AJ1375" i="1"/>
  <c r="AI1375" i="1"/>
  <c r="AH1375" i="1"/>
  <c r="AG1375" i="1"/>
  <c r="AF1375" i="1"/>
  <c r="AP1374" i="1"/>
  <c r="AO1374" i="1"/>
  <c r="AN1374" i="1"/>
  <c r="AM1374" i="1"/>
  <c r="AL1374" i="1"/>
  <c r="AK1374" i="1"/>
  <c r="AJ1374" i="1"/>
  <c r="AI1374" i="1"/>
  <c r="AH1374" i="1"/>
  <c r="AG1374" i="1"/>
  <c r="AF1374" i="1"/>
  <c r="AP1373" i="1"/>
  <c r="AO1373" i="1"/>
  <c r="AN1373" i="1"/>
  <c r="AM1373" i="1"/>
  <c r="AL1373" i="1"/>
  <c r="AK1373" i="1"/>
  <c r="AJ1373" i="1"/>
  <c r="AI1373" i="1"/>
  <c r="AH1373" i="1"/>
  <c r="AG1373" i="1"/>
  <c r="AF1373" i="1"/>
  <c r="AP1372" i="1"/>
  <c r="AO1372" i="1"/>
  <c r="AN1372" i="1"/>
  <c r="AM1372" i="1"/>
  <c r="AL1372" i="1"/>
  <c r="AK1372" i="1"/>
  <c r="AJ1372" i="1"/>
  <c r="AI1372" i="1"/>
  <c r="AH1372" i="1"/>
  <c r="AG1372" i="1"/>
  <c r="AF1372" i="1"/>
  <c r="AP1371" i="1"/>
  <c r="AO1371" i="1"/>
  <c r="AN1371" i="1"/>
  <c r="AM1371" i="1"/>
  <c r="AL1371" i="1"/>
  <c r="AK1371" i="1"/>
  <c r="AJ1371" i="1"/>
  <c r="AI1371" i="1"/>
  <c r="AH1371" i="1"/>
  <c r="AG1371" i="1"/>
  <c r="AF1371" i="1"/>
  <c r="AP1370" i="1"/>
  <c r="AO1370" i="1"/>
  <c r="AN1370" i="1"/>
  <c r="AM1370" i="1"/>
  <c r="AL1370" i="1"/>
  <c r="AK1370" i="1"/>
  <c r="AJ1370" i="1"/>
  <c r="AI1370" i="1"/>
  <c r="AH1370" i="1"/>
  <c r="AG1370" i="1"/>
  <c r="AF1370" i="1"/>
  <c r="AP1369" i="1"/>
  <c r="AO1369" i="1"/>
  <c r="AN1369" i="1"/>
  <c r="AM1369" i="1"/>
  <c r="AL1369" i="1"/>
  <c r="AK1369" i="1"/>
  <c r="AJ1369" i="1"/>
  <c r="AI1369" i="1"/>
  <c r="AH1369" i="1"/>
  <c r="AG1369" i="1"/>
  <c r="AF1369" i="1"/>
  <c r="AP1368" i="1"/>
  <c r="AO1368" i="1"/>
  <c r="AN1368" i="1"/>
  <c r="AM1368" i="1"/>
  <c r="AL1368" i="1"/>
  <c r="AK1368" i="1"/>
  <c r="AJ1368" i="1"/>
  <c r="AI1368" i="1"/>
  <c r="AH1368" i="1"/>
  <c r="AG1368" i="1"/>
  <c r="AF1368" i="1"/>
  <c r="AP1367" i="1"/>
  <c r="AO1367" i="1"/>
  <c r="AN1367" i="1"/>
  <c r="AM1367" i="1"/>
  <c r="AL1367" i="1"/>
  <c r="AK1367" i="1"/>
  <c r="AJ1367" i="1"/>
  <c r="AI1367" i="1"/>
  <c r="AH1367" i="1"/>
  <c r="AG1367" i="1"/>
  <c r="AF1367" i="1"/>
  <c r="AP1366" i="1"/>
  <c r="AO1366" i="1"/>
  <c r="AN1366" i="1"/>
  <c r="AM1366" i="1"/>
  <c r="AL1366" i="1"/>
  <c r="AK1366" i="1"/>
  <c r="AJ1366" i="1"/>
  <c r="AI1366" i="1"/>
  <c r="AH1366" i="1"/>
  <c r="AG1366" i="1"/>
  <c r="AF1366" i="1"/>
  <c r="AP1365" i="1"/>
  <c r="AO1365" i="1"/>
  <c r="AN1365" i="1"/>
  <c r="AM1365" i="1"/>
  <c r="AL1365" i="1"/>
  <c r="AK1365" i="1"/>
  <c r="AJ1365" i="1"/>
  <c r="AI1365" i="1"/>
  <c r="AH1365" i="1"/>
  <c r="AG1365" i="1"/>
  <c r="AF1365" i="1"/>
  <c r="AP1364" i="1"/>
  <c r="AO1364" i="1"/>
  <c r="AN1364" i="1"/>
  <c r="AM1364" i="1"/>
  <c r="AL1364" i="1"/>
  <c r="AK1364" i="1"/>
  <c r="AJ1364" i="1"/>
  <c r="AI1364" i="1"/>
  <c r="AH1364" i="1"/>
  <c r="AG1364" i="1"/>
  <c r="AF1364" i="1"/>
  <c r="AP1363" i="1"/>
  <c r="AO1363" i="1"/>
  <c r="AN1363" i="1"/>
  <c r="AM1363" i="1"/>
  <c r="AL1363" i="1"/>
  <c r="AK1363" i="1"/>
  <c r="AJ1363" i="1"/>
  <c r="AI1363" i="1"/>
  <c r="AH1363" i="1"/>
  <c r="AG1363" i="1"/>
  <c r="AF1363" i="1"/>
  <c r="AP1362" i="1"/>
  <c r="AO1362" i="1"/>
  <c r="AN1362" i="1"/>
  <c r="AM1362" i="1"/>
  <c r="AL1362" i="1"/>
  <c r="AK1362" i="1"/>
  <c r="AJ1362" i="1"/>
  <c r="AI1362" i="1"/>
  <c r="AH1362" i="1"/>
  <c r="AG1362" i="1"/>
  <c r="AF1362" i="1"/>
  <c r="AP1361" i="1"/>
  <c r="AO1361" i="1"/>
  <c r="AN1361" i="1"/>
  <c r="AM1361" i="1"/>
  <c r="AL1361" i="1"/>
  <c r="AK1361" i="1"/>
  <c r="AJ1361" i="1"/>
  <c r="AI1361" i="1"/>
  <c r="AH1361" i="1"/>
  <c r="AG1361" i="1"/>
  <c r="AF1361" i="1"/>
  <c r="AP1360" i="1"/>
  <c r="AO1360" i="1"/>
  <c r="AN1360" i="1"/>
  <c r="AM1360" i="1"/>
  <c r="AL1360" i="1"/>
  <c r="AK1360" i="1"/>
  <c r="AJ1360" i="1"/>
  <c r="AI1360" i="1"/>
  <c r="AH1360" i="1"/>
  <c r="AG1360" i="1"/>
  <c r="AF1360" i="1"/>
  <c r="AP1359" i="1"/>
  <c r="AO1359" i="1"/>
  <c r="AN1359" i="1"/>
  <c r="AM1359" i="1"/>
  <c r="AL1359" i="1"/>
  <c r="AK1359" i="1"/>
  <c r="AJ1359" i="1"/>
  <c r="AI1359" i="1"/>
  <c r="AH1359" i="1"/>
  <c r="AG1359" i="1"/>
  <c r="AF1359" i="1"/>
  <c r="AP1358" i="1"/>
  <c r="AO1358" i="1"/>
  <c r="AN1358" i="1"/>
  <c r="AM1358" i="1"/>
  <c r="AL1358" i="1"/>
  <c r="AK1358" i="1"/>
  <c r="AJ1358" i="1"/>
  <c r="AI1358" i="1"/>
  <c r="AH1358" i="1"/>
  <c r="AG1358" i="1"/>
  <c r="AF1358" i="1"/>
  <c r="AP1357" i="1"/>
  <c r="AO1357" i="1"/>
  <c r="AN1357" i="1"/>
  <c r="AM1357" i="1"/>
  <c r="AL1357" i="1"/>
  <c r="AK1357" i="1"/>
  <c r="AJ1357" i="1"/>
  <c r="AI1357" i="1"/>
  <c r="AH1357" i="1"/>
  <c r="AG1357" i="1"/>
  <c r="AF1357" i="1"/>
  <c r="AP1356" i="1"/>
  <c r="AO1356" i="1"/>
  <c r="AN1356" i="1"/>
  <c r="AM1356" i="1"/>
  <c r="AL1356" i="1"/>
  <c r="AK1356" i="1"/>
  <c r="AJ1356" i="1"/>
  <c r="AI1356" i="1"/>
  <c r="AH1356" i="1"/>
  <c r="AG1356" i="1"/>
  <c r="AF1356" i="1"/>
  <c r="AP1355" i="1"/>
  <c r="AO1355" i="1"/>
  <c r="AN1355" i="1"/>
  <c r="AM1355" i="1"/>
  <c r="AL1355" i="1"/>
  <c r="AK1355" i="1"/>
  <c r="AJ1355" i="1"/>
  <c r="AI1355" i="1"/>
  <c r="AH1355" i="1"/>
  <c r="AG1355" i="1"/>
  <c r="AF1355" i="1"/>
  <c r="AP1354" i="1"/>
  <c r="AO1354" i="1"/>
  <c r="AN1354" i="1"/>
  <c r="AM1354" i="1"/>
  <c r="AL1354" i="1"/>
  <c r="AK1354" i="1"/>
  <c r="AJ1354" i="1"/>
  <c r="AI1354" i="1"/>
  <c r="AH1354" i="1"/>
  <c r="AG1354" i="1"/>
  <c r="AF1354" i="1"/>
  <c r="AP1353" i="1"/>
  <c r="AO1353" i="1"/>
  <c r="AN1353" i="1"/>
  <c r="AM1353" i="1"/>
  <c r="AL1353" i="1"/>
  <c r="AK1353" i="1"/>
  <c r="AJ1353" i="1"/>
  <c r="AI1353" i="1"/>
  <c r="AH1353" i="1"/>
  <c r="AG1353" i="1"/>
  <c r="AF1353" i="1"/>
  <c r="AP1352" i="1"/>
  <c r="AO1352" i="1"/>
  <c r="AN1352" i="1"/>
  <c r="AM1352" i="1"/>
  <c r="AL1352" i="1"/>
  <c r="AK1352" i="1"/>
  <c r="AJ1352" i="1"/>
  <c r="AI1352" i="1"/>
  <c r="AH1352" i="1"/>
  <c r="AG1352" i="1"/>
  <c r="AF1352" i="1"/>
  <c r="AP1351" i="1"/>
  <c r="AO1351" i="1"/>
  <c r="AN1351" i="1"/>
  <c r="AM1351" i="1"/>
  <c r="AL1351" i="1"/>
  <c r="AK1351" i="1"/>
  <c r="AJ1351" i="1"/>
  <c r="AI1351" i="1"/>
  <c r="AH1351" i="1"/>
  <c r="AG1351" i="1"/>
  <c r="AF1351" i="1"/>
  <c r="AP1350" i="1"/>
  <c r="AO1350" i="1"/>
  <c r="AN1350" i="1"/>
  <c r="AM1350" i="1"/>
  <c r="AL1350" i="1"/>
  <c r="AK1350" i="1"/>
  <c r="AJ1350" i="1"/>
  <c r="AI1350" i="1"/>
  <c r="AH1350" i="1"/>
  <c r="AG1350" i="1"/>
  <c r="AF1350" i="1"/>
  <c r="AP1349" i="1"/>
  <c r="AO1349" i="1"/>
  <c r="AN1349" i="1"/>
  <c r="AM1349" i="1"/>
  <c r="AL1349" i="1"/>
  <c r="AK1349" i="1"/>
  <c r="AJ1349" i="1"/>
  <c r="AI1349" i="1"/>
  <c r="AH1349" i="1"/>
  <c r="AG1349" i="1"/>
  <c r="AF1349" i="1"/>
  <c r="AP1348" i="1"/>
  <c r="AO1348" i="1"/>
  <c r="AN1348" i="1"/>
  <c r="AM1348" i="1"/>
  <c r="AL1348" i="1"/>
  <c r="AK1348" i="1"/>
  <c r="AJ1348" i="1"/>
  <c r="AI1348" i="1"/>
  <c r="AH1348" i="1"/>
  <c r="AG1348" i="1"/>
  <c r="AF1348" i="1"/>
  <c r="AP1347" i="1"/>
  <c r="AO1347" i="1"/>
  <c r="AN1347" i="1"/>
  <c r="AM1347" i="1"/>
  <c r="AL1347" i="1"/>
  <c r="AK1347" i="1"/>
  <c r="AJ1347" i="1"/>
  <c r="AI1347" i="1"/>
  <c r="AH1347" i="1"/>
  <c r="AG1347" i="1"/>
  <c r="AF1347" i="1"/>
  <c r="AP1346" i="1"/>
  <c r="AO1346" i="1"/>
  <c r="AN1346" i="1"/>
  <c r="AM1346" i="1"/>
  <c r="AL1346" i="1"/>
  <c r="AK1346" i="1"/>
  <c r="AJ1346" i="1"/>
  <c r="AI1346" i="1"/>
  <c r="AH1346" i="1"/>
  <c r="AG1346" i="1"/>
  <c r="AF1346" i="1"/>
  <c r="AP1345" i="1"/>
  <c r="AO1345" i="1"/>
  <c r="AN1345" i="1"/>
  <c r="AM1345" i="1"/>
  <c r="AL1345" i="1"/>
  <c r="AK1345" i="1"/>
  <c r="AJ1345" i="1"/>
  <c r="AI1345" i="1"/>
  <c r="AH1345" i="1"/>
  <c r="AG1345" i="1"/>
  <c r="AF1345" i="1"/>
  <c r="AP1344" i="1"/>
  <c r="AO1344" i="1"/>
  <c r="AN1344" i="1"/>
  <c r="AM1344" i="1"/>
  <c r="AL1344" i="1"/>
  <c r="AK1344" i="1"/>
  <c r="AJ1344" i="1"/>
  <c r="AI1344" i="1"/>
  <c r="AH1344" i="1"/>
  <c r="AG1344" i="1"/>
  <c r="AF1344" i="1"/>
  <c r="AP1343" i="1"/>
  <c r="AO1343" i="1"/>
  <c r="AN1343" i="1"/>
  <c r="AM1343" i="1"/>
  <c r="AL1343" i="1"/>
  <c r="AK1343" i="1"/>
  <c r="AJ1343" i="1"/>
  <c r="AI1343" i="1"/>
  <c r="AH1343" i="1"/>
  <c r="AG1343" i="1"/>
  <c r="AF1343" i="1"/>
  <c r="AP1342" i="1"/>
  <c r="AO1342" i="1"/>
  <c r="AN1342" i="1"/>
  <c r="AM1342" i="1"/>
  <c r="AL1342" i="1"/>
  <c r="AK1342" i="1"/>
  <c r="AJ1342" i="1"/>
  <c r="AI1342" i="1"/>
  <c r="AH1342" i="1"/>
  <c r="AG1342" i="1"/>
  <c r="AF1342" i="1"/>
  <c r="AP1341" i="1"/>
  <c r="AO1341" i="1"/>
  <c r="AN1341" i="1"/>
  <c r="AM1341" i="1"/>
  <c r="AL1341" i="1"/>
  <c r="AK1341" i="1"/>
  <c r="AJ1341" i="1"/>
  <c r="AI1341" i="1"/>
  <c r="AH1341" i="1"/>
  <c r="AG1341" i="1"/>
  <c r="AF1341" i="1"/>
  <c r="AP1340" i="1"/>
  <c r="AO1340" i="1"/>
  <c r="AN1340" i="1"/>
  <c r="AM1340" i="1"/>
  <c r="AL1340" i="1"/>
  <c r="AK1340" i="1"/>
  <c r="AJ1340" i="1"/>
  <c r="AI1340" i="1"/>
  <c r="AH1340" i="1"/>
  <c r="AG1340" i="1"/>
  <c r="AF1340" i="1"/>
  <c r="AP1339" i="1"/>
  <c r="AO1339" i="1"/>
  <c r="AN1339" i="1"/>
  <c r="AM1339" i="1"/>
  <c r="AL1339" i="1"/>
  <c r="AK1339" i="1"/>
  <c r="AJ1339" i="1"/>
  <c r="AI1339" i="1"/>
  <c r="AH1339" i="1"/>
  <c r="AG1339" i="1"/>
  <c r="AF1339" i="1"/>
  <c r="AP1338" i="1"/>
  <c r="AO1338" i="1"/>
  <c r="AN1338" i="1"/>
  <c r="AM1338" i="1"/>
  <c r="AL1338" i="1"/>
  <c r="AK1338" i="1"/>
  <c r="AJ1338" i="1"/>
  <c r="AI1338" i="1"/>
  <c r="AH1338" i="1"/>
  <c r="AG1338" i="1"/>
  <c r="AF1338" i="1"/>
  <c r="AP1337" i="1"/>
  <c r="AO1337" i="1"/>
  <c r="AN1337" i="1"/>
  <c r="AM1337" i="1"/>
  <c r="AL1337" i="1"/>
  <c r="AK1337" i="1"/>
  <c r="AJ1337" i="1"/>
  <c r="AI1337" i="1"/>
  <c r="AH1337" i="1"/>
  <c r="AG1337" i="1"/>
  <c r="AF1337" i="1"/>
  <c r="AP1336" i="1"/>
  <c r="AO1336" i="1"/>
  <c r="AN1336" i="1"/>
  <c r="AM1336" i="1"/>
  <c r="AL1336" i="1"/>
  <c r="AK1336" i="1"/>
  <c r="AJ1336" i="1"/>
  <c r="AI1336" i="1"/>
  <c r="AH1336" i="1"/>
  <c r="AG1336" i="1"/>
  <c r="AF1336" i="1"/>
  <c r="AP1335" i="1"/>
  <c r="AO1335" i="1"/>
  <c r="AN1335" i="1"/>
  <c r="AM1335" i="1"/>
  <c r="AL1335" i="1"/>
  <c r="AK1335" i="1"/>
  <c r="AJ1335" i="1"/>
  <c r="AI1335" i="1"/>
  <c r="AH1335" i="1"/>
  <c r="AG1335" i="1"/>
  <c r="AF1335" i="1"/>
  <c r="AP1334" i="1"/>
  <c r="AO1334" i="1"/>
  <c r="AN1334" i="1"/>
  <c r="AM1334" i="1"/>
  <c r="AL1334" i="1"/>
  <c r="AK1334" i="1"/>
  <c r="AJ1334" i="1"/>
  <c r="AI1334" i="1"/>
  <c r="AH1334" i="1"/>
  <c r="AG1334" i="1"/>
  <c r="AF1334" i="1"/>
  <c r="AP1333" i="1"/>
  <c r="AO1333" i="1"/>
  <c r="AN1333" i="1"/>
  <c r="AM1333" i="1"/>
  <c r="AL1333" i="1"/>
  <c r="AK1333" i="1"/>
  <c r="AJ1333" i="1"/>
  <c r="AI1333" i="1"/>
  <c r="AH1333" i="1"/>
  <c r="AG1333" i="1"/>
  <c r="AF1333" i="1"/>
  <c r="AP1332" i="1"/>
  <c r="AO1332" i="1"/>
  <c r="AN1332" i="1"/>
  <c r="AM1332" i="1"/>
  <c r="AL1332" i="1"/>
  <c r="AK1332" i="1"/>
  <c r="AJ1332" i="1"/>
  <c r="AI1332" i="1"/>
  <c r="AH1332" i="1"/>
  <c r="AG1332" i="1"/>
  <c r="AF1332" i="1"/>
  <c r="AP1331" i="1"/>
  <c r="AO1331" i="1"/>
  <c r="AN1331" i="1"/>
  <c r="AM1331" i="1"/>
  <c r="AL1331" i="1"/>
  <c r="AK1331" i="1"/>
  <c r="AJ1331" i="1"/>
  <c r="AI1331" i="1"/>
  <c r="AH1331" i="1"/>
  <c r="AG1331" i="1"/>
  <c r="AF1331" i="1"/>
  <c r="AP1330" i="1"/>
  <c r="AO1330" i="1"/>
  <c r="AN1330" i="1"/>
  <c r="AM1330" i="1"/>
  <c r="AL1330" i="1"/>
  <c r="AK1330" i="1"/>
  <c r="AJ1330" i="1"/>
  <c r="AI1330" i="1"/>
  <c r="AH1330" i="1"/>
  <c r="AG1330" i="1"/>
  <c r="AF1330" i="1"/>
  <c r="AP1329" i="1"/>
  <c r="AO1329" i="1"/>
  <c r="AN1329" i="1"/>
  <c r="AM1329" i="1"/>
  <c r="AL1329" i="1"/>
  <c r="AK1329" i="1"/>
  <c r="AJ1329" i="1"/>
  <c r="AI1329" i="1"/>
  <c r="AH1329" i="1"/>
  <c r="AG1329" i="1"/>
  <c r="AF1329" i="1"/>
  <c r="AP1328" i="1"/>
  <c r="AO1328" i="1"/>
  <c r="AN1328" i="1"/>
  <c r="AM1328" i="1"/>
  <c r="AL1328" i="1"/>
  <c r="AK1328" i="1"/>
  <c r="AJ1328" i="1"/>
  <c r="AI1328" i="1"/>
  <c r="AH1328" i="1"/>
  <c r="AG1328" i="1"/>
  <c r="AF1328" i="1"/>
  <c r="AP1327" i="1"/>
  <c r="AO1327" i="1"/>
  <c r="AN1327" i="1"/>
  <c r="AM1327" i="1"/>
  <c r="AL1327" i="1"/>
  <c r="AK1327" i="1"/>
  <c r="AJ1327" i="1"/>
  <c r="AI1327" i="1"/>
  <c r="AH1327" i="1"/>
  <c r="AG1327" i="1"/>
  <c r="AF1327" i="1"/>
  <c r="AP1326" i="1"/>
  <c r="AO1326" i="1"/>
  <c r="AN1326" i="1"/>
  <c r="AM1326" i="1"/>
  <c r="AL1326" i="1"/>
  <c r="AK1326" i="1"/>
  <c r="AJ1326" i="1"/>
  <c r="AI1326" i="1"/>
  <c r="AH1326" i="1"/>
  <c r="AG1326" i="1"/>
  <c r="AF1326" i="1"/>
  <c r="AP1325" i="1"/>
  <c r="AO1325" i="1"/>
  <c r="AN1325" i="1"/>
  <c r="AM1325" i="1"/>
  <c r="AL1325" i="1"/>
  <c r="AK1325" i="1"/>
  <c r="AJ1325" i="1"/>
  <c r="AI1325" i="1"/>
  <c r="AH1325" i="1"/>
  <c r="AG1325" i="1"/>
  <c r="AF1325" i="1"/>
  <c r="AP1324" i="1"/>
  <c r="AO1324" i="1"/>
  <c r="AN1324" i="1"/>
  <c r="AM1324" i="1"/>
  <c r="AL1324" i="1"/>
  <c r="AK1324" i="1"/>
  <c r="AJ1324" i="1"/>
  <c r="AI1324" i="1"/>
  <c r="AH1324" i="1"/>
  <c r="AG1324" i="1"/>
  <c r="AF1324" i="1"/>
  <c r="AP1323" i="1"/>
  <c r="AO1323" i="1"/>
  <c r="AN1323" i="1"/>
  <c r="AM1323" i="1"/>
  <c r="AL1323" i="1"/>
  <c r="AK1323" i="1"/>
  <c r="AJ1323" i="1"/>
  <c r="AI1323" i="1"/>
  <c r="AH1323" i="1"/>
  <c r="AG1323" i="1"/>
  <c r="AF1323" i="1"/>
  <c r="AP1322" i="1"/>
  <c r="AO1322" i="1"/>
  <c r="AN1322" i="1"/>
  <c r="AM1322" i="1"/>
  <c r="AL1322" i="1"/>
  <c r="AK1322" i="1"/>
  <c r="AJ1322" i="1"/>
  <c r="AI1322" i="1"/>
  <c r="AH1322" i="1"/>
  <c r="AG1322" i="1"/>
  <c r="AF1322" i="1"/>
  <c r="AP1321" i="1"/>
  <c r="AO1321" i="1"/>
  <c r="AN1321" i="1"/>
  <c r="AM1321" i="1"/>
  <c r="AL1321" i="1"/>
  <c r="AK1321" i="1"/>
  <c r="AJ1321" i="1"/>
  <c r="AI1321" i="1"/>
  <c r="AH1321" i="1"/>
  <c r="AG1321" i="1"/>
  <c r="AF1321" i="1"/>
  <c r="AP1320" i="1"/>
  <c r="AO1320" i="1"/>
  <c r="AN1320" i="1"/>
  <c r="AM1320" i="1"/>
  <c r="AL1320" i="1"/>
  <c r="AK1320" i="1"/>
  <c r="AJ1320" i="1"/>
  <c r="AI1320" i="1"/>
  <c r="AH1320" i="1"/>
  <c r="AG1320" i="1"/>
  <c r="AF1320" i="1"/>
  <c r="AP1319" i="1"/>
  <c r="AO1319" i="1"/>
  <c r="AN1319" i="1"/>
  <c r="AM1319" i="1"/>
  <c r="AL1319" i="1"/>
  <c r="AK1319" i="1"/>
  <c r="AJ1319" i="1"/>
  <c r="AI1319" i="1"/>
  <c r="AH1319" i="1"/>
  <c r="AG1319" i="1"/>
  <c r="AF1319" i="1"/>
  <c r="AP1318" i="1"/>
  <c r="AO1318" i="1"/>
  <c r="AN1318" i="1"/>
  <c r="AM1318" i="1"/>
  <c r="AL1318" i="1"/>
  <c r="AK1318" i="1"/>
  <c r="AJ1318" i="1"/>
  <c r="AI1318" i="1"/>
  <c r="AH1318" i="1"/>
  <c r="AG1318" i="1"/>
  <c r="AF1318" i="1"/>
  <c r="AP1317" i="1"/>
  <c r="AO1317" i="1"/>
  <c r="AN1317" i="1"/>
  <c r="AM1317" i="1"/>
  <c r="AL1317" i="1"/>
  <c r="AK1317" i="1"/>
  <c r="AJ1317" i="1"/>
  <c r="AI1317" i="1"/>
  <c r="AH1317" i="1"/>
  <c r="AG1317" i="1"/>
  <c r="AF1317" i="1"/>
  <c r="AP1316" i="1"/>
  <c r="AO1316" i="1"/>
  <c r="AN1316" i="1"/>
  <c r="AM1316" i="1"/>
  <c r="AL1316" i="1"/>
  <c r="AK1316" i="1"/>
  <c r="AJ1316" i="1"/>
  <c r="AI1316" i="1"/>
  <c r="AH1316" i="1"/>
  <c r="AG1316" i="1"/>
  <c r="AF1316" i="1"/>
  <c r="AP1315" i="1"/>
  <c r="AO1315" i="1"/>
  <c r="AN1315" i="1"/>
  <c r="AM1315" i="1"/>
  <c r="AL1315" i="1"/>
  <c r="AK1315" i="1"/>
  <c r="AJ1315" i="1"/>
  <c r="AI1315" i="1"/>
  <c r="AH1315" i="1"/>
  <c r="AG1315" i="1"/>
  <c r="AF1315" i="1"/>
  <c r="AP1314" i="1"/>
  <c r="AO1314" i="1"/>
  <c r="AN1314" i="1"/>
  <c r="AM1314" i="1"/>
  <c r="AL1314" i="1"/>
  <c r="AK1314" i="1"/>
  <c r="AJ1314" i="1"/>
  <c r="AI1314" i="1"/>
  <c r="AH1314" i="1"/>
  <c r="AG1314" i="1"/>
  <c r="AF1314" i="1"/>
  <c r="AP1313" i="1"/>
  <c r="AO1313" i="1"/>
  <c r="AN1313" i="1"/>
  <c r="AM1313" i="1"/>
  <c r="AL1313" i="1"/>
  <c r="AK1313" i="1"/>
  <c r="AJ1313" i="1"/>
  <c r="AI1313" i="1"/>
  <c r="AH1313" i="1"/>
  <c r="AG1313" i="1"/>
  <c r="AF1313" i="1"/>
  <c r="AP1312" i="1"/>
  <c r="AO1312" i="1"/>
  <c r="AN1312" i="1"/>
  <c r="AM1312" i="1"/>
  <c r="AL1312" i="1"/>
  <c r="AK1312" i="1"/>
  <c r="AJ1312" i="1"/>
  <c r="AI1312" i="1"/>
  <c r="AH1312" i="1"/>
  <c r="AG1312" i="1"/>
  <c r="AF1312" i="1"/>
  <c r="AP1311" i="1"/>
  <c r="AO1311" i="1"/>
  <c r="AN1311" i="1"/>
  <c r="AM1311" i="1"/>
  <c r="AL1311" i="1"/>
  <c r="AK1311" i="1"/>
  <c r="AJ1311" i="1"/>
  <c r="AI1311" i="1"/>
  <c r="AH1311" i="1"/>
  <c r="AG1311" i="1"/>
  <c r="AF1311" i="1"/>
  <c r="AP1310" i="1"/>
  <c r="AO1310" i="1"/>
  <c r="AN1310" i="1"/>
  <c r="AM1310" i="1"/>
  <c r="AL1310" i="1"/>
  <c r="AK1310" i="1"/>
  <c r="AJ1310" i="1"/>
  <c r="AI1310" i="1"/>
  <c r="AH1310" i="1"/>
  <c r="AG1310" i="1"/>
  <c r="AF1310" i="1"/>
  <c r="AP1309" i="1"/>
  <c r="AO1309" i="1"/>
  <c r="AN1309" i="1"/>
  <c r="AM1309" i="1"/>
  <c r="AL1309" i="1"/>
  <c r="AK1309" i="1"/>
  <c r="AJ1309" i="1"/>
  <c r="AI1309" i="1"/>
  <c r="AH1309" i="1"/>
  <c r="AG1309" i="1"/>
  <c r="AF1309" i="1"/>
  <c r="AP1308" i="1"/>
  <c r="AO1308" i="1"/>
  <c r="AN1308" i="1"/>
  <c r="AM1308" i="1"/>
  <c r="AL1308" i="1"/>
  <c r="AK1308" i="1"/>
  <c r="AJ1308" i="1"/>
  <c r="AI1308" i="1"/>
  <c r="AH1308" i="1"/>
  <c r="AG1308" i="1"/>
  <c r="AF1308" i="1"/>
  <c r="AP1307" i="1"/>
  <c r="AO1307" i="1"/>
  <c r="AN1307" i="1"/>
  <c r="AM1307" i="1"/>
  <c r="AL1307" i="1"/>
  <c r="AK1307" i="1"/>
  <c r="AJ1307" i="1"/>
  <c r="AI1307" i="1"/>
  <c r="AH1307" i="1"/>
  <c r="AG1307" i="1"/>
  <c r="AF1307" i="1"/>
  <c r="AP1306" i="1"/>
  <c r="AO1306" i="1"/>
  <c r="AN1306" i="1"/>
  <c r="AM1306" i="1"/>
  <c r="AL1306" i="1"/>
  <c r="AK1306" i="1"/>
  <c r="AJ1306" i="1"/>
  <c r="AI1306" i="1"/>
  <c r="AH1306" i="1"/>
  <c r="AG1306" i="1"/>
  <c r="AF1306" i="1"/>
  <c r="AP1305" i="1"/>
  <c r="AO1305" i="1"/>
  <c r="AN1305" i="1"/>
  <c r="AM1305" i="1"/>
  <c r="AL1305" i="1"/>
  <c r="AK1305" i="1"/>
  <c r="AJ1305" i="1"/>
  <c r="AI1305" i="1"/>
  <c r="AH1305" i="1"/>
  <c r="AG1305" i="1"/>
  <c r="AF1305" i="1"/>
  <c r="AP1304" i="1"/>
  <c r="AO1304" i="1"/>
  <c r="AN1304" i="1"/>
  <c r="AM1304" i="1"/>
  <c r="AL1304" i="1"/>
  <c r="AK1304" i="1"/>
  <c r="AJ1304" i="1"/>
  <c r="AI1304" i="1"/>
  <c r="AH1304" i="1"/>
  <c r="AG1304" i="1"/>
  <c r="AF1304" i="1"/>
  <c r="AP1303" i="1"/>
  <c r="AO1303" i="1"/>
  <c r="AN1303" i="1"/>
  <c r="AM1303" i="1"/>
  <c r="AL1303" i="1"/>
  <c r="AK1303" i="1"/>
  <c r="AJ1303" i="1"/>
  <c r="AI1303" i="1"/>
  <c r="AH1303" i="1"/>
  <c r="AG1303" i="1"/>
  <c r="AF1303" i="1"/>
  <c r="AP1302" i="1"/>
  <c r="AO1302" i="1"/>
  <c r="AN1302" i="1"/>
  <c r="AM1302" i="1"/>
  <c r="AL1302" i="1"/>
  <c r="AK1302" i="1"/>
  <c r="AJ1302" i="1"/>
  <c r="AI1302" i="1"/>
  <c r="AH1302" i="1"/>
  <c r="AG1302" i="1"/>
  <c r="AF1302" i="1"/>
  <c r="AP1301" i="1"/>
  <c r="AO1301" i="1"/>
  <c r="AN1301" i="1"/>
  <c r="AM1301" i="1"/>
  <c r="AL1301" i="1"/>
  <c r="AK1301" i="1"/>
  <c r="AJ1301" i="1"/>
  <c r="AI1301" i="1"/>
  <c r="AH1301" i="1"/>
  <c r="AG1301" i="1"/>
  <c r="AF1301" i="1"/>
  <c r="AP1300" i="1"/>
  <c r="AO1300" i="1"/>
  <c r="AN1300" i="1"/>
  <c r="AM1300" i="1"/>
  <c r="AL1300" i="1"/>
  <c r="AK1300" i="1"/>
  <c r="AJ1300" i="1"/>
  <c r="AI1300" i="1"/>
  <c r="AH1300" i="1"/>
  <c r="AG1300" i="1"/>
  <c r="AF1300" i="1"/>
  <c r="AP1299" i="1"/>
  <c r="AO1299" i="1"/>
  <c r="AN1299" i="1"/>
  <c r="AM1299" i="1"/>
  <c r="AL1299" i="1"/>
  <c r="AK1299" i="1"/>
  <c r="AJ1299" i="1"/>
  <c r="AI1299" i="1"/>
  <c r="AH1299" i="1"/>
  <c r="AG1299" i="1"/>
  <c r="AF1299" i="1"/>
  <c r="AP1298" i="1"/>
  <c r="AO1298" i="1"/>
  <c r="AN1298" i="1"/>
  <c r="AM1298" i="1"/>
  <c r="AL1298" i="1"/>
  <c r="AK1298" i="1"/>
  <c r="AJ1298" i="1"/>
  <c r="AI1298" i="1"/>
  <c r="AH1298" i="1"/>
  <c r="AG1298" i="1"/>
  <c r="AF1298" i="1"/>
  <c r="AP1297" i="1"/>
  <c r="AO1297" i="1"/>
  <c r="AN1297" i="1"/>
  <c r="AM1297" i="1"/>
  <c r="AL1297" i="1"/>
  <c r="AK1297" i="1"/>
  <c r="AJ1297" i="1"/>
  <c r="AI1297" i="1"/>
  <c r="AH1297" i="1"/>
  <c r="AG1297" i="1"/>
  <c r="AF1297" i="1"/>
  <c r="AP1296" i="1"/>
  <c r="AO1296" i="1"/>
  <c r="AN1296" i="1"/>
  <c r="AM1296" i="1"/>
  <c r="AL1296" i="1"/>
  <c r="AK1296" i="1"/>
  <c r="AJ1296" i="1"/>
  <c r="AI1296" i="1"/>
  <c r="AH1296" i="1"/>
  <c r="AG1296" i="1"/>
  <c r="AF1296" i="1"/>
  <c r="AP1295" i="1"/>
  <c r="AO1295" i="1"/>
  <c r="AN1295" i="1"/>
  <c r="AM1295" i="1"/>
  <c r="AL1295" i="1"/>
  <c r="AK1295" i="1"/>
  <c r="AJ1295" i="1"/>
  <c r="AI1295" i="1"/>
  <c r="AH1295" i="1"/>
  <c r="AG1295" i="1"/>
  <c r="AF1295" i="1"/>
  <c r="AP1294" i="1"/>
  <c r="AO1294" i="1"/>
  <c r="AN1294" i="1"/>
  <c r="AM1294" i="1"/>
  <c r="AL1294" i="1"/>
  <c r="AK1294" i="1"/>
  <c r="AJ1294" i="1"/>
  <c r="AI1294" i="1"/>
  <c r="AH1294" i="1"/>
  <c r="AG1294" i="1"/>
  <c r="AF1294" i="1"/>
  <c r="AP1293" i="1"/>
  <c r="AO1293" i="1"/>
  <c r="AN1293" i="1"/>
  <c r="AM1293" i="1"/>
  <c r="AL1293" i="1"/>
  <c r="AK1293" i="1"/>
  <c r="AJ1293" i="1"/>
  <c r="AI1293" i="1"/>
  <c r="AH1293" i="1"/>
  <c r="AG1293" i="1"/>
  <c r="AF1293" i="1"/>
  <c r="AP1292" i="1"/>
  <c r="AO1292" i="1"/>
  <c r="AN1292" i="1"/>
  <c r="AM1292" i="1"/>
  <c r="AL1292" i="1"/>
  <c r="AK1292" i="1"/>
  <c r="AJ1292" i="1"/>
  <c r="AI1292" i="1"/>
  <c r="AH1292" i="1"/>
  <c r="AG1292" i="1"/>
  <c r="AF1292" i="1"/>
  <c r="AP1291" i="1"/>
  <c r="AO1291" i="1"/>
  <c r="AN1291" i="1"/>
  <c r="AM1291" i="1"/>
  <c r="AL1291" i="1"/>
  <c r="AK1291" i="1"/>
  <c r="AJ1291" i="1"/>
  <c r="AI1291" i="1"/>
  <c r="AH1291" i="1"/>
  <c r="AG1291" i="1"/>
  <c r="AF1291" i="1"/>
  <c r="AP1290" i="1"/>
  <c r="AO1290" i="1"/>
  <c r="AN1290" i="1"/>
  <c r="AM1290" i="1"/>
  <c r="AL1290" i="1"/>
  <c r="AK1290" i="1"/>
  <c r="AJ1290" i="1"/>
  <c r="AI1290" i="1"/>
  <c r="AH1290" i="1"/>
  <c r="AG1290" i="1"/>
  <c r="AF1290" i="1"/>
  <c r="AP1289" i="1"/>
  <c r="AO1289" i="1"/>
  <c r="AN1289" i="1"/>
  <c r="AM1289" i="1"/>
  <c r="AL1289" i="1"/>
  <c r="AK1289" i="1"/>
  <c r="AJ1289" i="1"/>
  <c r="AI1289" i="1"/>
  <c r="AH1289" i="1"/>
  <c r="AG1289" i="1"/>
  <c r="AF1289" i="1"/>
  <c r="AP1288" i="1"/>
  <c r="AO1288" i="1"/>
  <c r="AN1288" i="1"/>
  <c r="AM1288" i="1"/>
  <c r="AL1288" i="1"/>
  <c r="AK1288" i="1"/>
  <c r="AJ1288" i="1"/>
  <c r="AI1288" i="1"/>
  <c r="AH1288" i="1"/>
  <c r="AG1288" i="1"/>
  <c r="AF1288" i="1"/>
  <c r="AP1287" i="1"/>
  <c r="AO1287" i="1"/>
  <c r="AN1287" i="1"/>
  <c r="AM1287" i="1"/>
  <c r="AL1287" i="1"/>
  <c r="AK1287" i="1"/>
  <c r="AJ1287" i="1"/>
  <c r="AI1287" i="1"/>
  <c r="AH1287" i="1"/>
  <c r="AG1287" i="1"/>
  <c r="AF1287" i="1"/>
  <c r="AP1286" i="1"/>
  <c r="AO1286" i="1"/>
  <c r="AN1286" i="1"/>
  <c r="AM1286" i="1"/>
  <c r="AL1286" i="1"/>
  <c r="AK1286" i="1"/>
  <c r="AJ1286" i="1"/>
  <c r="AI1286" i="1"/>
  <c r="AH1286" i="1"/>
  <c r="AG1286" i="1"/>
  <c r="AF1286" i="1"/>
  <c r="AP1285" i="1"/>
  <c r="AO1285" i="1"/>
  <c r="AN1285" i="1"/>
  <c r="AM1285" i="1"/>
  <c r="AL1285" i="1"/>
  <c r="AK1285" i="1"/>
  <c r="AJ1285" i="1"/>
  <c r="AI1285" i="1"/>
  <c r="AH1285" i="1"/>
  <c r="AG1285" i="1"/>
  <c r="AF1285" i="1"/>
  <c r="AP1284" i="1"/>
  <c r="AO1284" i="1"/>
  <c r="AN1284" i="1"/>
  <c r="AM1284" i="1"/>
  <c r="AL1284" i="1"/>
  <c r="AK1284" i="1"/>
  <c r="AJ1284" i="1"/>
  <c r="AI1284" i="1"/>
  <c r="AH1284" i="1"/>
  <c r="AG1284" i="1"/>
  <c r="AF1284" i="1"/>
  <c r="AP1283" i="1"/>
  <c r="AO1283" i="1"/>
  <c r="AN1283" i="1"/>
  <c r="AM1283" i="1"/>
  <c r="AL1283" i="1"/>
  <c r="AK1283" i="1"/>
  <c r="AJ1283" i="1"/>
  <c r="AI1283" i="1"/>
  <c r="AH1283" i="1"/>
  <c r="AG1283" i="1"/>
  <c r="AF1283" i="1"/>
  <c r="AP1282" i="1"/>
  <c r="AO1282" i="1"/>
  <c r="AN1282" i="1"/>
  <c r="AM1282" i="1"/>
  <c r="AL1282" i="1"/>
  <c r="AK1282" i="1"/>
  <c r="AJ1282" i="1"/>
  <c r="AI1282" i="1"/>
  <c r="AH1282" i="1"/>
  <c r="AG1282" i="1"/>
  <c r="AF1282" i="1"/>
  <c r="AP1281" i="1"/>
  <c r="AO1281" i="1"/>
  <c r="AN1281" i="1"/>
  <c r="AM1281" i="1"/>
  <c r="AL1281" i="1"/>
  <c r="AK1281" i="1"/>
  <c r="AJ1281" i="1"/>
  <c r="AI1281" i="1"/>
  <c r="AH1281" i="1"/>
  <c r="AG1281" i="1"/>
  <c r="AF1281" i="1"/>
  <c r="AP1280" i="1"/>
  <c r="AO1280" i="1"/>
  <c r="AN1280" i="1"/>
  <c r="AM1280" i="1"/>
  <c r="AL1280" i="1"/>
  <c r="AK1280" i="1"/>
  <c r="AJ1280" i="1"/>
  <c r="AI1280" i="1"/>
  <c r="AH1280" i="1"/>
  <c r="AG1280" i="1"/>
  <c r="AF1280" i="1"/>
  <c r="AP1279" i="1"/>
  <c r="AO1279" i="1"/>
  <c r="AN1279" i="1"/>
  <c r="AM1279" i="1"/>
  <c r="AL1279" i="1"/>
  <c r="AK1279" i="1"/>
  <c r="AJ1279" i="1"/>
  <c r="AI1279" i="1"/>
  <c r="AH1279" i="1"/>
  <c r="AG1279" i="1"/>
  <c r="AF1279" i="1"/>
  <c r="AP1278" i="1"/>
  <c r="AO1278" i="1"/>
  <c r="AN1278" i="1"/>
  <c r="AM1278" i="1"/>
  <c r="AL1278" i="1"/>
  <c r="AK1278" i="1"/>
  <c r="AJ1278" i="1"/>
  <c r="AI1278" i="1"/>
  <c r="AH1278" i="1"/>
  <c r="AG1278" i="1"/>
  <c r="AF1278" i="1"/>
  <c r="AP1277" i="1"/>
  <c r="AO1277" i="1"/>
  <c r="AN1277" i="1"/>
  <c r="AM1277" i="1"/>
  <c r="AL1277" i="1"/>
  <c r="AK1277" i="1"/>
  <c r="AJ1277" i="1"/>
  <c r="AI1277" i="1"/>
  <c r="AH1277" i="1"/>
  <c r="AG1277" i="1"/>
  <c r="AF1277" i="1"/>
  <c r="AP1276" i="1"/>
  <c r="AO1276" i="1"/>
  <c r="AN1276" i="1"/>
  <c r="AM1276" i="1"/>
  <c r="AL1276" i="1"/>
  <c r="AK1276" i="1"/>
  <c r="AJ1276" i="1"/>
  <c r="AI1276" i="1"/>
  <c r="AH1276" i="1"/>
  <c r="AG1276" i="1"/>
  <c r="AF1276" i="1"/>
  <c r="AP1275" i="1"/>
  <c r="AO1275" i="1"/>
  <c r="AN1275" i="1"/>
  <c r="AM1275" i="1"/>
  <c r="AL1275" i="1"/>
  <c r="AK1275" i="1"/>
  <c r="AJ1275" i="1"/>
  <c r="AI1275" i="1"/>
  <c r="AH1275" i="1"/>
  <c r="AG1275" i="1"/>
  <c r="AF1275" i="1"/>
  <c r="AP1274" i="1"/>
  <c r="AO1274" i="1"/>
  <c r="AN1274" i="1"/>
  <c r="AM1274" i="1"/>
  <c r="AL1274" i="1"/>
  <c r="AK1274" i="1"/>
  <c r="AJ1274" i="1"/>
  <c r="AI1274" i="1"/>
  <c r="AH1274" i="1"/>
  <c r="AG1274" i="1"/>
  <c r="AF1274" i="1"/>
  <c r="AP1273" i="1"/>
  <c r="AO1273" i="1"/>
  <c r="AN1273" i="1"/>
  <c r="AM1273" i="1"/>
  <c r="AL1273" i="1"/>
  <c r="AK1273" i="1"/>
  <c r="AJ1273" i="1"/>
  <c r="AI1273" i="1"/>
  <c r="AH1273" i="1"/>
  <c r="AG1273" i="1"/>
  <c r="AF1273" i="1"/>
  <c r="AP1272" i="1"/>
  <c r="AO1272" i="1"/>
  <c r="AN1272" i="1"/>
  <c r="AM1272" i="1"/>
  <c r="AL1272" i="1"/>
  <c r="AK1272" i="1"/>
  <c r="AJ1272" i="1"/>
  <c r="AI1272" i="1"/>
  <c r="AH1272" i="1"/>
  <c r="AG1272" i="1"/>
  <c r="AF1272" i="1"/>
  <c r="AP1271" i="1"/>
  <c r="AO1271" i="1"/>
  <c r="AN1271" i="1"/>
  <c r="AM1271" i="1"/>
  <c r="AL1271" i="1"/>
  <c r="AK1271" i="1"/>
  <c r="AJ1271" i="1"/>
  <c r="AI1271" i="1"/>
  <c r="AH1271" i="1"/>
  <c r="AG1271" i="1"/>
  <c r="AF1271" i="1"/>
  <c r="AP1270" i="1"/>
  <c r="AO1270" i="1"/>
  <c r="AN1270" i="1"/>
  <c r="AM1270" i="1"/>
  <c r="AL1270" i="1"/>
  <c r="AK1270" i="1"/>
  <c r="AJ1270" i="1"/>
  <c r="AI1270" i="1"/>
  <c r="AH1270" i="1"/>
  <c r="AG1270" i="1"/>
  <c r="AF1270" i="1"/>
  <c r="AP1269" i="1"/>
  <c r="AO1269" i="1"/>
  <c r="AN1269" i="1"/>
  <c r="AM1269" i="1"/>
  <c r="AL1269" i="1"/>
  <c r="AK1269" i="1"/>
  <c r="AJ1269" i="1"/>
  <c r="AI1269" i="1"/>
  <c r="AH1269" i="1"/>
  <c r="AG1269" i="1"/>
  <c r="AF1269" i="1"/>
  <c r="AP1268" i="1"/>
  <c r="AO1268" i="1"/>
  <c r="AN1268" i="1"/>
  <c r="AM1268" i="1"/>
  <c r="AL1268" i="1"/>
  <c r="AK1268" i="1"/>
  <c r="AJ1268" i="1"/>
  <c r="AI1268" i="1"/>
  <c r="AH1268" i="1"/>
  <c r="AG1268" i="1"/>
  <c r="AF1268" i="1"/>
  <c r="AP1267" i="1"/>
  <c r="AO1267" i="1"/>
  <c r="AN1267" i="1"/>
  <c r="AM1267" i="1"/>
  <c r="AL1267" i="1"/>
  <c r="AK1267" i="1"/>
  <c r="AJ1267" i="1"/>
  <c r="AI1267" i="1"/>
  <c r="AH1267" i="1"/>
  <c r="AG1267" i="1"/>
  <c r="AF1267" i="1"/>
  <c r="AP1266" i="1"/>
  <c r="AO1266" i="1"/>
  <c r="AN1266" i="1"/>
  <c r="AM1266" i="1"/>
  <c r="AL1266" i="1"/>
  <c r="AK1266" i="1"/>
  <c r="AJ1266" i="1"/>
  <c r="AI1266" i="1"/>
  <c r="AH1266" i="1"/>
  <c r="AG1266" i="1"/>
  <c r="AF1266" i="1"/>
  <c r="AP1265" i="1"/>
  <c r="AO1265" i="1"/>
  <c r="AN1265" i="1"/>
  <c r="AM1265" i="1"/>
  <c r="AL1265" i="1"/>
  <c r="AK1265" i="1"/>
  <c r="AJ1265" i="1"/>
  <c r="AI1265" i="1"/>
  <c r="AH1265" i="1"/>
  <c r="AG1265" i="1"/>
  <c r="AF1265" i="1"/>
  <c r="AP1264" i="1"/>
  <c r="AO1264" i="1"/>
  <c r="AN1264" i="1"/>
  <c r="AM1264" i="1"/>
  <c r="AL1264" i="1"/>
  <c r="AK1264" i="1"/>
  <c r="AJ1264" i="1"/>
  <c r="AI1264" i="1"/>
  <c r="AH1264" i="1"/>
  <c r="AG1264" i="1"/>
  <c r="AF1264" i="1"/>
  <c r="AP1263" i="1"/>
  <c r="AO1263" i="1"/>
  <c r="AN1263" i="1"/>
  <c r="AM1263" i="1"/>
  <c r="AL1263" i="1"/>
  <c r="AK1263" i="1"/>
  <c r="AJ1263" i="1"/>
  <c r="AI1263" i="1"/>
  <c r="AH1263" i="1"/>
  <c r="AG1263" i="1"/>
  <c r="AF1263" i="1"/>
  <c r="AP1262" i="1"/>
  <c r="AO1262" i="1"/>
  <c r="AN1262" i="1"/>
  <c r="AM1262" i="1"/>
  <c r="AL1262" i="1"/>
  <c r="AK1262" i="1"/>
  <c r="AJ1262" i="1"/>
  <c r="AI1262" i="1"/>
  <c r="AH1262" i="1"/>
  <c r="AG1262" i="1"/>
  <c r="AF1262" i="1"/>
  <c r="AP1261" i="1"/>
  <c r="AO1261" i="1"/>
  <c r="AN1261" i="1"/>
  <c r="AM1261" i="1"/>
  <c r="AL1261" i="1"/>
  <c r="AK1261" i="1"/>
  <c r="AJ1261" i="1"/>
  <c r="AI1261" i="1"/>
  <c r="AH1261" i="1"/>
  <c r="AG1261" i="1"/>
  <c r="AF1261" i="1"/>
  <c r="AP1260" i="1"/>
  <c r="AO1260" i="1"/>
  <c r="AN1260" i="1"/>
  <c r="AM1260" i="1"/>
  <c r="AL1260" i="1"/>
  <c r="AK1260" i="1"/>
  <c r="AJ1260" i="1"/>
  <c r="AI1260" i="1"/>
  <c r="AH1260" i="1"/>
  <c r="AG1260" i="1"/>
  <c r="AF1260" i="1"/>
  <c r="AP1259" i="1"/>
  <c r="AO1259" i="1"/>
  <c r="AN1259" i="1"/>
  <c r="AM1259" i="1"/>
  <c r="AL1259" i="1"/>
  <c r="AK1259" i="1"/>
  <c r="AJ1259" i="1"/>
  <c r="AI1259" i="1"/>
  <c r="AH1259" i="1"/>
  <c r="AG1259" i="1"/>
  <c r="AF1259" i="1"/>
  <c r="AP1258" i="1"/>
  <c r="AO1258" i="1"/>
  <c r="AN1258" i="1"/>
  <c r="AM1258" i="1"/>
  <c r="AL1258" i="1"/>
  <c r="AK1258" i="1"/>
  <c r="AJ1258" i="1"/>
  <c r="AI1258" i="1"/>
  <c r="AH1258" i="1"/>
  <c r="AG1258" i="1"/>
  <c r="AF1258" i="1"/>
  <c r="AP1257" i="1"/>
  <c r="AO1257" i="1"/>
  <c r="AN1257" i="1"/>
  <c r="AM1257" i="1"/>
  <c r="AL1257" i="1"/>
  <c r="AK1257" i="1"/>
  <c r="AJ1257" i="1"/>
  <c r="AI1257" i="1"/>
  <c r="AH1257" i="1"/>
  <c r="AG1257" i="1"/>
  <c r="AF1257" i="1"/>
  <c r="AP1256" i="1"/>
  <c r="AO1256" i="1"/>
  <c r="AN1256" i="1"/>
  <c r="AM1256" i="1"/>
  <c r="AL1256" i="1"/>
  <c r="AK1256" i="1"/>
  <c r="AJ1256" i="1"/>
  <c r="AI1256" i="1"/>
  <c r="AH1256" i="1"/>
  <c r="AG1256" i="1"/>
  <c r="AF1256" i="1"/>
  <c r="AP1255" i="1"/>
  <c r="AO1255" i="1"/>
  <c r="AN1255" i="1"/>
  <c r="AM1255" i="1"/>
  <c r="AL1255" i="1"/>
  <c r="AK1255" i="1"/>
  <c r="AJ1255" i="1"/>
  <c r="AI1255" i="1"/>
  <c r="AH1255" i="1"/>
  <c r="AG1255" i="1"/>
  <c r="AF1255" i="1"/>
  <c r="AP1254" i="1"/>
  <c r="AO1254" i="1"/>
  <c r="AN1254" i="1"/>
  <c r="AM1254" i="1"/>
  <c r="AL1254" i="1"/>
  <c r="AK1254" i="1"/>
  <c r="AJ1254" i="1"/>
  <c r="AI1254" i="1"/>
  <c r="AH1254" i="1"/>
  <c r="AG1254" i="1"/>
  <c r="AF1254" i="1"/>
  <c r="AP1253" i="1"/>
  <c r="AO1253" i="1"/>
  <c r="AN1253" i="1"/>
  <c r="AM1253" i="1"/>
  <c r="AL1253" i="1"/>
  <c r="AK1253" i="1"/>
  <c r="AJ1253" i="1"/>
  <c r="AI1253" i="1"/>
  <c r="AH1253" i="1"/>
  <c r="AG1253" i="1"/>
  <c r="AF1253" i="1"/>
  <c r="AP1252" i="1"/>
  <c r="AO1252" i="1"/>
  <c r="AN1252" i="1"/>
  <c r="AM1252" i="1"/>
  <c r="AL1252" i="1"/>
  <c r="AK1252" i="1"/>
  <c r="AJ1252" i="1"/>
  <c r="AI1252" i="1"/>
  <c r="AH1252" i="1"/>
  <c r="AG1252" i="1"/>
  <c r="AF1252" i="1"/>
  <c r="AP1251" i="1"/>
  <c r="AO1251" i="1"/>
  <c r="AN1251" i="1"/>
  <c r="AM1251" i="1"/>
  <c r="AL1251" i="1"/>
  <c r="AK1251" i="1"/>
  <c r="AJ1251" i="1"/>
  <c r="AI1251" i="1"/>
  <c r="AH1251" i="1"/>
  <c r="AG1251" i="1"/>
  <c r="AF1251" i="1"/>
  <c r="AP1250" i="1"/>
  <c r="AO1250" i="1"/>
  <c r="AN1250" i="1"/>
  <c r="AM1250" i="1"/>
  <c r="AL1250" i="1"/>
  <c r="AK1250" i="1"/>
  <c r="AJ1250" i="1"/>
  <c r="AI1250" i="1"/>
  <c r="AH1250" i="1"/>
  <c r="AG1250" i="1"/>
  <c r="AF1250" i="1"/>
  <c r="AP1249" i="1"/>
  <c r="AO1249" i="1"/>
  <c r="AN1249" i="1"/>
  <c r="AM1249" i="1"/>
  <c r="AL1249" i="1"/>
  <c r="AK1249" i="1"/>
  <c r="AJ1249" i="1"/>
  <c r="AI1249" i="1"/>
  <c r="AH1249" i="1"/>
  <c r="AG1249" i="1"/>
  <c r="AF1249" i="1"/>
  <c r="AP1248" i="1"/>
  <c r="AO1248" i="1"/>
  <c r="AN1248" i="1"/>
  <c r="AM1248" i="1"/>
  <c r="AL1248" i="1"/>
  <c r="AK1248" i="1"/>
  <c r="AJ1248" i="1"/>
  <c r="AI1248" i="1"/>
  <c r="AH1248" i="1"/>
  <c r="AG1248" i="1"/>
  <c r="AF1248" i="1"/>
  <c r="AP1247" i="1"/>
  <c r="AO1247" i="1"/>
  <c r="AN1247" i="1"/>
  <c r="AM1247" i="1"/>
  <c r="AL1247" i="1"/>
  <c r="AK1247" i="1"/>
  <c r="AJ1247" i="1"/>
  <c r="AI1247" i="1"/>
  <c r="AH1247" i="1"/>
  <c r="AG1247" i="1"/>
  <c r="AF1247" i="1"/>
  <c r="AP1246" i="1"/>
  <c r="AO1246" i="1"/>
  <c r="AN1246" i="1"/>
  <c r="AM1246" i="1"/>
  <c r="AL1246" i="1"/>
  <c r="AK1246" i="1"/>
  <c r="AJ1246" i="1"/>
  <c r="AI1246" i="1"/>
  <c r="AH1246" i="1"/>
  <c r="AG1246" i="1"/>
  <c r="AF1246" i="1"/>
  <c r="AP1245" i="1"/>
  <c r="AO1245" i="1"/>
  <c r="AN1245" i="1"/>
  <c r="AM1245" i="1"/>
  <c r="AL1245" i="1"/>
  <c r="AK1245" i="1"/>
  <c r="AJ1245" i="1"/>
  <c r="AI1245" i="1"/>
  <c r="AH1245" i="1"/>
  <c r="AG1245" i="1"/>
  <c r="AF1245" i="1"/>
  <c r="AP1244" i="1"/>
  <c r="AO1244" i="1"/>
  <c r="AN1244" i="1"/>
  <c r="AM1244" i="1"/>
  <c r="AL1244" i="1"/>
  <c r="AK1244" i="1"/>
  <c r="AJ1244" i="1"/>
  <c r="AI1244" i="1"/>
  <c r="AH1244" i="1"/>
  <c r="AG1244" i="1"/>
  <c r="AF1244" i="1"/>
  <c r="AP1243" i="1"/>
  <c r="AO1243" i="1"/>
  <c r="AN1243" i="1"/>
  <c r="AM1243" i="1"/>
  <c r="AL1243" i="1"/>
  <c r="AK1243" i="1"/>
  <c r="AJ1243" i="1"/>
  <c r="AI1243" i="1"/>
  <c r="AH1243" i="1"/>
  <c r="AG1243" i="1"/>
  <c r="AF1243" i="1"/>
  <c r="AP1242" i="1"/>
  <c r="AO1242" i="1"/>
  <c r="AN1242" i="1"/>
  <c r="AM1242" i="1"/>
  <c r="AL1242" i="1"/>
  <c r="AK1242" i="1"/>
  <c r="AJ1242" i="1"/>
  <c r="AI1242" i="1"/>
  <c r="AH1242" i="1"/>
  <c r="AG1242" i="1"/>
  <c r="AF1242" i="1"/>
  <c r="AP1241" i="1"/>
  <c r="AO1241" i="1"/>
  <c r="AN1241" i="1"/>
  <c r="AM1241" i="1"/>
  <c r="AL1241" i="1"/>
  <c r="AK1241" i="1"/>
  <c r="AJ1241" i="1"/>
  <c r="AI1241" i="1"/>
  <c r="AH1241" i="1"/>
  <c r="AG1241" i="1"/>
  <c r="AF1241" i="1"/>
  <c r="AP1240" i="1"/>
  <c r="AO1240" i="1"/>
  <c r="AN1240" i="1"/>
  <c r="AM1240" i="1"/>
  <c r="AL1240" i="1"/>
  <c r="AK1240" i="1"/>
  <c r="AJ1240" i="1"/>
  <c r="AI1240" i="1"/>
  <c r="AH1240" i="1"/>
  <c r="AG1240" i="1"/>
  <c r="AF1240" i="1"/>
  <c r="AP1239" i="1"/>
  <c r="AO1239" i="1"/>
  <c r="AN1239" i="1"/>
  <c r="AM1239" i="1"/>
  <c r="AL1239" i="1"/>
  <c r="AK1239" i="1"/>
  <c r="AJ1239" i="1"/>
  <c r="AI1239" i="1"/>
  <c r="AH1239" i="1"/>
  <c r="AG1239" i="1"/>
  <c r="AF1239" i="1"/>
  <c r="AP1238" i="1"/>
  <c r="AO1238" i="1"/>
  <c r="AN1238" i="1"/>
  <c r="AM1238" i="1"/>
  <c r="AL1238" i="1"/>
  <c r="AK1238" i="1"/>
  <c r="AJ1238" i="1"/>
  <c r="AI1238" i="1"/>
  <c r="AH1238" i="1"/>
  <c r="AG1238" i="1"/>
  <c r="AF1238" i="1"/>
  <c r="AP1237" i="1"/>
  <c r="AO1237" i="1"/>
  <c r="AN1237" i="1"/>
  <c r="AM1237" i="1"/>
  <c r="AL1237" i="1"/>
  <c r="AK1237" i="1"/>
  <c r="AJ1237" i="1"/>
  <c r="AI1237" i="1"/>
  <c r="AH1237" i="1"/>
  <c r="AG1237" i="1"/>
  <c r="AF1237" i="1"/>
  <c r="AP1236" i="1"/>
  <c r="AO1236" i="1"/>
  <c r="AN1236" i="1"/>
  <c r="AM1236" i="1"/>
  <c r="AL1236" i="1"/>
  <c r="AK1236" i="1"/>
  <c r="AJ1236" i="1"/>
  <c r="AI1236" i="1"/>
  <c r="AH1236" i="1"/>
  <c r="AG1236" i="1"/>
  <c r="AF1236" i="1"/>
  <c r="AP1235" i="1"/>
  <c r="AO1235" i="1"/>
  <c r="AN1235" i="1"/>
  <c r="AM1235" i="1"/>
  <c r="AL1235" i="1"/>
  <c r="AK1235" i="1"/>
  <c r="AJ1235" i="1"/>
  <c r="AI1235" i="1"/>
  <c r="AH1235" i="1"/>
  <c r="AG1235" i="1"/>
  <c r="AF1235" i="1"/>
  <c r="AP1234" i="1"/>
  <c r="AO1234" i="1"/>
  <c r="AN1234" i="1"/>
  <c r="AM1234" i="1"/>
  <c r="AL1234" i="1"/>
  <c r="AK1234" i="1"/>
  <c r="AJ1234" i="1"/>
  <c r="AI1234" i="1"/>
  <c r="AH1234" i="1"/>
  <c r="AG1234" i="1"/>
  <c r="AF1234" i="1"/>
  <c r="AP1233" i="1"/>
  <c r="AO1233" i="1"/>
  <c r="AN1233" i="1"/>
  <c r="AM1233" i="1"/>
  <c r="AL1233" i="1"/>
  <c r="AK1233" i="1"/>
  <c r="AJ1233" i="1"/>
  <c r="AI1233" i="1"/>
  <c r="AH1233" i="1"/>
  <c r="AG1233" i="1"/>
  <c r="AF1233" i="1"/>
  <c r="AP1232" i="1"/>
  <c r="AO1232" i="1"/>
  <c r="AN1232" i="1"/>
  <c r="AM1232" i="1"/>
  <c r="AL1232" i="1"/>
  <c r="AK1232" i="1"/>
  <c r="AJ1232" i="1"/>
  <c r="AI1232" i="1"/>
  <c r="AH1232" i="1"/>
  <c r="AG1232" i="1"/>
  <c r="AF1232" i="1"/>
  <c r="AP1231" i="1"/>
  <c r="AO1231" i="1"/>
  <c r="AN1231" i="1"/>
  <c r="AM1231" i="1"/>
  <c r="AL1231" i="1"/>
  <c r="AK1231" i="1"/>
  <c r="AJ1231" i="1"/>
  <c r="AI1231" i="1"/>
  <c r="AH1231" i="1"/>
  <c r="AG1231" i="1"/>
  <c r="AF1231" i="1"/>
  <c r="AP1230" i="1"/>
  <c r="AO1230" i="1"/>
  <c r="AN1230" i="1"/>
  <c r="AM1230" i="1"/>
  <c r="AL1230" i="1"/>
  <c r="AK1230" i="1"/>
  <c r="AJ1230" i="1"/>
  <c r="AI1230" i="1"/>
  <c r="AH1230" i="1"/>
  <c r="AG1230" i="1"/>
  <c r="AF1230" i="1"/>
  <c r="AP1229" i="1"/>
  <c r="AO1229" i="1"/>
  <c r="AN1229" i="1"/>
  <c r="AM1229" i="1"/>
  <c r="AL1229" i="1"/>
  <c r="AK1229" i="1"/>
  <c r="AJ1229" i="1"/>
  <c r="AI1229" i="1"/>
  <c r="AH1229" i="1"/>
  <c r="AG1229" i="1"/>
  <c r="AF1229" i="1"/>
  <c r="AP1228" i="1"/>
  <c r="AO1228" i="1"/>
  <c r="AN1228" i="1"/>
  <c r="AM1228" i="1"/>
  <c r="AL1228" i="1"/>
  <c r="AK1228" i="1"/>
  <c r="AJ1228" i="1"/>
  <c r="AI1228" i="1"/>
  <c r="AH1228" i="1"/>
  <c r="AG1228" i="1"/>
  <c r="AF1228" i="1"/>
  <c r="AP1227" i="1"/>
  <c r="AO1227" i="1"/>
  <c r="AN1227" i="1"/>
  <c r="AM1227" i="1"/>
  <c r="AL1227" i="1"/>
  <c r="AK1227" i="1"/>
  <c r="AJ1227" i="1"/>
  <c r="AI1227" i="1"/>
  <c r="AH1227" i="1"/>
  <c r="AG1227" i="1"/>
  <c r="AF1227" i="1"/>
  <c r="AP1226" i="1"/>
  <c r="AO1226" i="1"/>
  <c r="AN1226" i="1"/>
  <c r="AM1226" i="1"/>
  <c r="AL1226" i="1"/>
  <c r="AK1226" i="1"/>
  <c r="AJ1226" i="1"/>
  <c r="AI1226" i="1"/>
  <c r="AH1226" i="1"/>
  <c r="AG1226" i="1"/>
  <c r="AF1226" i="1"/>
  <c r="AP1225" i="1"/>
  <c r="AO1225" i="1"/>
  <c r="AN1225" i="1"/>
  <c r="AM1225" i="1"/>
  <c r="AL1225" i="1"/>
  <c r="AK1225" i="1"/>
  <c r="AJ1225" i="1"/>
  <c r="AI1225" i="1"/>
  <c r="AH1225" i="1"/>
  <c r="AG1225" i="1"/>
  <c r="AF1225" i="1"/>
  <c r="AP1224" i="1"/>
  <c r="AO1224" i="1"/>
  <c r="AN1224" i="1"/>
  <c r="AM1224" i="1"/>
  <c r="AL1224" i="1"/>
  <c r="AK1224" i="1"/>
  <c r="AJ1224" i="1"/>
  <c r="AI1224" i="1"/>
  <c r="AH1224" i="1"/>
  <c r="AG1224" i="1"/>
  <c r="AF1224" i="1"/>
  <c r="AP1223" i="1"/>
  <c r="AO1223" i="1"/>
  <c r="AN1223" i="1"/>
  <c r="AM1223" i="1"/>
  <c r="AL1223" i="1"/>
  <c r="AK1223" i="1"/>
  <c r="AJ1223" i="1"/>
  <c r="AI1223" i="1"/>
  <c r="AH1223" i="1"/>
  <c r="AG1223" i="1"/>
  <c r="AF1223" i="1"/>
  <c r="AP1222" i="1"/>
  <c r="AO1222" i="1"/>
  <c r="AN1222" i="1"/>
  <c r="AM1222" i="1"/>
  <c r="AL1222" i="1"/>
  <c r="AK1222" i="1"/>
  <c r="AJ1222" i="1"/>
  <c r="AI1222" i="1"/>
  <c r="AH1222" i="1"/>
  <c r="AG1222" i="1"/>
  <c r="AF1222" i="1"/>
  <c r="AP1221" i="1"/>
  <c r="AO1221" i="1"/>
  <c r="AN1221" i="1"/>
  <c r="AM1221" i="1"/>
  <c r="AL1221" i="1"/>
  <c r="AK1221" i="1"/>
  <c r="AJ1221" i="1"/>
  <c r="AI1221" i="1"/>
  <c r="AH1221" i="1"/>
  <c r="AG1221" i="1"/>
  <c r="AF1221" i="1"/>
  <c r="AP1220" i="1"/>
  <c r="AO1220" i="1"/>
  <c r="AN1220" i="1"/>
  <c r="AM1220" i="1"/>
  <c r="AL1220" i="1"/>
  <c r="AK1220" i="1"/>
  <c r="AJ1220" i="1"/>
  <c r="AI1220" i="1"/>
  <c r="AH1220" i="1"/>
  <c r="AG1220" i="1"/>
  <c r="AF1220" i="1"/>
  <c r="AP1219" i="1"/>
  <c r="AO1219" i="1"/>
  <c r="AN1219" i="1"/>
  <c r="AM1219" i="1"/>
  <c r="AL1219" i="1"/>
  <c r="AK1219" i="1"/>
  <c r="AJ1219" i="1"/>
  <c r="AI1219" i="1"/>
  <c r="AH1219" i="1"/>
  <c r="AG1219" i="1"/>
  <c r="AF1219" i="1"/>
  <c r="AP1218" i="1"/>
  <c r="AO1218" i="1"/>
  <c r="AN1218" i="1"/>
  <c r="AM1218" i="1"/>
  <c r="AL1218" i="1"/>
  <c r="AK1218" i="1"/>
  <c r="AJ1218" i="1"/>
  <c r="AI1218" i="1"/>
  <c r="AH1218" i="1"/>
  <c r="AG1218" i="1"/>
  <c r="AF1218" i="1"/>
  <c r="AP1217" i="1"/>
  <c r="AO1217" i="1"/>
  <c r="AN1217" i="1"/>
  <c r="AM1217" i="1"/>
  <c r="AL1217" i="1"/>
  <c r="AK1217" i="1"/>
  <c r="AJ1217" i="1"/>
  <c r="AI1217" i="1"/>
  <c r="AH1217" i="1"/>
  <c r="AG1217" i="1"/>
  <c r="AF1217" i="1"/>
  <c r="AP1216" i="1"/>
  <c r="AO1216" i="1"/>
  <c r="AN1216" i="1"/>
  <c r="AM1216" i="1"/>
  <c r="AL1216" i="1"/>
  <c r="AK1216" i="1"/>
  <c r="AJ1216" i="1"/>
  <c r="AI1216" i="1"/>
  <c r="AH1216" i="1"/>
  <c r="AG1216" i="1"/>
  <c r="AF1216" i="1"/>
  <c r="AP1215" i="1"/>
  <c r="AO1215" i="1"/>
  <c r="AN1215" i="1"/>
  <c r="AM1215" i="1"/>
  <c r="AL1215" i="1"/>
  <c r="AK1215" i="1"/>
  <c r="AJ1215" i="1"/>
  <c r="AI1215" i="1"/>
  <c r="AH1215" i="1"/>
  <c r="AG1215" i="1"/>
  <c r="AF1215" i="1"/>
  <c r="AP1214" i="1"/>
  <c r="AO1214" i="1"/>
  <c r="AN1214" i="1"/>
  <c r="AM1214" i="1"/>
  <c r="AL1214" i="1"/>
  <c r="AK1214" i="1"/>
  <c r="AJ1214" i="1"/>
  <c r="AI1214" i="1"/>
  <c r="AH1214" i="1"/>
  <c r="AG1214" i="1"/>
  <c r="AF1214" i="1"/>
  <c r="AP1213" i="1"/>
  <c r="AO1213" i="1"/>
  <c r="AN1213" i="1"/>
  <c r="AM1213" i="1"/>
  <c r="AL1213" i="1"/>
  <c r="AK1213" i="1"/>
  <c r="AJ1213" i="1"/>
  <c r="AI1213" i="1"/>
  <c r="AH1213" i="1"/>
  <c r="AG1213" i="1"/>
  <c r="AF1213" i="1"/>
  <c r="AP1212" i="1"/>
  <c r="AO1212" i="1"/>
  <c r="AN1212" i="1"/>
  <c r="AM1212" i="1"/>
  <c r="AL1212" i="1"/>
  <c r="AK1212" i="1"/>
  <c r="AJ1212" i="1"/>
  <c r="AI1212" i="1"/>
  <c r="AH1212" i="1"/>
  <c r="AG1212" i="1"/>
  <c r="AF1212" i="1"/>
  <c r="AP1211" i="1"/>
  <c r="AO1211" i="1"/>
  <c r="AN1211" i="1"/>
  <c r="AM1211" i="1"/>
  <c r="AL1211" i="1"/>
  <c r="AK1211" i="1"/>
  <c r="AJ1211" i="1"/>
  <c r="AI1211" i="1"/>
  <c r="AH1211" i="1"/>
  <c r="AG1211" i="1"/>
  <c r="AF1211" i="1"/>
  <c r="AP1210" i="1"/>
  <c r="AO1210" i="1"/>
  <c r="AN1210" i="1"/>
  <c r="AM1210" i="1"/>
  <c r="AL1210" i="1"/>
  <c r="AK1210" i="1"/>
  <c r="AJ1210" i="1"/>
  <c r="AI1210" i="1"/>
  <c r="AH1210" i="1"/>
  <c r="AG1210" i="1"/>
  <c r="AF1210" i="1"/>
  <c r="AP1209" i="1"/>
  <c r="AO1209" i="1"/>
  <c r="AN1209" i="1"/>
  <c r="AM1209" i="1"/>
  <c r="AL1209" i="1"/>
  <c r="AK1209" i="1"/>
  <c r="AJ1209" i="1"/>
  <c r="AI1209" i="1"/>
  <c r="AH1209" i="1"/>
  <c r="AG1209" i="1"/>
  <c r="AF1209" i="1"/>
  <c r="AP1208" i="1"/>
  <c r="AO1208" i="1"/>
  <c r="AN1208" i="1"/>
  <c r="AM1208" i="1"/>
  <c r="AL1208" i="1"/>
  <c r="AK1208" i="1"/>
  <c r="AJ1208" i="1"/>
  <c r="AI1208" i="1"/>
  <c r="AH1208" i="1"/>
  <c r="AG1208" i="1"/>
  <c r="AF1208" i="1"/>
  <c r="AP1207" i="1"/>
  <c r="AO1207" i="1"/>
  <c r="AN1207" i="1"/>
  <c r="AM1207" i="1"/>
  <c r="AL1207" i="1"/>
  <c r="AK1207" i="1"/>
  <c r="AJ1207" i="1"/>
  <c r="AI1207" i="1"/>
  <c r="AH1207" i="1"/>
  <c r="AG1207" i="1"/>
  <c r="AF1207" i="1"/>
  <c r="AP1206" i="1"/>
  <c r="AO1206" i="1"/>
  <c r="AN1206" i="1"/>
  <c r="AM1206" i="1"/>
  <c r="AL1206" i="1"/>
  <c r="AK1206" i="1"/>
  <c r="AJ1206" i="1"/>
  <c r="AI1206" i="1"/>
  <c r="AH1206" i="1"/>
  <c r="AG1206" i="1"/>
  <c r="AF1206" i="1"/>
  <c r="AP1205" i="1"/>
  <c r="AO1205" i="1"/>
  <c r="AN1205" i="1"/>
  <c r="AM1205" i="1"/>
  <c r="AL1205" i="1"/>
  <c r="AK1205" i="1"/>
  <c r="AJ1205" i="1"/>
  <c r="AI1205" i="1"/>
  <c r="AH1205" i="1"/>
  <c r="AG1205" i="1"/>
  <c r="AF1205" i="1"/>
  <c r="AP1204" i="1"/>
  <c r="AO1204" i="1"/>
  <c r="AN1204" i="1"/>
  <c r="AM1204" i="1"/>
  <c r="AL1204" i="1"/>
  <c r="AK1204" i="1"/>
  <c r="AJ1204" i="1"/>
  <c r="AI1204" i="1"/>
  <c r="AH1204" i="1"/>
  <c r="AG1204" i="1"/>
  <c r="AF1204" i="1"/>
  <c r="AP1203" i="1"/>
  <c r="AO1203" i="1"/>
  <c r="AN1203" i="1"/>
  <c r="AM1203" i="1"/>
  <c r="AL1203" i="1"/>
  <c r="AK1203" i="1"/>
  <c r="AJ1203" i="1"/>
  <c r="AI1203" i="1"/>
  <c r="AH1203" i="1"/>
  <c r="AG1203" i="1"/>
  <c r="AF1203" i="1"/>
  <c r="AP1202" i="1"/>
  <c r="AO1202" i="1"/>
  <c r="AN1202" i="1"/>
  <c r="AM1202" i="1"/>
  <c r="AL1202" i="1"/>
  <c r="AK1202" i="1"/>
  <c r="AJ1202" i="1"/>
  <c r="AI1202" i="1"/>
  <c r="AH1202" i="1"/>
  <c r="AG1202" i="1"/>
  <c r="AF1202" i="1"/>
  <c r="AP1201" i="1"/>
  <c r="AO1201" i="1"/>
  <c r="AN1201" i="1"/>
  <c r="AM1201" i="1"/>
  <c r="AL1201" i="1"/>
  <c r="AK1201" i="1"/>
  <c r="AJ1201" i="1"/>
  <c r="AI1201" i="1"/>
  <c r="AH1201" i="1"/>
  <c r="AG1201" i="1"/>
  <c r="AF1201" i="1"/>
  <c r="AP1200" i="1"/>
  <c r="AO1200" i="1"/>
  <c r="AN1200" i="1"/>
  <c r="AM1200" i="1"/>
  <c r="AL1200" i="1"/>
  <c r="AK1200" i="1"/>
  <c r="AJ1200" i="1"/>
  <c r="AI1200" i="1"/>
  <c r="AH1200" i="1"/>
  <c r="AG1200" i="1"/>
  <c r="AF1200" i="1"/>
  <c r="AP1199" i="1"/>
  <c r="AO1199" i="1"/>
  <c r="AN1199" i="1"/>
  <c r="AM1199" i="1"/>
  <c r="AL1199" i="1"/>
  <c r="AK1199" i="1"/>
  <c r="AJ1199" i="1"/>
  <c r="AI1199" i="1"/>
  <c r="AH1199" i="1"/>
  <c r="AG1199" i="1"/>
  <c r="AF1199" i="1"/>
  <c r="AP1198" i="1"/>
  <c r="AO1198" i="1"/>
  <c r="AN1198" i="1"/>
  <c r="AM1198" i="1"/>
  <c r="AL1198" i="1"/>
  <c r="AK1198" i="1"/>
  <c r="AJ1198" i="1"/>
  <c r="AI1198" i="1"/>
  <c r="AH1198" i="1"/>
  <c r="AG1198" i="1"/>
  <c r="AF1198" i="1"/>
  <c r="AP1197" i="1"/>
  <c r="AO1197" i="1"/>
  <c r="AN1197" i="1"/>
  <c r="AM1197" i="1"/>
  <c r="AL1197" i="1"/>
  <c r="AK1197" i="1"/>
  <c r="AJ1197" i="1"/>
  <c r="AI1197" i="1"/>
  <c r="AH1197" i="1"/>
  <c r="AG1197" i="1"/>
  <c r="AF1197" i="1"/>
  <c r="AP1196" i="1"/>
  <c r="AO1196" i="1"/>
  <c r="AN1196" i="1"/>
  <c r="AM1196" i="1"/>
  <c r="AL1196" i="1"/>
  <c r="AK1196" i="1"/>
  <c r="AJ1196" i="1"/>
  <c r="AI1196" i="1"/>
  <c r="AH1196" i="1"/>
  <c r="AG1196" i="1"/>
  <c r="AF1196" i="1"/>
  <c r="AP1195" i="1"/>
  <c r="AO1195" i="1"/>
  <c r="AN1195" i="1"/>
  <c r="AM1195" i="1"/>
  <c r="AL1195" i="1"/>
  <c r="AK1195" i="1"/>
  <c r="AJ1195" i="1"/>
  <c r="AI1195" i="1"/>
  <c r="AH1195" i="1"/>
  <c r="AG1195" i="1"/>
  <c r="AF1195" i="1"/>
  <c r="AP1194" i="1"/>
  <c r="AO1194" i="1"/>
  <c r="AN1194" i="1"/>
  <c r="AM1194" i="1"/>
  <c r="AL1194" i="1"/>
  <c r="AK1194" i="1"/>
  <c r="AJ1194" i="1"/>
  <c r="AI1194" i="1"/>
  <c r="AH1194" i="1"/>
  <c r="AG1194" i="1"/>
  <c r="AF1194" i="1"/>
  <c r="AP1193" i="1"/>
  <c r="AO1193" i="1"/>
  <c r="AN1193" i="1"/>
  <c r="AM1193" i="1"/>
  <c r="AL1193" i="1"/>
  <c r="AK1193" i="1"/>
  <c r="AJ1193" i="1"/>
  <c r="AI1193" i="1"/>
  <c r="AH1193" i="1"/>
  <c r="AG1193" i="1"/>
  <c r="AF1193" i="1"/>
  <c r="AP1192" i="1"/>
  <c r="AO1192" i="1"/>
  <c r="AN1192" i="1"/>
  <c r="AM1192" i="1"/>
  <c r="AL1192" i="1"/>
  <c r="AK1192" i="1"/>
  <c r="AJ1192" i="1"/>
  <c r="AI1192" i="1"/>
  <c r="AH1192" i="1"/>
  <c r="AG1192" i="1"/>
  <c r="AF1192" i="1"/>
  <c r="AP1191" i="1"/>
  <c r="AO1191" i="1"/>
  <c r="AN1191" i="1"/>
  <c r="AM1191" i="1"/>
  <c r="AL1191" i="1"/>
  <c r="AK1191" i="1"/>
  <c r="AJ1191" i="1"/>
  <c r="AI1191" i="1"/>
  <c r="AH1191" i="1"/>
  <c r="AG1191" i="1"/>
  <c r="AF1191" i="1"/>
  <c r="AP1190" i="1"/>
  <c r="AO1190" i="1"/>
  <c r="AN1190" i="1"/>
  <c r="AM1190" i="1"/>
  <c r="AL1190" i="1"/>
  <c r="AK1190" i="1"/>
  <c r="AJ1190" i="1"/>
  <c r="AI1190" i="1"/>
  <c r="AH1190" i="1"/>
  <c r="AG1190" i="1"/>
  <c r="AF1190" i="1"/>
  <c r="AP1189" i="1"/>
  <c r="AO1189" i="1"/>
  <c r="AN1189" i="1"/>
  <c r="AM1189" i="1"/>
  <c r="AL1189" i="1"/>
  <c r="AK1189" i="1"/>
  <c r="AJ1189" i="1"/>
  <c r="AI1189" i="1"/>
  <c r="AH1189" i="1"/>
  <c r="AG1189" i="1"/>
  <c r="AF1189" i="1"/>
  <c r="AP1188" i="1"/>
  <c r="AO1188" i="1"/>
  <c r="AN1188" i="1"/>
  <c r="AM1188" i="1"/>
  <c r="AL1188" i="1"/>
  <c r="AK1188" i="1"/>
  <c r="AJ1188" i="1"/>
  <c r="AI1188" i="1"/>
  <c r="AH1188" i="1"/>
  <c r="AG1188" i="1"/>
  <c r="AF1188" i="1"/>
  <c r="AP1187" i="1"/>
  <c r="AO1187" i="1"/>
  <c r="AN1187" i="1"/>
  <c r="AM1187" i="1"/>
  <c r="AL1187" i="1"/>
  <c r="AK1187" i="1"/>
  <c r="AJ1187" i="1"/>
  <c r="AI1187" i="1"/>
  <c r="AH1187" i="1"/>
  <c r="AG1187" i="1"/>
  <c r="AF1187" i="1"/>
  <c r="AP1186" i="1"/>
  <c r="AO1186" i="1"/>
  <c r="AN1186" i="1"/>
  <c r="AM1186" i="1"/>
  <c r="AL1186" i="1"/>
  <c r="AK1186" i="1"/>
  <c r="AJ1186" i="1"/>
  <c r="AI1186" i="1"/>
  <c r="AH1186" i="1"/>
  <c r="AG1186" i="1"/>
  <c r="AF1186" i="1"/>
  <c r="AP1185" i="1"/>
  <c r="AO1185" i="1"/>
  <c r="AN1185" i="1"/>
  <c r="AM1185" i="1"/>
  <c r="AL1185" i="1"/>
  <c r="AK1185" i="1"/>
  <c r="AJ1185" i="1"/>
  <c r="AI1185" i="1"/>
  <c r="AH1185" i="1"/>
  <c r="AG1185" i="1"/>
  <c r="AF1185" i="1"/>
  <c r="AP1184" i="1"/>
  <c r="AO1184" i="1"/>
  <c r="AN1184" i="1"/>
  <c r="AM1184" i="1"/>
  <c r="AL1184" i="1"/>
  <c r="AK1184" i="1"/>
  <c r="AJ1184" i="1"/>
  <c r="AI1184" i="1"/>
  <c r="AH1184" i="1"/>
  <c r="AG1184" i="1"/>
  <c r="AF1184" i="1"/>
  <c r="AP1183" i="1"/>
  <c r="AO1183" i="1"/>
  <c r="AN1183" i="1"/>
  <c r="AM1183" i="1"/>
  <c r="AL1183" i="1"/>
  <c r="AK1183" i="1"/>
  <c r="AJ1183" i="1"/>
  <c r="AI1183" i="1"/>
  <c r="AH1183" i="1"/>
  <c r="AG1183" i="1"/>
  <c r="AF1183" i="1"/>
  <c r="AP1182" i="1"/>
  <c r="AO1182" i="1"/>
  <c r="AN1182" i="1"/>
  <c r="AM1182" i="1"/>
  <c r="AL1182" i="1"/>
  <c r="AK1182" i="1"/>
  <c r="AJ1182" i="1"/>
  <c r="AI1182" i="1"/>
  <c r="AH1182" i="1"/>
  <c r="AG1182" i="1"/>
  <c r="AF1182" i="1"/>
  <c r="AP1181" i="1"/>
  <c r="AO1181" i="1"/>
  <c r="AN1181" i="1"/>
  <c r="AM1181" i="1"/>
  <c r="AL1181" i="1"/>
  <c r="AK1181" i="1"/>
  <c r="AJ1181" i="1"/>
  <c r="AI1181" i="1"/>
  <c r="AH1181" i="1"/>
  <c r="AG1181" i="1"/>
  <c r="AF1181" i="1"/>
  <c r="AP1180" i="1"/>
  <c r="AO1180" i="1"/>
  <c r="AN1180" i="1"/>
  <c r="AM1180" i="1"/>
  <c r="AL1180" i="1"/>
  <c r="AK1180" i="1"/>
  <c r="AJ1180" i="1"/>
  <c r="AI1180" i="1"/>
  <c r="AH1180" i="1"/>
  <c r="AG1180" i="1"/>
  <c r="AF1180" i="1"/>
  <c r="AP1179" i="1"/>
  <c r="AO1179" i="1"/>
  <c r="AN1179" i="1"/>
  <c r="AM1179" i="1"/>
  <c r="AL1179" i="1"/>
  <c r="AK1179" i="1"/>
  <c r="AJ1179" i="1"/>
  <c r="AI1179" i="1"/>
  <c r="AH1179" i="1"/>
  <c r="AG1179" i="1"/>
  <c r="AF1179" i="1"/>
  <c r="AP1178" i="1"/>
  <c r="AO1178" i="1"/>
  <c r="AN1178" i="1"/>
  <c r="AM1178" i="1"/>
  <c r="AL1178" i="1"/>
  <c r="AK1178" i="1"/>
  <c r="AJ1178" i="1"/>
  <c r="AI1178" i="1"/>
  <c r="AH1178" i="1"/>
  <c r="AG1178" i="1"/>
  <c r="AF1178" i="1"/>
  <c r="AP1177" i="1"/>
  <c r="AO1177" i="1"/>
  <c r="AN1177" i="1"/>
  <c r="AM1177" i="1"/>
  <c r="AL1177" i="1"/>
  <c r="AK1177" i="1"/>
  <c r="AJ1177" i="1"/>
  <c r="AI1177" i="1"/>
  <c r="AH1177" i="1"/>
  <c r="AG1177" i="1"/>
  <c r="AF1177" i="1"/>
  <c r="AP1176" i="1"/>
  <c r="AO1176" i="1"/>
  <c r="AN1176" i="1"/>
  <c r="AM1176" i="1"/>
  <c r="AL1176" i="1"/>
  <c r="AK1176" i="1"/>
  <c r="AJ1176" i="1"/>
  <c r="AI1176" i="1"/>
  <c r="AH1176" i="1"/>
  <c r="AG1176" i="1"/>
  <c r="AF1176" i="1"/>
  <c r="AP1175" i="1"/>
  <c r="AO1175" i="1"/>
  <c r="AN1175" i="1"/>
  <c r="AM1175" i="1"/>
  <c r="AL1175" i="1"/>
  <c r="AK1175" i="1"/>
  <c r="AJ1175" i="1"/>
  <c r="AI1175" i="1"/>
  <c r="AH1175" i="1"/>
  <c r="AG1175" i="1"/>
  <c r="AF1175" i="1"/>
  <c r="AP1174" i="1"/>
  <c r="AO1174" i="1"/>
  <c r="AN1174" i="1"/>
  <c r="AM1174" i="1"/>
  <c r="AL1174" i="1"/>
  <c r="AK1174" i="1"/>
  <c r="AJ1174" i="1"/>
  <c r="AI1174" i="1"/>
  <c r="AH1174" i="1"/>
  <c r="AG1174" i="1"/>
  <c r="AF1174" i="1"/>
  <c r="AP1173" i="1"/>
  <c r="AO1173" i="1"/>
  <c r="AN1173" i="1"/>
  <c r="AM1173" i="1"/>
  <c r="AL1173" i="1"/>
  <c r="AK1173" i="1"/>
  <c r="AJ1173" i="1"/>
  <c r="AI1173" i="1"/>
  <c r="AH1173" i="1"/>
  <c r="AG1173" i="1"/>
  <c r="AF1173" i="1"/>
  <c r="AP1172" i="1"/>
  <c r="AO1172" i="1"/>
  <c r="AN1172" i="1"/>
  <c r="AM1172" i="1"/>
  <c r="AL1172" i="1"/>
  <c r="AK1172" i="1"/>
  <c r="AJ1172" i="1"/>
  <c r="AI1172" i="1"/>
  <c r="AH1172" i="1"/>
  <c r="AG1172" i="1"/>
  <c r="AF1172" i="1"/>
  <c r="AP1171" i="1"/>
  <c r="AO1171" i="1"/>
  <c r="AN1171" i="1"/>
  <c r="AM1171" i="1"/>
  <c r="AL1171" i="1"/>
  <c r="AK1171" i="1"/>
  <c r="AJ1171" i="1"/>
  <c r="AI1171" i="1"/>
  <c r="AH1171" i="1"/>
  <c r="AG1171" i="1"/>
  <c r="AF1171" i="1"/>
  <c r="AP1170" i="1"/>
  <c r="AO1170" i="1"/>
  <c r="AN1170" i="1"/>
  <c r="AM1170" i="1"/>
  <c r="AL1170" i="1"/>
  <c r="AK1170" i="1"/>
  <c r="AJ1170" i="1"/>
  <c r="AI1170" i="1"/>
  <c r="AH1170" i="1"/>
  <c r="AG1170" i="1"/>
  <c r="AF1170" i="1"/>
  <c r="AP1169" i="1"/>
  <c r="AO1169" i="1"/>
  <c r="AN1169" i="1"/>
  <c r="AM1169" i="1"/>
  <c r="AL1169" i="1"/>
  <c r="AK1169" i="1"/>
  <c r="AJ1169" i="1"/>
  <c r="AI1169" i="1"/>
  <c r="AH1169" i="1"/>
  <c r="AG1169" i="1"/>
  <c r="AF1169" i="1"/>
  <c r="AP1168" i="1"/>
  <c r="AO1168" i="1"/>
  <c r="AN1168" i="1"/>
  <c r="AM1168" i="1"/>
  <c r="AL1168" i="1"/>
  <c r="AK1168" i="1"/>
  <c r="AJ1168" i="1"/>
  <c r="AI1168" i="1"/>
  <c r="AH1168" i="1"/>
  <c r="AG1168" i="1"/>
  <c r="AF1168" i="1"/>
  <c r="AP1167" i="1"/>
  <c r="AO1167" i="1"/>
  <c r="AN1167" i="1"/>
  <c r="AM1167" i="1"/>
  <c r="AL1167" i="1"/>
  <c r="AK1167" i="1"/>
  <c r="AJ1167" i="1"/>
  <c r="AI1167" i="1"/>
  <c r="AH1167" i="1"/>
  <c r="AG1167" i="1"/>
  <c r="AF1167" i="1"/>
  <c r="AP1166" i="1"/>
  <c r="AO1166" i="1"/>
  <c r="AN1166" i="1"/>
  <c r="AM1166" i="1"/>
  <c r="AL1166" i="1"/>
  <c r="AK1166" i="1"/>
  <c r="AJ1166" i="1"/>
  <c r="AI1166" i="1"/>
  <c r="AH1166" i="1"/>
  <c r="AG1166" i="1"/>
  <c r="AF1166" i="1"/>
  <c r="AP1165" i="1"/>
  <c r="AO1165" i="1"/>
  <c r="AN1165" i="1"/>
  <c r="AM1165" i="1"/>
  <c r="AL1165" i="1"/>
  <c r="AK1165" i="1"/>
  <c r="AJ1165" i="1"/>
  <c r="AI1165" i="1"/>
  <c r="AH1165" i="1"/>
  <c r="AG1165" i="1"/>
  <c r="AF1165" i="1"/>
  <c r="AP1164" i="1"/>
  <c r="AO1164" i="1"/>
  <c r="AN1164" i="1"/>
  <c r="AM1164" i="1"/>
  <c r="AL1164" i="1"/>
  <c r="AK1164" i="1"/>
  <c r="AJ1164" i="1"/>
  <c r="AI1164" i="1"/>
  <c r="AH1164" i="1"/>
  <c r="AG1164" i="1"/>
  <c r="AF1164" i="1"/>
  <c r="AP1163" i="1"/>
  <c r="AO1163" i="1"/>
  <c r="AN1163" i="1"/>
  <c r="AM1163" i="1"/>
  <c r="AL1163" i="1"/>
  <c r="AK1163" i="1"/>
  <c r="AJ1163" i="1"/>
  <c r="AI1163" i="1"/>
  <c r="AH1163" i="1"/>
  <c r="AG1163" i="1"/>
  <c r="AF1163" i="1"/>
  <c r="AP1162" i="1"/>
  <c r="AO1162" i="1"/>
  <c r="AN1162" i="1"/>
  <c r="AM1162" i="1"/>
  <c r="AL1162" i="1"/>
  <c r="AK1162" i="1"/>
  <c r="AJ1162" i="1"/>
  <c r="AI1162" i="1"/>
  <c r="AH1162" i="1"/>
  <c r="AG1162" i="1"/>
  <c r="AF1162" i="1"/>
  <c r="AP1161" i="1"/>
  <c r="AO1161" i="1"/>
  <c r="AN1161" i="1"/>
  <c r="AM1161" i="1"/>
  <c r="AL1161" i="1"/>
  <c r="AK1161" i="1"/>
  <c r="AJ1161" i="1"/>
  <c r="AI1161" i="1"/>
  <c r="AH1161" i="1"/>
  <c r="AG1161" i="1"/>
  <c r="AF1161" i="1"/>
  <c r="AP1160" i="1"/>
  <c r="AO1160" i="1"/>
  <c r="AN1160" i="1"/>
  <c r="AM1160" i="1"/>
  <c r="AL1160" i="1"/>
  <c r="AK1160" i="1"/>
  <c r="AJ1160" i="1"/>
  <c r="AI1160" i="1"/>
  <c r="AH1160" i="1"/>
  <c r="AG1160" i="1"/>
  <c r="AF1160" i="1"/>
  <c r="AP1159" i="1"/>
  <c r="AO1159" i="1"/>
  <c r="AN1159" i="1"/>
  <c r="AM1159" i="1"/>
  <c r="AL1159" i="1"/>
  <c r="AK1159" i="1"/>
  <c r="AJ1159" i="1"/>
  <c r="AI1159" i="1"/>
  <c r="AH1159" i="1"/>
  <c r="AG1159" i="1"/>
  <c r="AF1159" i="1"/>
  <c r="AP1158" i="1"/>
  <c r="AO1158" i="1"/>
  <c r="AN1158" i="1"/>
  <c r="AM1158" i="1"/>
  <c r="AL1158" i="1"/>
  <c r="AK1158" i="1"/>
  <c r="AJ1158" i="1"/>
  <c r="AI1158" i="1"/>
  <c r="AH1158" i="1"/>
  <c r="AG1158" i="1"/>
  <c r="AF1158" i="1"/>
  <c r="AP1157" i="1"/>
  <c r="AO1157" i="1"/>
  <c r="AN1157" i="1"/>
  <c r="AM1157" i="1"/>
  <c r="AL1157" i="1"/>
  <c r="AK1157" i="1"/>
  <c r="AJ1157" i="1"/>
  <c r="AI1157" i="1"/>
  <c r="AH1157" i="1"/>
  <c r="AG1157" i="1"/>
  <c r="AF1157" i="1"/>
  <c r="AP1156" i="1"/>
  <c r="AO1156" i="1"/>
  <c r="AN1156" i="1"/>
  <c r="AM1156" i="1"/>
  <c r="AL1156" i="1"/>
  <c r="AK1156" i="1"/>
  <c r="AJ1156" i="1"/>
  <c r="AI1156" i="1"/>
  <c r="AH1156" i="1"/>
  <c r="AG1156" i="1"/>
  <c r="AF1156" i="1"/>
  <c r="AP1155" i="1"/>
  <c r="AO1155" i="1"/>
  <c r="AN1155" i="1"/>
  <c r="AM1155" i="1"/>
  <c r="AL1155" i="1"/>
  <c r="AK1155" i="1"/>
  <c r="AJ1155" i="1"/>
  <c r="AI1155" i="1"/>
  <c r="AH1155" i="1"/>
  <c r="AG1155" i="1"/>
  <c r="AF1155" i="1"/>
  <c r="AP1154" i="1"/>
  <c r="AO1154" i="1"/>
  <c r="AN1154" i="1"/>
  <c r="AM1154" i="1"/>
  <c r="AL1154" i="1"/>
  <c r="AK1154" i="1"/>
  <c r="AJ1154" i="1"/>
  <c r="AI1154" i="1"/>
  <c r="AH1154" i="1"/>
  <c r="AG1154" i="1"/>
  <c r="AF1154" i="1"/>
  <c r="AP1153" i="1"/>
  <c r="AO1153" i="1"/>
  <c r="AN1153" i="1"/>
  <c r="AM1153" i="1"/>
  <c r="AL1153" i="1"/>
  <c r="AK1153" i="1"/>
  <c r="AJ1153" i="1"/>
  <c r="AI1153" i="1"/>
  <c r="AH1153" i="1"/>
  <c r="AG1153" i="1"/>
  <c r="AF1153" i="1"/>
  <c r="AP1152" i="1"/>
  <c r="AO1152" i="1"/>
  <c r="AN1152" i="1"/>
  <c r="AM1152" i="1"/>
  <c r="AL1152" i="1"/>
  <c r="AK1152" i="1"/>
  <c r="AJ1152" i="1"/>
  <c r="AI1152" i="1"/>
  <c r="AH1152" i="1"/>
  <c r="AG1152" i="1"/>
  <c r="AF1152" i="1"/>
  <c r="AP1151" i="1"/>
  <c r="AO1151" i="1"/>
  <c r="AN1151" i="1"/>
  <c r="AM1151" i="1"/>
  <c r="AL1151" i="1"/>
  <c r="AK1151" i="1"/>
  <c r="AJ1151" i="1"/>
  <c r="AI1151" i="1"/>
  <c r="AH1151" i="1"/>
  <c r="AG1151" i="1"/>
  <c r="AF1151" i="1"/>
  <c r="AP1150" i="1"/>
  <c r="AO1150" i="1"/>
  <c r="AN1150" i="1"/>
  <c r="AM1150" i="1"/>
  <c r="AL1150" i="1"/>
  <c r="AK1150" i="1"/>
  <c r="AJ1150" i="1"/>
  <c r="AI1150" i="1"/>
  <c r="AH1150" i="1"/>
  <c r="AG1150" i="1"/>
  <c r="AF1150" i="1"/>
  <c r="AP1149" i="1"/>
  <c r="AO1149" i="1"/>
  <c r="AN1149" i="1"/>
  <c r="AM1149" i="1"/>
  <c r="AL1149" i="1"/>
  <c r="AK1149" i="1"/>
  <c r="AJ1149" i="1"/>
  <c r="AI1149" i="1"/>
  <c r="AH1149" i="1"/>
  <c r="AG1149" i="1"/>
  <c r="AF1149" i="1"/>
  <c r="AP1148" i="1"/>
  <c r="AO1148" i="1"/>
  <c r="AN1148" i="1"/>
  <c r="AM1148" i="1"/>
  <c r="AL1148" i="1"/>
  <c r="AK1148" i="1"/>
  <c r="AJ1148" i="1"/>
  <c r="AI1148" i="1"/>
  <c r="AH1148" i="1"/>
  <c r="AG1148" i="1"/>
  <c r="AF1148" i="1"/>
  <c r="AP1147" i="1"/>
  <c r="AO1147" i="1"/>
  <c r="AN1147" i="1"/>
  <c r="AM1147" i="1"/>
  <c r="AL1147" i="1"/>
  <c r="AK1147" i="1"/>
  <c r="AJ1147" i="1"/>
  <c r="AI1147" i="1"/>
  <c r="AH1147" i="1"/>
  <c r="AG1147" i="1"/>
  <c r="AF1147" i="1"/>
  <c r="AP1146" i="1"/>
  <c r="AO1146" i="1"/>
  <c r="AN1146" i="1"/>
  <c r="AM1146" i="1"/>
  <c r="AL1146" i="1"/>
  <c r="AK1146" i="1"/>
  <c r="AJ1146" i="1"/>
  <c r="AI1146" i="1"/>
  <c r="AH1146" i="1"/>
  <c r="AG1146" i="1"/>
  <c r="AF1146" i="1"/>
  <c r="AP1145" i="1"/>
  <c r="AO1145" i="1"/>
  <c r="AN1145" i="1"/>
  <c r="AM1145" i="1"/>
  <c r="AL1145" i="1"/>
  <c r="AK1145" i="1"/>
  <c r="AJ1145" i="1"/>
  <c r="AI1145" i="1"/>
  <c r="AH1145" i="1"/>
  <c r="AG1145" i="1"/>
  <c r="AF1145" i="1"/>
  <c r="AP1144" i="1"/>
  <c r="AO1144" i="1"/>
  <c r="AN1144" i="1"/>
  <c r="AM1144" i="1"/>
  <c r="AL1144" i="1"/>
  <c r="AK1144" i="1"/>
  <c r="AJ1144" i="1"/>
  <c r="AI1144" i="1"/>
  <c r="AH1144" i="1"/>
  <c r="AG1144" i="1"/>
  <c r="AF1144" i="1"/>
  <c r="AP1143" i="1"/>
  <c r="AO1143" i="1"/>
  <c r="AN1143" i="1"/>
  <c r="AM1143" i="1"/>
  <c r="AL1143" i="1"/>
  <c r="AK1143" i="1"/>
  <c r="AJ1143" i="1"/>
  <c r="AI1143" i="1"/>
  <c r="AH1143" i="1"/>
  <c r="AG1143" i="1"/>
  <c r="AF1143" i="1"/>
  <c r="AP1142" i="1"/>
  <c r="AO1142" i="1"/>
  <c r="AN1142" i="1"/>
  <c r="AM1142" i="1"/>
  <c r="AL1142" i="1"/>
  <c r="AK1142" i="1"/>
  <c r="AJ1142" i="1"/>
  <c r="AI1142" i="1"/>
  <c r="AH1142" i="1"/>
  <c r="AG1142" i="1"/>
  <c r="AF1142" i="1"/>
  <c r="AP1141" i="1"/>
  <c r="AO1141" i="1"/>
  <c r="AN1141" i="1"/>
  <c r="AM1141" i="1"/>
  <c r="AL1141" i="1"/>
  <c r="AK1141" i="1"/>
  <c r="AJ1141" i="1"/>
  <c r="AI1141" i="1"/>
  <c r="AH1141" i="1"/>
  <c r="AG1141" i="1"/>
  <c r="AF1141" i="1"/>
  <c r="AP1140" i="1"/>
  <c r="AO1140" i="1"/>
  <c r="AN1140" i="1"/>
  <c r="AM1140" i="1"/>
  <c r="AL1140" i="1"/>
  <c r="AK1140" i="1"/>
  <c r="AJ1140" i="1"/>
  <c r="AI1140" i="1"/>
  <c r="AH1140" i="1"/>
  <c r="AG1140" i="1"/>
  <c r="AF1140" i="1"/>
  <c r="AP1139" i="1"/>
  <c r="AO1139" i="1"/>
  <c r="AN1139" i="1"/>
  <c r="AM1139" i="1"/>
  <c r="AL1139" i="1"/>
  <c r="AK1139" i="1"/>
  <c r="AJ1139" i="1"/>
  <c r="AI1139" i="1"/>
  <c r="AH1139" i="1"/>
  <c r="AG1139" i="1"/>
  <c r="AF1139" i="1"/>
  <c r="AP1138" i="1"/>
  <c r="AO1138" i="1"/>
  <c r="AN1138" i="1"/>
  <c r="AM1138" i="1"/>
  <c r="AL1138" i="1"/>
  <c r="AK1138" i="1"/>
  <c r="AJ1138" i="1"/>
  <c r="AI1138" i="1"/>
  <c r="AH1138" i="1"/>
  <c r="AG1138" i="1"/>
  <c r="AF1138" i="1"/>
  <c r="AP1137" i="1"/>
  <c r="AO1137" i="1"/>
  <c r="AN1137" i="1"/>
  <c r="AM1137" i="1"/>
  <c r="AL1137" i="1"/>
  <c r="AK1137" i="1"/>
  <c r="AJ1137" i="1"/>
  <c r="AI1137" i="1"/>
  <c r="AH1137" i="1"/>
  <c r="AG1137" i="1"/>
  <c r="AF1137" i="1"/>
  <c r="AP1136" i="1"/>
  <c r="AO1136" i="1"/>
  <c r="AN1136" i="1"/>
  <c r="AM1136" i="1"/>
  <c r="AL1136" i="1"/>
  <c r="AK1136" i="1"/>
  <c r="AJ1136" i="1"/>
  <c r="AI1136" i="1"/>
  <c r="AH1136" i="1"/>
  <c r="AG1136" i="1"/>
  <c r="AF1136" i="1"/>
  <c r="AP1135" i="1"/>
  <c r="AO1135" i="1"/>
  <c r="AN1135" i="1"/>
  <c r="AM1135" i="1"/>
  <c r="AL1135" i="1"/>
  <c r="AK1135" i="1"/>
  <c r="AJ1135" i="1"/>
  <c r="AI1135" i="1"/>
  <c r="AH1135" i="1"/>
  <c r="AG1135" i="1"/>
  <c r="AF1135" i="1"/>
  <c r="AP1134" i="1"/>
  <c r="AO1134" i="1"/>
  <c r="AN1134" i="1"/>
  <c r="AM1134" i="1"/>
  <c r="AL1134" i="1"/>
  <c r="AK1134" i="1"/>
  <c r="AJ1134" i="1"/>
  <c r="AI1134" i="1"/>
  <c r="AH1134" i="1"/>
  <c r="AG1134" i="1"/>
  <c r="AF1134" i="1"/>
  <c r="AP1133" i="1"/>
  <c r="AO1133" i="1"/>
  <c r="AN1133" i="1"/>
  <c r="AM1133" i="1"/>
  <c r="AL1133" i="1"/>
  <c r="AK1133" i="1"/>
  <c r="AJ1133" i="1"/>
  <c r="AI1133" i="1"/>
  <c r="AH1133" i="1"/>
  <c r="AG1133" i="1"/>
  <c r="AF1133" i="1"/>
  <c r="AP1132" i="1"/>
  <c r="AO1132" i="1"/>
  <c r="AN1132" i="1"/>
  <c r="AM1132" i="1"/>
  <c r="AL1132" i="1"/>
  <c r="AK1132" i="1"/>
  <c r="AJ1132" i="1"/>
  <c r="AI1132" i="1"/>
  <c r="AH1132" i="1"/>
  <c r="AG1132" i="1"/>
  <c r="AF1132" i="1"/>
  <c r="AP1131" i="1"/>
  <c r="AO1131" i="1"/>
  <c r="AN1131" i="1"/>
  <c r="AM1131" i="1"/>
  <c r="AL1131" i="1"/>
  <c r="AK1131" i="1"/>
  <c r="AJ1131" i="1"/>
  <c r="AI1131" i="1"/>
  <c r="AH1131" i="1"/>
  <c r="AG1131" i="1"/>
  <c r="AF1131" i="1"/>
  <c r="AP1130" i="1"/>
  <c r="AO1130" i="1"/>
  <c r="AN1130" i="1"/>
  <c r="AM1130" i="1"/>
  <c r="AL1130" i="1"/>
  <c r="AK1130" i="1"/>
  <c r="AJ1130" i="1"/>
  <c r="AI1130" i="1"/>
  <c r="AH1130" i="1"/>
  <c r="AG1130" i="1"/>
  <c r="AF1130" i="1"/>
  <c r="AP1129" i="1"/>
  <c r="AO1129" i="1"/>
  <c r="AN1129" i="1"/>
  <c r="AM1129" i="1"/>
  <c r="AL1129" i="1"/>
  <c r="AK1129" i="1"/>
  <c r="AJ1129" i="1"/>
  <c r="AI1129" i="1"/>
  <c r="AH1129" i="1"/>
  <c r="AG1129" i="1"/>
  <c r="AF1129" i="1"/>
  <c r="AP1128" i="1"/>
  <c r="AO1128" i="1"/>
  <c r="AN1128" i="1"/>
  <c r="AM1128" i="1"/>
  <c r="AL1128" i="1"/>
  <c r="AK1128" i="1"/>
  <c r="AJ1128" i="1"/>
  <c r="AI1128" i="1"/>
  <c r="AH1128" i="1"/>
  <c r="AG1128" i="1"/>
  <c r="AF1128" i="1"/>
  <c r="AP1127" i="1"/>
  <c r="AO1127" i="1"/>
  <c r="AN1127" i="1"/>
  <c r="AM1127" i="1"/>
  <c r="AL1127" i="1"/>
  <c r="AK1127" i="1"/>
  <c r="AJ1127" i="1"/>
  <c r="AI1127" i="1"/>
  <c r="AH1127" i="1"/>
  <c r="AG1127" i="1"/>
  <c r="AF1127" i="1"/>
  <c r="AP1126" i="1"/>
  <c r="AO1126" i="1"/>
  <c r="AN1126" i="1"/>
  <c r="AM1126" i="1"/>
  <c r="AL1126" i="1"/>
  <c r="AK1126" i="1"/>
  <c r="AJ1126" i="1"/>
  <c r="AI1126" i="1"/>
  <c r="AH1126" i="1"/>
  <c r="AG1126" i="1"/>
  <c r="AF1126" i="1"/>
  <c r="AP1125" i="1"/>
  <c r="AO1125" i="1"/>
  <c r="AN1125" i="1"/>
  <c r="AM1125" i="1"/>
  <c r="AL1125" i="1"/>
  <c r="AK1125" i="1"/>
  <c r="AJ1125" i="1"/>
  <c r="AI1125" i="1"/>
  <c r="AH1125" i="1"/>
  <c r="AG1125" i="1"/>
  <c r="AF1125" i="1"/>
  <c r="AP1124" i="1"/>
  <c r="AO1124" i="1"/>
  <c r="AN1124" i="1"/>
  <c r="AM1124" i="1"/>
  <c r="AL1124" i="1"/>
  <c r="AK1124" i="1"/>
  <c r="AJ1124" i="1"/>
  <c r="AI1124" i="1"/>
  <c r="AH1124" i="1"/>
  <c r="AG1124" i="1"/>
  <c r="AF1124" i="1"/>
  <c r="AP1123" i="1"/>
  <c r="AO1123" i="1"/>
  <c r="AN1123" i="1"/>
  <c r="AM1123" i="1"/>
  <c r="AL1123" i="1"/>
  <c r="AK1123" i="1"/>
  <c r="AJ1123" i="1"/>
  <c r="AI1123" i="1"/>
  <c r="AH1123" i="1"/>
  <c r="AG1123" i="1"/>
  <c r="AF1123" i="1"/>
  <c r="AP1122" i="1"/>
  <c r="AO1122" i="1"/>
  <c r="AN1122" i="1"/>
  <c r="AM1122" i="1"/>
  <c r="AL1122" i="1"/>
  <c r="AK1122" i="1"/>
  <c r="AJ1122" i="1"/>
  <c r="AI1122" i="1"/>
  <c r="AH1122" i="1"/>
  <c r="AG1122" i="1"/>
  <c r="AF1122" i="1"/>
  <c r="AP1121" i="1"/>
  <c r="AO1121" i="1"/>
  <c r="AN1121" i="1"/>
  <c r="AM1121" i="1"/>
  <c r="AL1121" i="1"/>
  <c r="AK1121" i="1"/>
  <c r="AJ1121" i="1"/>
  <c r="AI1121" i="1"/>
  <c r="AH1121" i="1"/>
  <c r="AG1121" i="1"/>
  <c r="AF1121" i="1"/>
  <c r="AP1120" i="1"/>
  <c r="AO1120" i="1"/>
  <c r="AN1120" i="1"/>
  <c r="AM1120" i="1"/>
  <c r="AL1120" i="1"/>
  <c r="AK1120" i="1"/>
  <c r="AJ1120" i="1"/>
  <c r="AI1120" i="1"/>
  <c r="AH1120" i="1"/>
  <c r="AG1120" i="1"/>
  <c r="AF1120" i="1"/>
  <c r="AP1119" i="1"/>
  <c r="AO1119" i="1"/>
  <c r="AN1119" i="1"/>
  <c r="AM1119" i="1"/>
  <c r="AL1119" i="1"/>
  <c r="AK1119" i="1"/>
  <c r="AJ1119" i="1"/>
  <c r="AI1119" i="1"/>
  <c r="AH1119" i="1"/>
  <c r="AG1119" i="1"/>
  <c r="AF1119" i="1"/>
  <c r="AP1118" i="1"/>
  <c r="AO1118" i="1"/>
  <c r="AN1118" i="1"/>
  <c r="AM1118" i="1"/>
  <c r="AL1118" i="1"/>
  <c r="AK1118" i="1"/>
  <c r="AJ1118" i="1"/>
  <c r="AI1118" i="1"/>
  <c r="AH1118" i="1"/>
  <c r="AG1118" i="1"/>
  <c r="AF1118" i="1"/>
  <c r="AP1117" i="1"/>
  <c r="AO1117" i="1"/>
  <c r="AN1117" i="1"/>
  <c r="AM1117" i="1"/>
  <c r="AL1117" i="1"/>
  <c r="AK1117" i="1"/>
  <c r="AJ1117" i="1"/>
  <c r="AI1117" i="1"/>
  <c r="AH1117" i="1"/>
  <c r="AG1117" i="1"/>
  <c r="AF1117" i="1"/>
  <c r="AP1116" i="1"/>
  <c r="AO1116" i="1"/>
  <c r="AN1116" i="1"/>
  <c r="AM1116" i="1"/>
  <c r="AL1116" i="1"/>
  <c r="AK1116" i="1"/>
  <c r="AJ1116" i="1"/>
  <c r="AI1116" i="1"/>
  <c r="AH1116" i="1"/>
  <c r="AG1116" i="1"/>
  <c r="AF1116" i="1"/>
  <c r="AP1115" i="1"/>
  <c r="AO1115" i="1"/>
  <c r="AN1115" i="1"/>
  <c r="AM1115" i="1"/>
  <c r="AL1115" i="1"/>
  <c r="AK1115" i="1"/>
  <c r="AJ1115" i="1"/>
  <c r="AI1115" i="1"/>
  <c r="AH1115" i="1"/>
  <c r="AG1115" i="1"/>
  <c r="AF1115" i="1"/>
  <c r="AP1114" i="1"/>
  <c r="AO1114" i="1"/>
  <c r="AN1114" i="1"/>
  <c r="AM1114" i="1"/>
  <c r="AL1114" i="1"/>
  <c r="AK1114" i="1"/>
  <c r="AJ1114" i="1"/>
  <c r="AI1114" i="1"/>
  <c r="AH1114" i="1"/>
  <c r="AG1114" i="1"/>
  <c r="AF1114" i="1"/>
  <c r="AP1113" i="1"/>
  <c r="AO1113" i="1"/>
  <c r="AN1113" i="1"/>
  <c r="AM1113" i="1"/>
  <c r="AL1113" i="1"/>
  <c r="AK1113" i="1"/>
  <c r="AJ1113" i="1"/>
  <c r="AI1113" i="1"/>
  <c r="AH1113" i="1"/>
  <c r="AG1113" i="1"/>
  <c r="AF1113" i="1"/>
  <c r="AP1112" i="1"/>
  <c r="AO1112" i="1"/>
  <c r="AN1112" i="1"/>
  <c r="AM1112" i="1"/>
  <c r="AL1112" i="1"/>
  <c r="AK1112" i="1"/>
  <c r="AJ1112" i="1"/>
  <c r="AI1112" i="1"/>
  <c r="AH1112" i="1"/>
  <c r="AG1112" i="1"/>
  <c r="AF1112" i="1"/>
  <c r="AP1111" i="1"/>
  <c r="AO1111" i="1"/>
  <c r="AN1111" i="1"/>
  <c r="AM1111" i="1"/>
  <c r="AL1111" i="1"/>
  <c r="AK1111" i="1"/>
  <c r="AJ1111" i="1"/>
  <c r="AI1111" i="1"/>
  <c r="AH1111" i="1"/>
  <c r="AG1111" i="1"/>
  <c r="AF1111" i="1"/>
  <c r="AP1110" i="1"/>
  <c r="AO1110" i="1"/>
  <c r="AN1110" i="1"/>
  <c r="AM1110" i="1"/>
  <c r="AL1110" i="1"/>
  <c r="AK1110" i="1"/>
  <c r="AJ1110" i="1"/>
  <c r="AI1110" i="1"/>
  <c r="AH1110" i="1"/>
  <c r="AG1110" i="1"/>
  <c r="AF1110" i="1"/>
  <c r="AP1109" i="1"/>
  <c r="AO1109" i="1"/>
  <c r="AN1109" i="1"/>
  <c r="AM1109" i="1"/>
  <c r="AL1109" i="1"/>
  <c r="AK1109" i="1"/>
  <c r="AJ1109" i="1"/>
  <c r="AI1109" i="1"/>
  <c r="AH1109" i="1"/>
  <c r="AG1109" i="1"/>
  <c r="AF1109" i="1"/>
  <c r="AP1108" i="1"/>
  <c r="AO1108" i="1"/>
  <c r="AN1108" i="1"/>
  <c r="AM1108" i="1"/>
  <c r="AL1108" i="1"/>
  <c r="AK1108" i="1"/>
  <c r="AJ1108" i="1"/>
  <c r="AI1108" i="1"/>
  <c r="AH1108" i="1"/>
  <c r="AG1108" i="1"/>
  <c r="AF1108" i="1"/>
  <c r="AP1107" i="1"/>
  <c r="AO1107" i="1"/>
  <c r="AN1107" i="1"/>
  <c r="AM1107" i="1"/>
  <c r="AL1107" i="1"/>
  <c r="AK1107" i="1"/>
  <c r="AJ1107" i="1"/>
  <c r="AI1107" i="1"/>
  <c r="AH1107" i="1"/>
  <c r="AG1107" i="1"/>
  <c r="AF1107" i="1"/>
  <c r="AP1106" i="1"/>
  <c r="AO1106" i="1"/>
  <c r="AN1106" i="1"/>
  <c r="AM1106" i="1"/>
  <c r="AL1106" i="1"/>
  <c r="AK1106" i="1"/>
  <c r="AJ1106" i="1"/>
  <c r="AI1106" i="1"/>
  <c r="AH1106" i="1"/>
  <c r="AG1106" i="1"/>
  <c r="AF1106" i="1"/>
  <c r="AP1105" i="1"/>
  <c r="AO1105" i="1"/>
  <c r="AN1105" i="1"/>
  <c r="AM1105" i="1"/>
  <c r="AL1105" i="1"/>
  <c r="AK1105" i="1"/>
  <c r="AJ1105" i="1"/>
  <c r="AI1105" i="1"/>
  <c r="AH1105" i="1"/>
  <c r="AG1105" i="1"/>
  <c r="AF1105" i="1"/>
  <c r="AP1104" i="1"/>
  <c r="AO1104" i="1"/>
  <c r="AN1104" i="1"/>
  <c r="AM1104" i="1"/>
  <c r="AL1104" i="1"/>
  <c r="AK1104" i="1"/>
  <c r="AJ1104" i="1"/>
  <c r="AI1104" i="1"/>
  <c r="AH1104" i="1"/>
  <c r="AG1104" i="1"/>
  <c r="AF1104" i="1"/>
  <c r="AP1103" i="1"/>
  <c r="AO1103" i="1"/>
  <c r="AN1103" i="1"/>
  <c r="AM1103" i="1"/>
  <c r="AL1103" i="1"/>
  <c r="AK1103" i="1"/>
  <c r="AJ1103" i="1"/>
  <c r="AI1103" i="1"/>
  <c r="AH1103" i="1"/>
  <c r="AG1103" i="1"/>
  <c r="AF1103" i="1"/>
  <c r="AP1102" i="1"/>
  <c r="AO1102" i="1"/>
  <c r="AN1102" i="1"/>
  <c r="AM1102" i="1"/>
  <c r="AL1102" i="1"/>
  <c r="AK1102" i="1"/>
  <c r="AJ1102" i="1"/>
  <c r="AI1102" i="1"/>
  <c r="AH1102" i="1"/>
  <c r="AG1102" i="1"/>
  <c r="AF1102" i="1"/>
  <c r="AP1101" i="1"/>
  <c r="AO1101" i="1"/>
  <c r="AN1101" i="1"/>
  <c r="AM1101" i="1"/>
  <c r="AL1101" i="1"/>
  <c r="AK1101" i="1"/>
  <c r="AJ1101" i="1"/>
  <c r="AI1101" i="1"/>
  <c r="AH1101" i="1"/>
  <c r="AG1101" i="1"/>
  <c r="AF1101" i="1"/>
  <c r="AP1100" i="1"/>
  <c r="AO1100" i="1"/>
  <c r="AN1100" i="1"/>
  <c r="AM1100" i="1"/>
  <c r="AL1100" i="1"/>
  <c r="AK1100" i="1"/>
  <c r="AJ1100" i="1"/>
  <c r="AI1100" i="1"/>
  <c r="AH1100" i="1"/>
  <c r="AG1100" i="1"/>
  <c r="AF1100" i="1"/>
  <c r="AP1099" i="1"/>
  <c r="AO1099" i="1"/>
  <c r="AN1099" i="1"/>
  <c r="AM1099" i="1"/>
  <c r="AL1099" i="1"/>
  <c r="AK1099" i="1"/>
  <c r="AJ1099" i="1"/>
  <c r="AI1099" i="1"/>
  <c r="AH1099" i="1"/>
  <c r="AG1099" i="1"/>
  <c r="AF1099" i="1"/>
  <c r="AP1098" i="1"/>
  <c r="AO1098" i="1"/>
  <c r="AN1098" i="1"/>
  <c r="AM1098" i="1"/>
  <c r="AL1098" i="1"/>
  <c r="AK1098" i="1"/>
  <c r="AJ1098" i="1"/>
  <c r="AI1098" i="1"/>
  <c r="AH1098" i="1"/>
  <c r="AG1098" i="1"/>
  <c r="AF1098" i="1"/>
  <c r="AP1097" i="1"/>
  <c r="AO1097" i="1"/>
  <c r="AN1097" i="1"/>
  <c r="AM1097" i="1"/>
  <c r="AL1097" i="1"/>
  <c r="AK1097" i="1"/>
  <c r="AJ1097" i="1"/>
  <c r="AI1097" i="1"/>
  <c r="AH1097" i="1"/>
  <c r="AG1097" i="1"/>
  <c r="AF1097" i="1"/>
  <c r="AP1096" i="1"/>
  <c r="AO1096" i="1"/>
  <c r="AN1096" i="1"/>
  <c r="AM1096" i="1"/>
  <c r="AL1096" i="1"/>
  <c r="AK1096" i="1"/>
  <c r="AJ1096" i="1"/>
  <c r="AI1096" i="1"/>
  <c r="AH1096" i="1"/>
  <c r="AG1096" i="1"/>
  <c r="AF1096" i="1"/>
  <c r="AP1095" i="1"/>
  <c r="AO1095" i="1"/>
  <c r="AN1095" i="1"/>
  <c r="AM1095" i="1"/>
  <c r="AL1095" i="1"/>
  <c r="AK1095" i="1"/>
  <c r="AJ1095" i="1"/>
  <c r="AI1095" i="1"/>
  <c r="AH1095" i="1"/>
  <c r="AG1095" i="1"/>
  <c r="AF1095" i="1"/>
  <c r="AP1094" i="1"/>
  <c r="AO1094" i="1"/>
  <c r="AN1094" i="1"/>
  <c r="AM1094" i="1"/>
  <c r="AL1094" i="1"/>
  <c r="AK1094" i="1"/>
  <c r="AJ1094" i="1"/>
  <c r="AI1094" i="1"/>
  <c r="AH1094" i="1"/>
  <c r="AG1094" i="1"/>
  <c r="AF1094" i="1"/>
  <c r="AP1093" i="1"/>
  <c r="AO1093" i="1"/>
  <c r="AN1093" i="1"/>
  <c r="AM1093" i="1"/>
  <c r="AL1093" i="1"/>
  <c r="AK1093" i="1"/>
  <c r="AJ1093" i="1"/>
  <c r="AI1093" i="1"/>
  <c r="AH1093" i="1"/>
  <c r="AG1093" i="1"/>
  <c r="AF1093" i="1"/>
  <c r="AP1092" i="1"/>
  <c r="AO1092" i="1"/>
  <c r="AN1092" i="1"/>
  <c r="AM1092" i="1"/>
  <c r="AL1092" i="1"/>
  <c r="AK1092" i="1"/>
  <c r="AJ1092" i="1"/>
  <c r="AI1092" i="1"/>
  <c r="AH1092" i="1"/>
  <c r="AG1092" i="1"/>
  <c r="AF1092" i="1"/>
  <c r="AP1091" i="1"/>
  <c r="AO1091" i="1"/>
  <c r="AN1091" i="1"/>
  <c r="AM1091" i="1"/>
  <c r="AL1091" i="1"/>
  <c r="AK1091" i="1"/>
  <c r="AJ1091" i="1"/>
  <c r="AI1091" i="1"/>
  <c r="AH1091" i="1"/>
  <c r="AG1091" i="1"/>
  <c r="AF1091" i="1"/>
  <c r="AP1090" i="1"/>
  <c r="AO1090" i="1"/>
  <c r="AN1090" i="1"/>
  <c r="AM1090" i="1"/>
  <c r="AL1090" i="1"/>
  <c r="AK1090" i="1"/>
  <c r="AJ1090" i="1"/>
  <c r="AI1090" i="1"/>
  <c r="AH1090" i="1"/>
  <c r="AG1090" i="1"/>
  <c r="AF1090" i="1"/>
  <c r="AP1089" i="1"/>
  <c r="AO1089" i="1"/>
  <c r="AN1089" i="1"/>
  <c r="AM1089" i="1"/>
  <c r="AL1089" i="1"/>
  <c r="AK1089" i="1"/>
  <c r="AJ1089" i="1"/>
  <c r="AI1089" i="1"/>
  <c r="AH1089" i="1"/>
  <c r="AG1089" i="1"/>
  <c r="AF1089" i="1"/>
  <c r="AP1088" i="1"/>
  <c r="AO1088" i="1"/>
  <c r="AN1088" i="1"/>
  <c r="AM1088" i="1"/>
  <c r="AL1088" i="1"/>
  <c r="AK1088" i="1"/>
  <c r="AJ1088" i="1"/>
  <c r="AI1088" i="1"/>
  <c r="AH1088" i="1"/>
  <c r="AG1088" i="1"/>
  <c r="AF1088" i="1"/>
  <c r="AP1087" i="1"/>
  <c r="AO1087" i="1"/>
  <c r="AN1087" i="1"/>
  <c r="AM1087" i="1"/>
  <c r="AL1087" i="1"/>
  <c r="AK1087" i="1"/>
  <c r="AJ1087" i="1"/>
  <c r="AI1087" i="1"/>
  <c r="AH1087" i="1"/>
  <c r="AG1087" i="1"/>
  <c r="AF1087" i="1"/>
  <c r="AP1086" i="1"/>
  <c r="AO1086" i="1"/>
  <c r="AN1086" i="1"/>
  <c r="AM1086" i="1"/>
  <c r="AL1086" i="1"/>
  <c r="AK1086" i="1"/>
  <c r="AJ1086" i="1"/>
  <c r="AI1086" i="1"/>
  <c r="AH1086" i="1"/>
  <c r="AG1086" i="1"/>
  <c r="AF1086" i="1"/>
  <c r="AP1085" i="1"/>
  <c r="AO1085" i="1"/>
  <c r="AN1085" i="1"/>
  <c r="AM1085" i="1"/>
  <c r="AL1085" i="1"/>
  <c r="AK1085" i="1"/>
  <c r="AJ1085" i="1"/>
  <c r="AI1085" i="1"/>
  <c r="AH1085" i="1"/>
  <c r="AG1085" i="1"/>
  <c r="AF1085" i="1"/>
  <c r="AP1084" i="1"/>
  <c r="AO1084" i="1"/>
  <c r="AN1084" i="1"/>
  <c r="AM1084" i="1"/>
  <c r="AL1084" i="1"/>
  <c r="AK1084" i="1"/>
  <c r="AJ1084" i="1"/>
  <c r="AI1084" i="1"/>
  <c r="AH1084" i="1"/>
  <c r="AG1084" i="1"/>
  <c r="AF1084" i="1"/>
  <c r="AP1083" i="1"/>
  <c r="AO1083" i="1"/>
  <c r="AN1083" i="1"/>
  <c r="AM1083" i="1"/>
  <c r="AL1083" i="1"/>
  <c r="AK1083" i="1"/>
  <c r="AJ1083" i="1"/>
  <c r="AI1083" i="1"/>
  <c r="AH1083" i="1"/>
  <c r="AG1083" i="1"/>
  <c r="AF1083" i="1"/>
  <c r="AP1082" i="1"/>
  <c r="AO1082" i="1"/>
  <c r="AN1082" i="1"/>
  <c r="AM1082" i="1"/>
  <c r="AL1082" i="1"/>
  <c r="AK1082" i="1"/>
  <c r="AJ1082" i="1"/>
  <c r="AI1082" i="1"/>
  <c r="AH1082" i="1"/>
  <c r="AG1082" i="1"/>
  <c r="AF1082" i="1"/>
  <c r="AP1081" i="1"/>
  <c r="AO1081" i="1"/>
  <c r="AN1081" i="1"/>
  <c r="AM1081" i="1"/>
  <c r="AL1081" i="1"/>
  <c r="AK1081" i="1"/>
  <c r="AJ1081" i="1"/>
  <c r="AI1081" i="1"/>
  <c r="AH1081" i="1"/>
  <c r="AG1081" i="1"/>
  <c r="AF1081" i="1"/>
  <c r="AP1080" i="1"/>
  <c r="AO1080" i="1"/>
  <c r="AN1080" i="1"/>
  <c r="AM1080" i="1"/>
  <c r="AL1080" i="1"/>
  <c r="AK1080" i="1"/>
  <c r="AJ1080" i="1"/>
  <c r="AI1080" i="1"/>
  <c r="AH1080" i="1"/>
  <c r="AG1080" i="1"/>
  <c r="AF1080" i="1"/>
  <c r="AP1079" i="1"/>
  <c r="AO1079" i="1"/>
  <c r="AN1079" i="1"/>
  <c r="AM1079" i="1"/>
  <c r="AL1079" i="1"/>
  <c r="AK1079" i="1"/>
  <c r="AJ1079" i="1"/>
  <c r="AI1079" i="1"/>
  <c r="AH1079" i="1"/>
  <c r="AG1079" i="1"/>
  <c r="AF1079" i="1"/>
  <c r="AP1078" i="1"/>
  <c r="AO1078" i="1"/>
  <c r="AN1078" i="1"/>
  <c r="AM1078" i="1"/>
  <c r="AL1078" i="1"/>
  <c r="AK1078" i="1"/>
  <c r="AJ1078" i="1"/>
  <c r="AI1078" i="1"/>
  <c r="AH1078" i="1"/>
  <c r="AG1078" i="1"/>
  <c r="AF1078" i="1"/>
  <c r="AP1077" i="1"/>
  <c r="AO1077" i="1"/>
  <c r="AN1077" i="1"/>
  <c r="AM1077" i="1"/>
  <c r="AL1077" i="1"/>
  <c r="AK1077" i="1"/>
  <c r="AJ1077" i="1"/>
  <c r="AI1077" i="1"/>
  <c r="AH1077" i="1"/>
  <c r="AG1077" i="1"/>
  <c r="AF1077" i="1"/>
  <c r="AP1076" i="1"/>
  <c r="AO1076" i="1"/>
  <c r="AN1076" i="1"/>
  <c r="AM1076" i="1"/>
  <c r="AL1076" i="1"/>
  <c r="AK1076" i="1"/>
  <c r="AJ1076" i="1"/>
  <c r="AI1076" i="1"/>
  <c r="AH1076" i="1"/>
  <c r="AG1076" i="1"/>
  <c r="AF1076" i="1"/>
  <c r="AP1075" i="1"/>
  <c r="AO1075" i="1"/>
  <c r="AN1075" i="1"/>
  <c r="AM1075" i="1"/>
  <c r="AL1075" i="1"/>
  <c r="AK1075" i="1"/>
  <c r="AJ1075" i="1"/>
  <c r="AI1075" i="1"/>
  <c r="AH1075" i="1"/>
  <c r="AG1075" i="1"/>
  <c r="AF1075" i="1"/>
  <c r="AP1074" i="1"/>
  <c r="AO1074" i="1"/>
  <c r="AN1074" i="1"/>
  <c r="AM1074" i="1"/>
  <c r="AL1074" i="1"/>
  <c r="AK1074" i="1"/>
  <c r="AJ1074" i="1"/>
  <c r="AI1074" i="1"/>
  <c r="AH1074" i="1"/>
  <c r="AG1074" i="1"/>
  <c r="AF1074" i="1"/>
  <c r="AP1073" i="1"/>
  <c r="AO1073" i="1"/>
  <c r="AN1073" i="1"/>
  <c r="AM1073" i="1"/>
  <c r="AL1073" i="1"/>
  <c r="AK1073" i="1"/>
  <c r="AJ1073" i="1"/>
  <c r="AI1073" i="1"/>
  <c r="AH1073" i="1"/>
  <c r="AG1073" i="1"/>
  <c r="AF1073" i="1"/>
  <c r="AP1072" i="1"/>
  <c r="AO1072" i="1"/>
  <c r="AN1072" i="1"/>
  <c r="AM1072" i="1"/>
  <c r="AL1072" i="1"/>
  <c r="AK1072" i="1"/>
  <c r="AJ1072" i="1"/>
  <c r="AI1072" i="1"/>
  <c r="AH1072" i="1"/>
  <c r="AG1072" i="1"/>
  <c r="AF1072" i="1"/>
  <c r="AP1071" i="1"/>
  <c r="AO1071" i="1"/>
  <c r="AN1071" i="1"/>
  <c r="AM1071" i="1"/>
  <c r="AL1071" i="1"/>
  <c r="AK1071" i="1"/>
  <c r="AJ1071" i="1"/>
  <c r="AI1071" i="1"/>
  <c r="AH1071" i="1"/>
  <c r="AG1071" i="1"/>
  <c r="AF1071" i="1"/>
  <c r="AP1070" i="1"/>
  <c r="AO1070" i="1"/>
  <c r="AN1070" i="1"/>
  <c r="AM1070" i="1"/>
  <c r="AL1070" i="1"/>
  <c r="AK1070" i="1"/>
  <c r="AJ1070" i="1"/>
  <c r="AI1070" i="1"/>
  <c r="AH1070" i="1"/>
  <c r="AG1070" i="1"/>
  <c r="AF1070" i="1"/>
  <c r="AP1069" i="1"/>
  <c r="AO1069" i="1"/>
  <c r="AN1069" i="1"/>
  <c r="AM1069" i="1"/>
  <c r="AL1069" i="1"/>
  <c r="AK1069" i="1"/>
  <c r="AJ1069" i="1"/>
  <c r="AI1069" i="1"/>
  <c r="AH1069" i="1"/>
  <c r="AG1069" i="1"/>
  <c r="AF1069" i="1"/>
  <c r="AP1068" i="1"/>
  <c r="AO1068" i="1"/>
  <c r="AN1068" i="1"/>
  <c r="AM1068" i="1"/>
  <c r="AL1068" i="1"/>
  <c r="AK1068" i="1"/>
  <c r="AJ1068" i="1"/>
  <c r="AI1068" i="1"/>
  <c r="AH1068" i="1"/>
  <c r="AG1068" i="1"/>
  <c r="AF1068" i="1"/>
  <c r="AP1067" i="1"/>
  <c r="AO1067" i="1"/>
  <c r="AN1067" i="1"/>
  <c r="AM1067" i="1"/>
  <c r="AL1067" i="1"/>
  <c r="AK1067" i="1"/>
  <c r="AJ1067" i="1"/>
  <c r="AI1067" i="1"/>
  <c r="AH1067" i="1"/>
  <c r="AG1067" i="1"/>
  <c r="AF1067" i="1"/>
  <c r="AP1066" i="1"/>
  <c r="AO1066" i="1"/>
  <c r="AN1066" i="1"/>
  <c r="AM1066" i="1"/>
  <c r="AL1066" i="1"/>
  <c r="AK1066" i="1"/>
  <c r="AJ1066" i="1"/>
  <c r="AI1066" i="1"/>
  <c r="AH1066" i="1"/>
  <c r="AG1066" i="1"/>
  <c r="AF1066" i="1"/>
  <c r="AP1065" i="1"/>
  <c r="AO1065" i="1"/>
  <c r="AN1065" i="1"/>
  <c r="AM1065" i="1"/>
  <c r="AL1065" i="1"/>
  <c r="AK1065" i="1"/>
  <c r="AJ1065" i="1"/>
  <c r="AI1065" i="1"/>
  <c r="AH1065" i="1"/>
  <c r="AG1065" i="1"/>
  <c r="AF1065" i="1"/>
  <c r="AP1064" i="1"/>
  <c r="AO1064" i="1"/>
  <c r="AN1064" i="1"/>
  <c r="AM1064" i="1"/>
  <c r="AL1064" i="1"/>
  <c r="AK1064" i="1"/>
  <c r="AJ1064" i="1"/>
  <c r="AI1064" i="1"/>
  <c r="AH1064" i="1"/>
  <c r="AG1064" i="1"/>
  <c r="AF1064" i="1"/>
  <c r="AP1063" i="1"/>
  <c r="AO1063" i="1"/>
  <c r="AN1063" i="1"/>
  <c r="AM1063" i="1"/>
  <c r="AL1063" i="1"/>
  <c r="AK1063" i="1"/>
  <c r="AJ1063" i="1"/>
  <c r="AI1063" i="1"/>
  <c r="AH1063" i="1"/>
  <c r="AG1063" i="1"/>
  <c r="AF1063" i="1"/>
  <c r="AP1062" i="1"/>
  <c r="AO1062" i="1"/>
  <c r="AN1062" i="1"/>
  <c r="AM1062" i="1"/>
  <c r="AL1062" i="1"/>
  <c r="AK1062" i="1"/>
  <c r="AJ1062" i="1"/>
  <c r="AI1062" i="1"/>
  <c r="AH1062" i="1"/>
  <c r="AG1062" i="1"/>
  <c r="AF1062" i="1"/>
  <c r="AP1061" i="1"/>
  <c r="AO1061" i="1"/>
  <c r="AN1061" i="1"/>
  <c r="AM1061" i="1"/>
  <c r="AL1061" i="1"/>
  <c r="AK1061" i="1"/>
  <c r="AJ1061" i="1"/>
  <c r="AI1061" i="1"/>
  <c r="AH1061" i="1"/>
  <c r="AG1061" i="1"/>
  <c r="AF1061" i="1"/>
  <c r="AP1060" i="1"/>
  <c r="AO1060" i="1"/>
  <c r="AN1060" i="1"/>
  <c r="AM1060" i="1"/>
  <c r="AL1060" i="1"/>
  <c r="AK1060" i="1"/>
  <c r="AJ1060" i="1"/>
  <c r="AI1060" i="1"/>
  <c r="AH1060" i="1"/>
  <c r="AG1060" i="1"/>
  <c r="AF1060" i="1"/>
  <c r="AP1059" i="1"/>
  <c r="AO1059" i="1"/>
  <c r="AN1059" i="1"/>
  <c r="AM1059" i="1"/>
  <c r="AL1059" i="1"/>
  <c r="AK1059" i="1"/>
  <c r="AJ1059" i="1"/>
  <c r="AI1059" i="1"/>
  <c r="AH1059" i="1"/>
  <c r="AG1059" i="1"/>
  <c r="AF1059" i="1"/>
  <c r="AP1058" i="1"/>
  <c r="AO1058" i="1"/>
  <c r="AN1058" i="1"/>
  <c r="AM1058" i="1"/>
  <c r="AL1058" i="1"/>
  <c r="AK1058" i="1"/>
  <c r="AJ1058" i="1"/>
  <c r="AI1058" i="1"/>
  <c r="AH1058" i="1"/>
  <c r="AG1058" i="1"/>
  <c r="AF1058" i="1"/>
  <c r="AP1057" i="1"/>
  <c r="AO1057" i="1"/>
  <c r="AN1057" i="1"/>
  <c r="AM1057" i="1"/>
  <c r="AL1057" i="1"/>
  <c r="AK1057" i="1"/>
  <c r="AJ1057" i="1"/>
  <c r="AI1057" i="1"/>
  <c r="AH1057" i="1"/>
  <c r="AG1057" i="1"/>
  <c r="AF1057" i="1"/>
  <c r="AP1056" i="1"/>
  <c r="AO1056" i="1"/>
  <c r="AN1056" i="1"/>
  <c r="AM1056" i="1"/>
  <c r="AL1056" i="1"/>
  <c r="AK1056" i="1"/>
  <c r="AJ1056" i="1"/>
  <c r="AI1056" i="1"/>
  <c r="AH1056" i="1"/>
  <c r="AG1056" i="1"/>
  <c r="AF1056" i="1"/>
  <c r="AP1055" i="1"/>
  <c r="AO1055" i="1"/>
  <c r="AN1055" i="1"/>
  <c r="AM1055" i="1"/>
  <c r="AL1055" i="1"/>
  <c r="AK1055" i="1"/>
  <c r="AJ1055" i="1"/>
  <c r="AI1055" i="1"/>
  <c r="AH1055" i="1"/>
  <c r="AG1055" i="1"/>
  <c r="AF1055" i="1"/>
  <c r="AP1054" i="1"/>
  <c r="AO1054" i="1"/>
  <c r="AN1054" i="1"/>
  <c r="AM1054" i="1"/>
  <c r="AL1054" i="1"/>
  <c r="AK1054" i="1"/>
  <c r="AJ1054" i="1"/>
  <c r="AI1054" i="1"/>
  <c r="AH1054" i="1"/>
  <c r="AG1054" i="1"/>
  <c r="AF1054" i="1"/>
  <c r="AP1053" i="1"/>
  <c r="AO1053" i="1"/>
  <c r="AN1053" i="1"/>
  <c r="AM1053" i="1"/>
  <c r="AL1053" i="1"/>
  <c r="AK1053" i="1"/>
  <c r="AJ1053" i="1"/>
  <c r="AI1053" i="1"/>
  <c r="AH1053" i="1"/>
  <c r="AG1053" i="1"/>
  <c r="AF1053" i="1"/>
  <c r="AP1052" i="1"/>
  <c r="AO1052" i="1"/>
  <c r="AN1052" i="1"/>
  <c r="AM1052" i="1"/>
  <c r="AL1052" i="1"/>
  <c r="AK1052" i="1"/>
  <c r="AJ1052" i="1"/>
  <c r="AI1052" i="1"/>
  <c r="AH1052" i="1"/>
  <c r="AG1052" i="1"/>
  <c r="AF1052" i="1"/>
  <c r="AP1051" i="1"/>
  <c r="AO1051" i="1"/>
  <c r="AN1051" i="1"/>
  <c r="AM1051" i="1"/>
  <c r="AL1051" i="1"/>
  <c r="AK1051" i="1"/>
  <c r="AJ1051" i="1"/>
  <c r="AI1051" i="1"/>
  <c r="AH1051" i="1"/>
  <c r="AG1051" i="1"/>
  <c r="AF1051" i="1"/>
  <c r="AP1050" i="1"/>
  <c r="AO1050" i="1"/>
  <c r="AN1050" i="1"/>
  <c r="AM1050" i="1"/>
  <c r="AL1050" i="1"/>
  <c r="AK1050" i="1"/>
  <c r="AJ1050" i="1"/>
  <c r="AI1050" i="1"/>
  <c r="AH1050" i="1"/>
  <c r="AG1050" i="1"/>
  <c r="AF1050" i="1"/>
  <c r="AP1049" i="1"/>
  <c r="AO1049" i="1"/>
  <c r="AN1049" i="1"/>
  <c r="AM1049" i="1"/>
  <c r="AL1049" i="1"/>
  <c r="AK1049" i="1"/>
  <c r="AJ1049" i="1"/>
  <c r="AI1049" i="1"/>
  <c r="AH1049" i="1"/>
  <c r="AG1049" i="1"/>
  <c r="AF1049" i="1"/>
  <c r="AP1048" i="1"/>
  <c r="AO1048" i="1"/>
  <c r="AN1048" i="1"/>
  <c r="AM1048" i="1"/>
  <c r="AL1048" i="1"/>
  <c r="AK1048" i="1"/>
  <c r="AJ1048" i="1"/>
  <c r="AI1048" i="1"/>
  <c r="AH1048" i="1"/>
  <c r="AG1048" i="1"/>
  <c r="AF1048" i="1"/>
  <c r="AP1047" i="1"/>
  <c r="AO1047" i="1"/>
  <c r="AN1047" i="1"/>
  <c r="AM1047" i="1"/>
  <c r="AL1047" i="1"/>
  <c r="AK1047" i="1"/>
  <c r="AJ1047" i="1"/>
  <c r="AI1047" i="1"/>
  <c r="AH1047" i="1"/>
  <c r="AG1047" i="1"/>
  <c r="AF1047" i="1"/>
  <c r="AP1046" i="1"/>
  <c r="AO1046" i="1"/>
  <c r="AN1046" i="1"/>
  <c r="AM1046" i="1"/>
  <c r="AL1046" i="1"/>
  <c r="AK1046" i="1"/>
  <c r="AJ1046" i="1"/>
  <c r="AI1046" i="1"/>
  <c r="AH1046" i="1"/>
  <c r="AG1046" i="1"/>
  <c r="AF1046" i="1"/>
  <c r="AP1045" i="1"/>
  <c r="AO1045" i="1"/>
  <c r="AN1045" i="1"/>
  <c r="AM1045" i="1"/>
  <c r="AL1045" i="1"/>
  <c r="AK1045" i="1"/>
  <c r="AJ1045" i="1"/>
  <c r="AI1045" i="1"/>
  <c r="AH1045" i="1"/>
  <c r="AG1045" i="1"/>
  <c r="AF1045" i="1"/>
  <c r="AP1044" i="1"/>
  <c r="AO1044" i="1"/>
  <c r="AN1044" i="1"/>
  <c r="AM1044" i="1"/>
  <c r="AL1044" i="1"/>
  <c r="AK1044" i="1"/>
  <c r="AJ1044" i="1"/>
  <c r="AI1044" i="1"/>
  <c r="AH1044" i="1"/>
  <c r="AG1044" i="1"/>
  <c r="AF1044" i="1"/>
  <c r="AP1043" i="1"/>
  <c r="AO1043" i="1"/>
  <c r="AN1043" i="1"/>
  <c r="AM1043" i="1"/>
  <c r="AL1043" i="1"/>
  <c r="AK1043" i="1"/>
  <c r="AJ1043" i="1"/>
  <c r="AI1043" i="1"/>
  <c r="AH1043" i="1"/>
  <c r="AG1043" i="1"/>
  <c r="AF1043" i="1"/>
  <c r="AP1042" i="1"/>
  <c r="AO1042" i="1"/>
  <c r="AN1042" i="1"/>
  <c r="AM1042" i="1"/>
  <c r="AL1042" i="1"/>
  <c r="AK1042" i="1"/>
  <c r="AJ1042" i="1"/>
  <c r="AI1042" i="1"/>
  <c r="AH1042" i="1"/>
  <c r="AG1042" i="1"/>
  <c r="AF1042" i="1"/>
  <c r="AP1041" i="1"/>
  <c r="AO1041" i="1"/>
  <c r="AN1041" i="1"/>
  <c r="AM1041" i="1"/>
  <c r="AL1041" i="1"/>
  <c r="AK1041" i="1"/>
  <c r="AJ1041" i="1"/>
  <c r="AI1041" i="1"/>
  <c r="AH1041" i="1"/>
  <c r="AG1041" i="1"/>
  <c r="AF1041" i="1"/>
  <c r="AP1040" i="1"/>
  <c r="AO1040" i="1"/>
  <c r="AN1040" i="1"/>
  <c r="AM1040" i="1"/>
  <c r="AL1040" i="1"/>
  <c r="AK1040" i="1"/>
  <c r="AJ1040" i="1"/>
  <c r="AI1040" i="1"/>
  <c r="AH1040" i="1"/>
  <c r="AG1040" i="1"/>
  <c r="AF1040" i="1"/>
  <c r="AP1039" i="1"/>
  <c r="AO1039" i="1"/>
  <c r="AN1039" i="1"/>
  <c r="AM1039" i="1"/>
  <c r="AL1039" i="1"/>
  <c r="AK1039" i="1"/>
  <c r="AJ1039" i="1"/>
  <c r="AI1039" i="1"/>
  <c r="AH1039" i="1"/>
  <c r="AG1039" i="1"/>
  <c r="AF1039" i="1"/>
  <c r="AP1038" i="1"/>
  <c r="AO1038" i="1"/>
  <c r="AN1038" i="1"/>
  <c r="AM1038" i="1"/>
  <c r="AL1038" i="1"/>
  <c r="AK1038" i="1"/>
  <c r="AJ1038" i="1"/>
  <c r="AI1038" i="1"/>
  <c r="AH1038" i="1"/>
  <c r="AG1038" i="1"/>
  <c r="AF1038" i="1"/>
  <c r="AP1037" i="1"/>
  <c r="AO1037" i="1"/>
  <c r="AN1037" i="1"/>
  <c r="AM1037" i="1"/>
  <c r="AL1037" i="1"/>
  <c r="AK1037" i="1"/>
  <c r="AJ1037" i="1"/>
  <c r="AI1037" i="1"/>
  <c r="AH1037" i="1"/>
  <c r="AG1037" i="1"/>
  <c r="AF1037" i="1"/>
  <c r="AP1036" i="1"/>
  <c r="AO1036" i="1"/>
  <c r="AN1036" i="1"/>
  <c r="AM1036" i="1"/>
  <c r="AL1036" i="1"/>
  <c r="AK1036" i="1"/>
  <c r="AJ1036" i="1"/>
  <c r="AI1036" i="1"/>
  <c r="AH1036" i="1"/>
  <c r="AG1036" i="1"/>
  <c r="AF1036" i="1"/>
  <c r="AP1035" i="1"/>
  <c r="AO1035" i="1"/>
  <c r="AN1035" i="1"/>
  <c r="AM1035" i="1"/>
  <c r="AL1035" i="1"/>
  <c r="AK1035" i="1"/>
  <c r="AJ1035" i="1"/>
  <c r="AI1035" i="1"/>
  <c r="AH1035" i="1"/>
  <c r="AG1035" i="1"/>
  <c r="AF1035" i="1"/>
  <c r="AP1034" i="1"/>
  <c r="AO1034" i="1"/>
  <c r="AN1034" i="1"/>
  <c r="AM1034" i="1"/>
  <c r="AL1034" i="1"/>
  <c r="AK1034" i="1"/>
  <c r="AJ1034" i="1"/>
  <c r="AI1034" i="1"/>
  <c r="AH1034" i="1"/>
  <c r="AG1034" i="1"/>
  <c r="AF1034" i="1"/>
  <c r="AP1033" i="1"/>
  <c r="AO1033" i="1"/>
  <c r="AN1033" i="1"/>
  <c r="AM1033" i="1"/>
  <c r="AL1033" i="1"/>
  <c r="AK1033" i="1"/>
  <c r="AJ1033" i="1"/>
  <c r="AI1033" i="1"/>
  <c r="AH1033" i="1"/>
  <c r="AG1033" i="1"/>
  <c r="AF1033" i="1"/>
  <c r="AP1032" i="1"/>
  <c r="AO1032" i="1"/>
  <c r="AN1032" i="1"/>
  <c r="AM1032" i="1"/>
  <c r="AL1032" i="1"/>
  <c r="AK1032" i="1"/>
  <c r="AJ1032" i="1"/>
  <c r="AI1032" i="1"/>
  <c r="AH1032" i="1"/>
  <c r="AG1032" i="1"/>
  <c r="AF1032" i="1"/>
  <c r="AP1031" i="1"/>
  <c r="AO1031" i="1"/>
  <c r="AN1031" i="1"/>
  <c r="AM1031" i="1"/>
  <c r="AL1031" i="1"/>
  <c r="AK1031" i="1"/>
  <c r="AJ1031" i="1"/>
  <c r="AI1031" i="1"/>
  <c r="AH1031" i="1"/>
  <c r="AG1031" i="1"/>
  <c r="AF1031" i="1"/>
  <c r="AP1030" i="1"/>
  <c r="AO1030" i="1"/>
  <c r="AN1030" i="1"/>
  <c r="AM1030" i="1"/>
  <c r="AL1030" i="1"/>
  <c r="AK1030" i="1"/>
  <c r="AJ1030" i="1"/>
  <c r="AI1030" i="1"/>
  <c r="AH1030" i="1"/>
  <c r="AG1030" i="1"/>
  <c r="AF1030" i="1"/>
  <c r="AP1029" i="1"/>
  <c r="AO1029" i="1"/>
  <c r="AN1029" i="1"/>
  <c r="AM1029" i="1"/>
  <c r="AL1029" i="1"/>
  <c r="AK1029" i="1"/>
  <c r="AJ1029" i="1"/>
  <c r="AI1029" i="1"/>
  <c r="AH1029" i="1"/>
  <c r="AG1029" i="1"/>
  <c r="AF1029" i="1"/>
  <c r="AP1028" i="1"/>
  <c r="AO1028" i="1"/>
  <c r="AN1028" i="1"/>
  <c r="AM1028" i="1"/>
  <c r="AL1028" i="1"/>
  <c r="AK1028" i="1"/>
  <c r="AJ1028" i="1"/>
  <c r="AI1028" i="1"/>
  <c r="AH1028" i="1"/>
  <c r="AG1028" i="1"/>
  <c r="AF1028" i="1"/>
  <c r="AP1027" i="1"/>
  <c r="AO1027" i="1"/>
  <c r="AN1027" i="1"/>
  <c r="AM1027" i="1"/>
  <c r="AL1027" i="1"/>
  <c r="AK1027" i="1"/>
  <c r="AJ1027" i="1"/>
  <c r="AI1027" i="1"/>
  <c r="AH1027" i="1"/>
  <c r="AG1027" i="1"/>
  <c r="AF1027" i="1"/>
  <c r="AP1026" i="1"/>
  <c r="AO1026" i="1"/>
  <c r="AN1026" i="1"/>
  <c r="AM1026" i="1"/>
  <c r="AL1026" i="1"/>
  <c r="AK1026" i="1"/>
  <c r="AJ1026" i="1"/>
  <c r="AI1026" i="1"/>
  <c r="AH1026" i="1"/>
  <c r="AG1026" i="1"/>
  <c r="AF1026" i="1"/>
  <c r="AP1025" i="1"/>
  <c r="AO1025" i="1"/>
  <c r="AN1025" i="1"/>
  <c r="AM1025" i="1"/>
  <c r="AL1025" i="1"/>
  <c r="AK1025" i="1"/>
  <c r="AJ1025" i="1"/>
  <c r="AI1025" i="1"/>
  <c r="AH1025" i="1"/>
  <c r="AG1025" i="1"/>
  <c r="AF1025" i="1"/>
  <c r="AP1024" i="1"/>
  <c r="AO1024" i="1"/>
  <c r="AN1024" i="1"/>
  <c r="AM1024" i="1"/>
  <c r="AL1024" i="1"/>
  <c r="AK1024" i="1"/>
  <c r="AJ1024" i="1"/>
  <c r="AI1024" i="1"/>
  <c r="AH1024" i="1"/>
  <c r="AG1024" i="1"/>
  <c r="AF1024" i="1"/>
  <c r="AP1023" i="1"/>
  <c r="AO1023" i="1"/>
  <c r="AN1023" i="1"/>
  <c r="AM1023" i="1"/>
  <c r="AL1023" i="1"/>
  <c r="AK1023" i="1"/>
  <c r="AJ1023" i="1"/>
  <c r="AI1023" i="1"/>
  <c r="AH1023" i="1"/>
  <c r="AG1023" i="1"/>
  <c r="AF1023" i="1"/>
  <c r="AP1022" i="1"/>
  <c r="AO1022" i="1"/>
  <c r="AN1022" i="1"/>
  <c r="AM1022" i="1"/>
  <c r="AL1022" i="1"/>
  <c r="AK1022" i="1"/>
  <c r="AJ1022" i="1"/>
  <c r="AI1022" i="1"/>
  <c r="AH1022" i="1"/>
  <c r="AG1022" i="1"/>
  <c r="AF1022" i="1"/>
  <c r="AP1021" i="1"/>
  <c r="AO1021" i="1"/>
  <c r="AN1021" i="1"/>
  <c r="AM1021" i="1"/>
  <c r="AL1021" i="1"/>
  <c r="AK1021" i="1"/>
  <c r="AJ1021" i="1"/>
  <c r="AI1021" i="1"/>
  <c r="AH1021" i="1"/>
  <c r="AG1021" i="1"/>
  <c r="AF1021" i="1"/>
  <c r="AP1020" i="1"/>
  <c r="AO1020" i="1"/>
  <c r="AN1020" i="1"/>
  <c r="AM1020" i="1"/>
  <c r="AL1020" i="1"/>
  <c r="AK1020" i="1"/>
  <c r="AJ1020" i="1"/>
  <c r="AI1020" i="1"/>
  <c r="AH1020" i="1"/>
  <c r="AG1020" i="1"/>
  <c r="AF1020" i="1"/>
  <c r="AP1019" i="1"/>
  <c r="AO1019" i="1"/>
  <c r="AN1019" i="1"/>
  <c r="AM1019" i="1"/>
  <c r="AL1019" i="1"/>
  <c r="AK1019" i="1"/>
  <c r="AJ1019" i="1"/>
  <c r="AI1019" i="1"/>
  <c r="AH1019" i="1"/>
  <c r="AG1019" i="1"/>
  <c r="AF1019" i="1"/>
  <c r="AP1018" i="1"/>
  <c r="AO1018" i="1"/>
  <c r="AN1018" i="1"/>
  <c r="AM1018" i="1"/>
  <c r="AL1018" i="1"/>
  <c r="AK1018" i="1"/>
  <c r="AJ1018" i="1"/>
  <c r="AI1018" i="1"/>
  <c r="AH1018" i="1"/>
  <c r="AG1018" i="1"/>
  <c r="AF1018" i="1"/>
  <c r="AP1017" i="1"/>
  <c r="AO1017" i="1"/>
  <c r="AN1017" i="1"/>
  <c r="AM1017" i="1"/>
  <c r="AL1017" i="1"/>
  <c r="AK1017" i="1"/>
  <c r="AJ1017" i="1"/>
  <c r="AI1017" i="1"/>
  <c r="AH1017" i="1"/>
  <c r="AG1017" i="1"/>
  <c r="AF1017" i="1"/>
  <c r="AP1016" i="1"/>
  <c r="AO1016" i="1"/>
  <c r="AN1016" i="1"/>
  <c r="AM1016" i="1"/>
  <c r="AL1016" i="1"/>
  <c r="AK1016" i="1"/>
  <c r="AJ1016" i="1"/>
  <c r="AI1016" i="1"/>
  <c r="AH1016" i="1"/>
  <c r="AG1016" i="1"/>
  <c r="AF1016" i="1"/>
  <c r="AP1015" i="1"/>
  <c r="AO1015" i="1"/>
  <c r="AN1015" i="1"/>
  <c r="AM1015" i="1"/>
  <c r="AL1015" i="1"/>
  <c r="AK1015" i="1"/>
  <c r="AJ1015" i="1"/>
  <c r="AI1015" i="1"/>
  <c r="AH1015" i="1"/>
  <c r="AG1015" i="1"/>
  <c r="AF1015" i="1"/>
  <c r="AP1014" i="1"/>
  <c r="AO1014" i="1"/>
  <c r="AN1014" i="1"/>
  <c r="AM1014" i="1"/>
  <c r="AL1014" i="1"/>
  <c r="AK1014" i="1"/>
  <c r="AJ1014" i="1"/>
  <c r="AI1014" i="1"/>
  <c r="AH1014" i="1"/>
  <c r="AG1014" i="1"/>
  <c r="AF1014" i="1"/>
  <c r="AP1013" i="1"/>
  <c r="AO1013" i="1"/>
  <c r="AN1013" i="1"/>
  <c r="AM1013" i="1"/>
  <c r="AL1013" i="1"/>
  <c r="AK1013" i="1"/>
  <c r="AJ1013" i="1"/>
  <c r="AI1013" i="1"/>
  <c r="AH1013" i="1"/>
  <c r="AG1013" i="1"/>
  <c r="AF1013" i="1"/>
  <c r="AP1012" i="1"/>
  <c r="AO1012" i="1"/>
  <c r="AN1012" i="1"/>
  <c r="AM1012" i="1"/>
  <c r="AL1012" i="1"/>
  <c r="AK1012" i="1"/>
  <c r="AJ1012" i="1"/>
  <c r="AI1012" i="1"/>
  <c r="AH1012" i="1"/>
  <c r="AG1012" i="1"/>
  <c r="AF1012" i="1"/>
  <c r="AP1011" i="1"/>
  <c r="AO1011" i="1"/>
  <c r="AN1011" i="1"/>
  <c r="AM1011" i="1"/>
  <c r="AL1011" i="1"/>
  <c r="AK1011" i="1"/>
  <c r="AJ1011" i="1"/>
  <c r="AI1011" i="1"/>
  <c r="AH1011" i="1"/>
  <c r="AG1011" i="1"/>
  <c r="AF1011" i="1"/>
  <c r="AP1010" i="1"/>
  <c r="AO1010" i="1"/>
  <c r="AN1010" i="1"/>
  <c r="AM1010" i="1"/>
  <c r="AL1010" i="1"/>
  <c r="AK1010" i="1"/>
  <c r="AJ1010" i="1"/>
  <c r="AI1010" i="1"/>
  <c r="AH1010" i="1"/>
  <c r="AG1010" i="1"/>
  <c r="AF1010" i="1"/>
  <c r="AP1009" i="1"/>
  <c r="AO1009" i="1"/>
  <c r="AN1009" i="1"/>
  <c r="AM1009" i="1"/>
  <c r="AL1009" i="1"/>
  <c r="AK1009" i="1"/>
  <c r="AJ1009" i="1"/>
  <c r="AI1009" i="1"/>
  <c r="AH1009" i="1"/>
  <c r="AG1009" i="1"/>
  <c r="AF1009" i="1"/>
  <c r="AP1008" i="1"/>
  <c r="AO1008" i="1"/>
  <c r="AN1008" i="1"/>
  <c r="AM1008" i="1"/>
  <c r="AL1008" i="1"/>
  <c r="AK1008" i="1"/>
  <c r="AJ1008" i="1"/>
  <c r="AI1008" i="1"/>
  <c r="AH1008" i="1"/>
  <c r="AG1008" i="1"/>
  <c r="AF1008" i="1"/>
  <c r="AP1007" i="1"/>
  <c r="AO1007" i="1"/>
  <c r="AN1007" i="1"/>
  <c r="AM1007" i="1"/>
  <c r="AL1007" i="1"/>
  <c r="AK1007" i="1"/>
  <c r="AJ1007" i="1"/>
  <c r="AI1007" i="1"/>
  <c r="AH1007" i="1"/>
  <c r="AG1007" i="1"/>
  <c r="AF1007" i="1"/>
  <c r="AP1006" i="1"/>
  <c r="AO1006" i="1"/>
  <c r="AN1006" i="1"/>
  <c r="AM1006" i="1"/>
  <c r="AL1006" i="1"/>
  <c r="AK1006" i="1"/>
  <c r="AJ1006" i="1"/>
  <c r="AI1006" i="1"/>
  <c r="AH1006" i="1"/>
  <c r="AG1006" i="1"/>
  <c r="AF1006" i="1"/>
  <c r="AP1005" i="1"/>
  <c r="AO1005" i="1"/>
  <c r="AN1005" i="1"/>
  <c r="AM1005" i="1"/>
  <c r="AL1005" i="1"/>
  <c r="AK1005" i="1"/>
  <c r="AJ1005" i="1"/>
  <c r="AI1005" i="1"/>
  <c r="AH1005" i="1"/>
  <c r="AG1005" i="1"/>
  <c r="AF1005" i="1"/>
  <c r="AP1004" i="1"/>
  <c r="AO1004" i="1"/>
  <c r="AN1004" i="1"/>
  <c r="AM1004" i="1"/>
  <c r="AL1004" i="1"/>
  <c r="AK1004" i="1"/>
  <c r="AJ1004" i="1"/>
  <c r="AI1004" i="1"/>
  <c r="AH1004" i="1"/>
  <c r="AG1004" i="1"/>
  <c r="AF1004" i="1"/>
  <c r="AP1003" i="1"/>
  <c r="AO1003" i="1"/>
  <c r="AN1003" i="1"/>
  <c r="AM1003" i="1"/>
  <c r="AL1003" i="1"/>
  <c r="AK1003" i="1"/>
  <c r="AJ1003" i="1"/>
  <c r="AI1003" i="1"/>
  <c r="AH1003" i="1"/>
  <c r="AG1003" i="1"/>
  <c r="AF1003" i="1"/>
  <c r="AP1002" i="1"/>
  <c r="AO1002" i="1"/>
  <c r="AN1002" i="1"/>
  <c r="AM1002" i="1"/>
  <c r="AL1002" i="1"/>
  <c r="AK1002" i="1"/>
  <c r="AJ1002" i="1"/>
  <c r="AI1002" i="1"/>
  <c r="AH1002" i="1"/>
  <c r="AG1002" i="1"/>
  <c r="AF1002" i="1"/>
  <c r="AP1001" i="1"/>
  <c r="AO1001" i="1"/>
  <c r="AN1001" i="1"/>
  <c r="AM1001" i="1"/>
  <c r="AL1001" i="1"/>
  <c r="AK1001" i="1"/>
  <c r="AJ1001" i="1"/>
  <c r="AI1001" i="1"/>
  <c r="AH1001" i="1"/>
  <c r="AG1001" i="1"/>
  <c r="AF1001" i="1"/>
  <c r="AP1000" i="1"/>
  <c r="AO1000" i="1"/>
  <c r="AN1000" i="1"/>
  <c r="AM1000" i="1"/>
  <c r="AL1000" i="1"/>
  <c r="AK1000" i="1"/>
  <c r="AJ1000" i="1"/>
  <c r="AI1000" i="1"/>
  <c r="AH1000" i="1"/>
  <c r="AG1000" i="1"/>
  <c r="AF1000" i="1"/>
  <c r="AP999" i="1"/>
  <c r="AO999" i="1"/>
  <c r="AN999" i="1"/>
  <c r="AM999" i="1"/>
  <c r="AL999" i="1"/>
  <c r="AK999" i="1"/>
  <c r="AJ999" i="1"/>
  <c r="AI999" i="1"/>
  <c r="AH999" i="1"/>
  <c r="AG999" i="1"/>
  <c r="AF999" i="1"/>
  <c r="AP998" i="1"/>
  <c r="AO998" i="1"/>
  <c r="AN998" i="1"/>
  <c r="AM998" i="1"/>
  <c r="AL998" i="1"/>
  <c r="AK998" i="1"/>
  <c r="AJ998" i="1"/>
  <c r="AI998" i="1"/>
  <c r="AH998" i="1"/>
  <c r="AG998" i="1"/>
  <c r="AF998" i="1"/>
  <c r="AP997" i="1"/>
  <c r="AO997" i="1"/>
  <c r="AN997" i="1"/>
  <c r="AM997" i="1"/>
  <c r="AL997" i="1"/>
  <c r="AK997" i="1"/>
  <c r="AJ997" i="1"/>
  <c r="AI997" i="1"/>
  <c r="AH997" i="1"/>
  <c r="AG997" i="1"/>
  <c r="AF997" i="1"/>
  <c r="AP996" i="1"/>
  <c r="AO996" i="1"/>
  <c r="AN996" i="1"/>
  <c r="AM996" i="1"/>
  <c r="AL996" i="1"/>
  <c r="AK996" i="1"/>
  <c r="AJ996" i="1"/>
  <c r="AI996" i="1"/>
  <c r="AH996" i="1"/>
  <c r="AG996" i="1"/>
  <c r="AF996" i="1"/>
  <c r="AP995" i="1"/>
  <c r="AO995" i="1"/>
  <c r="AN995" i="1"/>
  <c r="AM995" i="1"/>
  <c r="AL995" i="1"/>
  <c r="AK995" i="1"/>
  <c r="AJ995" i="1"/>
  <c r="AI995" i="1"/>
  <c r="AH995" i="1"/>
  <c r="AG995" i="1"/>
  <c r="AF995" i="1"/>
  <c r="AP994" i="1"/>
  <c r="AO994" i="1"/>
  <c r="AN994" i="1"/>
  <c r="AM994" i="1"/>
  <c r="AL994" i="1"/>
  <c r="AK994" i="1"/>
  <c r="AJ994" i="1"/>
  <c r="AI994" i="1"/>
  <c r="AH994" i="1"/>
  <c r="AG994" i="1"/>
  <c r="AF994" i="1"/>
  <c r="AP993" i="1"/>
  <c r="AO993" i="1"/>
  <c r="AN993" i="1"/>
  <c r="AM993" i="1"/>
  <c r="AL993" i="1"/>
  <c r="AK993" i="1"/>
  <c r="AJ993" i="1"/>
  <c r="AI993" i="1"/>
  <c r="AH993" i="1"/>
  <c r="AG993" i="1"/>
  <c r="AF993" i="1"/>
  <c r="AP992" i="1"/>
  <c r="AO992" i="1"/>
  <c r="AN992" i="1"/>
  <c r="AM992" i="1"/>
  <c r="AL992" i="1"/>
  <c r="AK992" i="1"/>
  <c r="AJ992" i="1"/>
  <c r="AI992" i="1"/>
  <c r="AH992" i="1"/>
  <c r="AG992" i="1"/>
  <c r="AF992" i="1"/>
  <c r="AP991" i="1"/>
  <c r="AO991" i="1"/>
  <c r="AN991" i="1"/>
  <c r="AM991" i="1"/>
  <c r="AL991" i="1"/>
  <c r="AK991" i="1"/>
  <c r="AJ991" i="1"/>
  <c r="AI991" i="1"/>
  <c r="AH991" i="1"/>
  <c r="AG991" i="1"/>
  <c r="AF991" i="1"/>
  <c r="AP990" i="1"/>
  <c r="AO990" i="1"/>
  <c r="AN990" i="1"/>
  <c r="AM990" i="1"/>
  <c r="AL990" i="1"/>
  <c r="AK990" i="1"/>
  <c r="AJ990" i="1"/>
  <c r="AI990" i="1"/>
  <c r="AH990" i="1"/>
  <c r="AG990" i="1"/>
  <c r="AF990" i="1"/>
  <c r="AP989" i="1"/>
  <c r="AO989" i="1"/>
  <c r="AN989" i="1"/>
  <c r="AM989" i="1"/>
  <c r="AL989" i="1"/>
  <c r="AK989" i="1"/>
  <c r="AJ989" i="1"/>
  <c r="AI989" i="1"/>
  <c r="AH989" i="1"/>
  <c r="AG989" i="1"/>
  <c r="AF989" i="1"/>
  <c r="AP988" i="1"/>
  <c r="AO988" i="1"/>
  <c r="AN988" i="1"/>
  <c r="AM988" i="1"/>
  <c r="AL988" i="1"/>
  <c r="AK988" i="1"/>
  <c r="AJ988" i="1"/>
  <c r="AI988" i="1"/>
  <c r="AH988" i="1"/>
  <c r="AG988" i="1"/>
  <c r="AF988" i="1"/>
  <c r="AP987" i="1"/>
  <c r="AO987" i="1"/>
  <c r="AN987" i="1"/>
  <c r="AM987" i="1"/>
  <c r="AL987" i="1"/>
  <c r="AK987" i="1"/>
  <c r="AJ987" i="1"/>
  <c r="AI987" i="1"/>
  <c r="AH987" i="1"/>
  <c r="AG987" i="1"/>
  <c r="AF987" i="1"/>
  <c r="AP986" i="1"/>
  <c r="AO986" i="1"/>
  <c r="AN986" i="1"/>
  <c r="AM986" i="1"/>
  <c r="AL986" i="1"/>
  <c r="AK986" i="1"/>
  <c r="AJ986" i="1"/>
  <c r="AI986" i="1"/>
  <c r="AH986" i="1"/>
  <c r="AG986" i="1"/>
  <c r="AF986" i="1"/>
  <c r="AP985" i="1"/>
  <c r="AO985" i="1"/>
  <c r="AN985" i="1"/>
  <c r="AM985" i="1"/>
  <c r="AL985" i="1"/>
  <c r="AK985" i="1"/>
  <c r="AJ985" i="1"/>
  <c r="AI985" i="1"/>
  <c r="AH985" i="1"/>
  <c r="AG985" i="1"/>
  <c r="AF985" i="1"/>
  <c r="AP984" i="1"/>
  <c r="AO984" i="1"/>
  <c r="AN984" i="1"/>
  <c r="AM984" i="1"/>
  <c r="AL984" i="1"/>
  <c r="AK984" i="1"/>
  <c r="AJ984" i="1"/>
  <c r="AI984" i="1"/>
  <c r="AH984" i="1"/>
  <c r="AG984" i="1"/>
  <c r="AF984" i="1"/>
  <c r="AP983" i="1"/>
  <c r="AO983" i="1"/>
  <c r="AN983" i="1"/>
  <c r="AM983" i="1"/>
  <c r="AL983" i="1"/>
  <c r="AK983" i="1"/>
  <c r="AJ983" i="1"/>
  <c r="AI983" i="1"/>
  <c r="AH983" i="1"/>
  <c r="AG983" i="1"/>
  <c r="AF983" i="1"/>
  <c r="AP982" i="1"/>
  <c r="AO982" i="1"/>
  <c r="AN982" i="1"/>
  <c r="AM982" i="1"/>
  <c r="AL982" i="1"/>
  <c r="AK982" i="1"/>
  <c r="AJ982" i="1"/>
  <c r="AI982" i="1"/>
  <c r="AH982" i="1"/>
  <c r="AG982" i="1"/>
  <c r="AF982" i="1"/>
  <c r="AP981" i="1"/>
  <c r="AO981" i="1"/>
  <c r="AN981" i="1"/>
  <c r="AM981" i="1"/>
  <c r="AL981" i="1"/>
  <c r="AK981" i="1"/>
  <c r="AJ981" i="1"/>
  <c r="AI981" i="1"/>
  <c r="AH981" i="1"/>
  <c r="AG981" i="1"/>
  <c r="AF981" i="1"/>
  <c r="AP980" i="1"/>
  <c r="AO980" i="1"/>
  <c r="AN980" i="1"/>
  <c r="AM980" i="1"/>
  <c r="AL980" i="1"/>
  <c r="AK980" i="1"/>
  <c r="AJ980" i="1"/>
  <c r="AI980" i="1"/>
  <c r="AH980" i="1"/>
  <c r="AG980" i="1"/>
  <c r="AF980" i="1"/>
  <c r="AP979" i="1"/>
  <c r="AO979" i="1"/>
  <c r="AN979" i="1"/>
  <c r="AM979" i="1"/>
  <c r="AL979" i="1"/>
  <c r="AK979" i="1"/>
  <c r="AJ979" i="1"/>
  <c r="AI979" i="1"/>
  <c r="AH979" i="1"/>
  <c r="AG979" i="1"/>
  <c r="AF979" i="1"/>
  <c r="AP978" i="1"/>
  <c r="AO978" i="1"/>
  <c r="AN978" i="1"/>
  <c r="AM978" i="1"/>
  <c r="AL978" i="1"/>
  <c r="AK978" i="1"/>
  <c r="AJ978" i="1"/>
  <c r="AI978" i="1"/>
  <c r="AH978" i="1"/>
  <c r="AG978" i="1"/>
  <c r="AF978" i="1"/>
  <c r="AP977" i="1"/>
  <c r="AO977" i="1"/>
  <c r="AN977" i="1"/>
  <c r="AM977" i="1"/>
  <c r="AL977" i="1"/>
  <c r="AK977" i="1"/>
  <c r="AJ977" i="1"/>
  <c r="AI977" i="1"/>
  <c r="AH977" i="1"/>
  <c r="AG977" i="1"/>
  <c r="AF977" i="1"/>
  <c r="AP976" i="1"/>
  <c r="AO976" i="1"/>
  <c r="AN976" i="1"/>
  <c r="AM976" i="1"/>
  <c r="AL976" i="1"/>
  <c r="AK976" i="1"/>
  <c r="AJ976" i="1"/>
  <c r="AI976" i="1"/>
  <c r="AH976" i="1"/>
  <c r="AG976" i="1"/>
  <c r="AF976" i="1"/>
  <c r="AP975" i="1"/>
  <c r="AO975" i="1"/>
  <c r="AN975" i="1"/>
  <c r="AM975" i="1"/>
  <c r="AL975" i="1"/>
  <c r="AK975" i="1"/>
  <c r="AJ975" i="1"/>
  <c r="AI975" i="1"/>
  <c r="AH975" i="1"/>
  <c r="AG975" i="1"/>
  <c r="AF975" i="1"/>
  <c r="AP974" i="1"/>
  <c r="AO974" i="1"/>
  <c r="AN974" i="1"/>
  <c r="AM974" i="1"/>
  <c r="AL974" i="1"/>
  <c r="AK974" i="1"/>
  <c r="AJ974" i="1"/>
  <c r="AI974" i="1"/>
  <c r="AH974" i="1"/>
  <c r="AG974" i="1"/>
  <c r="AF974" i="1"/>
  <c r="AP973" i="1"/>
  <c r="AO973" i="1"/>
  <c r="AN973" i="1"/>
  <c r="AM973" i="1"/>
  <c r="AL973" i="1"/>
  <c r="AK973" i="1"/>
  <c r="AJ973" i="1"/>
  <c r="AI973" i="1"/>
  <c r="AH973" i="1"/>
  <c r="AG973" i="1"/>
  <c r="AF973" i="1"/>
  <c r="AP972" i="1"/>
  <c r="AO972" i="1"/>
  <c r="AN972" i="1"/>
  <c r="AM972" i="1"/>
  <c r="AL972" i="1"/>
  <c r="AK972" i="1"/>
  <c r="AJ972" i="1"/>
  <c r="AI972" i="1"/>
  <c r="AH972" i="1"/>
  <c r="AG972" i="1"/>
  <c r="AF972" i="1"/>
  <c r="AP971" i="1"/>
  <c r="AO971" i="1"/>
  <c r="AN971" i="1"/>
  <c r="AM971" i="1"/>
  <c r="AL971" i="1"/>
  <c r="AK971" i="1"/>
  <c r="AJ971" i="1"/>
  <c r="AI971" i="1"/>
  <c r="AH971" i="1"/>
  <c r="AG971" i="1"/>
  <c r="AF971" i="1"/>
  <c r="AP970" i="1"/>
  <c r="AO970" i="1"/>
  <c r="AN970" i="1"/>
  <c r="AM970" i="1"/>
  <c r="AL970" i="1"/>
  <c r="AK970" i="1"/>
  <c r="AJ970" i="1"/>
  <c r="AI970" i="1"/>
  <c r="AH970" i="1"/>
  <c r="AG970" i="1"/>
  <c r="AF970" i="1"/>
  <c r="AP969" i="1"/>
  <c r="AO969" i="1"/>
  <c r="AN969" i="1"/>
  <c r="AM969" i="1"/>
  <c r="AL969" i="1"/>
  <c r="AK969" i="1"/>
  <c r="AJ969" i="1"/>
  <c r="AI969" i="1"/>
  <c r="AH969" i="1"/>
  <c r="AG969" i="1"/>
  <c r="AF969" i="1"/>
  <c r="AP968" i="1"/>
  <c r="AO968" i="1"/>
  <c r="AN968" i="1"/>
  <c r="AM968" i="1"/>
  <c r="AL968" i="1"/>
  <c r="AK968" i="1"/>
  <c r="AJ968" i="1"/>
  <c r="AI968" i="1"/>
  <c r="AH968" i="1"/>
  <c r="AG968" i="1"/>
  <c r="AF968" i="1"/>
  <c r="AP967" i="1"/>
  <c r="AO967" i="1"/>
  <c r="AN967" i="1"/>
  <c r="AM967" i="1"/>
  <c r="AL967" i="1"/>
  <c r="AK967" i="1"/>
  <c r="AJ967" i="1"/>
  <c r="AI967" i="1"/>
  <c r="AH967" i="1"/>
  <c r="AG967" i="1"/>
  <c r="AF967" i="1"/>
  <c r="AP966" i="1"/>
  <c r="AO966" i="1"/>
  <c r="AN966" i="1"/>
  <c r="AM966" i="1"/>
  <c r="AL966" i="1"/>
  <c r="AK966" i="1"/>
  <c r="AJ966" i="1"/>
  <c r="AI966" i="1"/>
  <c r="AH966" i="1"/>
  <c r="AG966" i="1"/>
  <c r="AF966" i="1"/>
  <c r="AP965" i="1"/>
  <c r="AO965" i="1"/>
  <c r="AN965" i="1"/>
  <c r="AM965" i="1"/>
  <c r="AL965" i="1"/>
  <c r="AK965" i="1"/>
  <c r="AJ965" i="1"/>
  <c r="AI965" i="1"/>
  <c r="AH965" i="1"/>
  <c r="AG965" i="1"/>
  <c r="AF965" i="1"/>
  <c r="AP964" i="1"/>
  <c r="AO964" i="1"/>
  <c r="AN964" i="1"/>
  <c r="AM964" i="1"/>
  <c r="AL964" i="1"/>
  <c r="AK964" i="1"/>
  <c r="AJ964" i="1"/>
  <c r="AI964" i="1"/>
  <c r="AH964" i="1"/>
  <c r="AG964" i="1"/>
  <c r="AF964" i="1"/>
  <c r="AP963" i="1"/>
  <c r="AO963" i="1"/>
  <c r="AN963" i="1"/>
  <c r="AM963" i="1"/>
  <c r="AL963" i="1"/>
  <c r="AK963" i="1"/>
  <c r="AJ963" i="1"/>
  <c r="AI963" i="1"/>
  <c r="AH963" i="1"/>
  <c r="AG963" i="1"/>
  <c r="AF963" i="1"/>
  <c r="AP962" i="1"/>
  <c r="AO962" i="1"/>
  <c r="AN962" i="1"/>
  <c r="AM962" i="1"/>
  <c r="AL962" i="1"/>
  <c r="AK962" i="1"/>
  <c r="AJ962" i="1"/>
  <c r="AI962" i="1"/>
  <c r="AH962" i="1"/>
  <c r="AG962" i="1"/>
  <c r="AF962" i="1"/>
  <c r="AP961" i="1"/>
  <c r="AO961" i="1"/>
  <c r="AN961" i="1"/>
  <c r="AM961" i="1"/>
  <c r="AL961" i="1"/>
  <c r="AK961" i="1"/>
  <c r="AJ961" i="1"/>
  <c r="AI961" i="1"/>
  <c r="AH961" i="1"/>
  <c r="AG961" i="1"/>
  <c r="AF961" i="1"/>
  <c r="AP960" i="1"/>
  <c r="AO960" i="1"/>
  <c r="AN960" i="1"/>
  <c r="AM960" i="1"/>
  <c r="AL960" i="1"/>
  <c r="AK960" i="1"/>
  <c r="AJ960" i="1"/>
  <c r="AI960" i="1"/>
  <c r="AH960" i="1"/>
  <c r="AG960" i="1"/>
  <c r="AF960" i="1"/>
  <c r="AP959" i="1"/>
  <c r="AO959" i="1"/>
  <c r="AN959" i="1"/>
  <c r="AM959" i="1"/>
  <c r="AL959" i="1"/>
  <c r="AK959" i="1"/>
  <c r="AJ959" i="1"/>
  <c r="AI959" i="1"/>
  <c r="AH959" i="1"/>
  <c r="AG959" i="1"/>
  <c r="AF959" i="1"/>
  <c r="AP958" i="1"/>
  <c r="AO958" i="1"/>
  <c r="AN958" i="1"/>
  <c r="AM958" i="1"/>
  <c r="AL958" i="1"/>
  <c r="AK958" i="1"/>
  <c r="AJ958" i="1"/>
  <c r="AI958" i="1"/>
  <c r="AH958" i="1"/>
  <c r="AG958" i="1"/>
  <c r="AF958" i="1"/>
  <c r="AP957" i="1"/>
  <c r="AO957" i="1"/>
  <c r="AN957" i="1"/>
  <c r="AM957" i="1"/>
  <c r="AL957" i="1"/>
  <c r="AK957" i="1"/>
  <c r="AJ957" i="1"/>
  <c r="AI957" i="1"/>
  <c r="AH957" i="1"/>
  <c r="AG957" i="1"/>
  <c r="AF957" i="1"/>
  <c r="AP956" i="1"/>
  <c r="AO956" i="1"/>
  <c r="AN956" i="1"/>
  <c r="AM956" i="1"/>
  <c r="AL956" i="1"/>
  <c r="AK956" i="1"/>
  <c r="AJ956" i="1"/>
  <c r="AI956" i="1"/>
  <c r="AH956" i="1"/>
  <c r="AG956" i="1"/>
  <c r="AF956" i="1"/>
  <c r="AP955" i="1"/>
  <c r="AO955" i="1"/>
  <c r="AN955" i="1"/>
  <c r="AM955" i="1"/>
  <c r="AL955" i="1"/>
  <c r="AK955" i="1"/>
  <c r="AJ955" i="1"/>
  <c r="AI955" i="1"/>
  <c r="AH955" i="1"/>
  <c r="AG955" i="1"/>
  <c r="AF955" i="1"/>
  <c r="AP954" i="1"/>
  <c r="AO954" i="1"/>
  <c r="AN954" i="1"/>
  <c r="AM954" i="1"/>
  <c r="AL954" i="1"/>
  <c r="AK954" i="1"/>
  <c r="AJ954" i="1"/>
  <c r="AI954" i="1"/>
  <c r="AH954" i="1"/>
  <c r="AG954" i="1"/>
  <c r="AF954" i="1"/>
  <c r="AP953" i="1"/>
  <c r="AO953" i="1"/>
  <c r="AN953" i="1"/>
  <c r="AM953" i="1"/>
  <c r="AL953" i="1"/>
  <c r="AK953" i="1"/>
  <c r="AJ953" i="1"/>
  <c r="AI953" i="1"/>
  <c r="AH953" i="1"/>
  <c r="AG953" i="1"/>
  <c r="AF953" i="1"/>
  <c r="AP952" i="1"/>
  <c r="AO952" i="1"/>
  <c r="AN952" i="1"/>
  <c r="AM952" i="1"/>
  <c r="AL952" i="1"/>
  <c r="AK952" i="1"/>
  <c r="AJ952" i="1"/>
  <c r="AI952" i="1"/>
  <c r="AH952" i="1"/>
  <c r="AG952" i="1"/>
  <c r="AF952" i="1"/>
  <c r="AP951" i="1"/>
  <c r="AO951" i="1"/>
  <c r="AN951" i="1"/>
  <c r="AM951" i="1"/>
  <c r="AL951" i="1"/>
  <c r="AK951" i="1"/>
  <c r="AJ951" i="1"/>
  <c r="AI951" i="1"/>
  <c r="AH951" i="1"/>
  <c r="AG951" i="1"/>
  <c r="AF951" i="1"/>
  <c r="AP950" i="1"/>
  <c r="AO950" i="1"/>
  <c r="AN950" i="1"/>
  <c r="AM950" i="1"/>
  <c r="AL950" i="1"/>
  <c r="AK950" i="1"/>
  <c r="AJ950" i="1"/>
  <c r="AI950" i="1"/>
  <c r="AH950" i="1"/>
  <c r="AG950" i="1"/>
  <c r="AF950" i="1"/>
  <c r="AP949" i="1"/>
  <c r="AO949" i="1"/>
  <c r="AN949" i="1"/>
  <c r="AM949" i="1"/>
  <c r="AL949" i="1"/>
  <c r="AK949" i="1"/>
  <c r="AJ949" i="1"/>
  <c r="AI949" i="1"/>
  <c r="AH949" i="1"/>
  <c r="AG949" i="1"/>
  <c r="AF949" i="1"/>
  <c r="AP948" i="1"/>
  <c r="AO948" i="1"/>
  <c r="AN948" i="1"/>
  <c r="AM948" i="1"/>
  <c r="AL948" i="1"/>
  <c r="AK948" i="1"/>
  <c r="AJ948" i="1"/>
  <c r="AI948" i="1"/>
  <c r="AH948" i="1"/>
  <c r="AG948" i="1"/>
  <c r="AF948" i="1"/>
  <c r="AP947" i="1"/>
  <c r="AO947" i="1"/>
  <c r="AN947" i="1"/>
  <c r="AM947" i="1"/>
  <c r="AL947" i="1"/>
  <c r="AK947" i="1"/>
  <c r="AJ947" i="1"/>
  <c r="AI947" i="1"/>
  <c r="AH947" i="1"/>
  <c r="AG947" i="1"/>
  <c r="AF947" i="1"/>
  <c r="AP946" i="1"/>
  <c r="AO946" i="1"/>
  <c r="AN946" i="1"/>
  <c r="AM946" i="1"/>
  <c r="AL946" i="1"/>
  <c r="AK946" i="1"/>
  <c r="AJ946" i="1"/>
  <c r="AI946" i="1"/>
  <c r="AH946" i="1"/>
  <c r="AG946" i="1"/>
  <c r="AF946" i="1"/>
  <c r="AP945" i="1"/>
  <c r="AO945" i="1"/>
  <c r="AN945" i="1"/>
  <c r="AM945" i="1"/>
  <c r="AL945" i="1"/>
  <c r="AK945" i="1"/>
  <c r="AJ945" i="1"/>
  <c r="AI945" i="1"/>
  <c r="AH945" i="1"/>
  <c r="AG945" i="1"/>
  <c r="AF945" i="1"/>
  <c r="AP944" i="1"/>
  <c r="AO944" i="1"/>
  <c r="AN944" i="1"/>
  <c r="AM944" i="1"/>
  <c r="AL944" i="1"/>
  <c r="AK944" i="1"/>
  <c r="AJ944" i="1"/>
  <c r="AI944" i="1"/>
  <c r="AH944" i="1"/>
  <c r="AG944" i="1"/>
  <c r="AF944" i="1"/>
  <c r="AP943" i="1"/>
  <c r="AO943" i="1"/>
  <c r="AN943" i="1"/>
  <c r="AM943" i="1"/>
  <c r="AL943" i="1"/>
  <c r="AK943" i="1"/>
  <c r="AJ943" i="1"/>
  <c r="AI943" i="1"/>
  <c r="AH943" i="1"/>
  <c r="AG943" i="1"/>
  <c r="AF943" i="1"/>
  <c r="AP942" i="1"/>
  <c r="AO942" i="1"/>
  <c r="AN942" i="1"/>
  <c r="AM942" i="1"/>
  <c r="AL942" i="1"/>
  <c r="AK942" i="1"/>
  <c r="AJ942" i="1"/>
  <c r="AI942" i="1"/>
  <c r="AH942" i="1"/>
  <c r="AG942" i="1"/>
  <c r="AF942" i="1"/>
  <c r="AP941" i="1"/>
  <c r="AO941" i="1"/>
  <c r="AN941" i="1"/>
  <c r="AM941" i="1"/>
  <c r="AL941" i="1"/>
  <c r="AK941" i="1"/>
  <c r="AJ941" i="1"/>
  <c r="AI941" i="1"/>
  <c r="AH941" i="1"/>
  <c r="AG941" i="1"/>
  <c r="AF941" i="1"/>
  <c r="AP940" i="1"/>
  <c r="AO940" i="1"/>
  <c r="AN940" i="1"/>
  <c r="AM940" i="1"/>
  <c r="AL940" i="1"/>
  <c r="AK940" i="1"/>
  <c r="AJ940" i="1"/>
  <c r="AI940" i="1"/>
  <c r="AH940" i="1"/>
  <c r="AG940" i="1"/>
  <c r="AF940" i="1"/>
  <c r="AP939" i="1"/>
  <c r="AO939" i="1"/>
  <c r="AN939" i="1"/>
  <c r="AM939" i="1"/>
  <c r="AL939" i="1"/>
  <c r="AK939" i="1"/>
  <c r="AJ939" i="1"/>
  <c r="AI939" i="1"/>
  <c r="AH939" i="1"/>
  <c r="AG939" i="1"/>
  <c r="AF939" i="1"/>
  <c r="AP938" i="1"/>
  <c r="AO938" i="1"/>
  <c r="AN938" i="1"/>
  <c r="AM938" i="1"/>
  <c r="AL938" i="1"/>
  <c r="AK938" i="1"/>
  <c r="AJ938" i="1"/>
  <c r="AI938" i="1"/>
  <c r="AH938" i="1"/>
  <c r="AG938" i="1"/>
  <c r="AF938" i="1"/>
  <c r="AP937" i="1"/>
  <c r="AO937" i="1"/>
  <c r="AN937" i="1"/>
  <c r="AM937" i="1"/>
  <c r="AL937" i="1"/>
  <c r="AK937" i="1"/>
  <c r="AJ937" i="1"/>
  <c r="AI937" i="1"/>
  <c r="AH937" i="1"/>
  <c r="AG937" i="1"/>
  <c r="AF937" i="1"/>
  <c r="AP936" i="1"/>
  <c r="AO936" i="1"/>
  <c r="AN936" i="1"/>
  <c r="AM936" i="1"/>
  <c r="AL936" i="1"/>
  <c r="AK936" i="1"/>
  <c r="AJ936" i="1"/>
  <c r="AI936" i="1"/>
  <c r="AH936" i="1"/>
  <c r="AG936" i="1"/>
  <c r="AF936" i="1"/>
  <c r="AP935" i="1"/>
  <c r="AO935" i="1"/>
  <c r="AN935" i="1"/>
  <c r="AM935" i="1"/>
  <c r="AL935" i="1"/>
  <c r="AK935" i="1"/>
  <c r="AJ935" i="1"/>
  <c r="AI935" i="1"/>
  <c r="AH935" i="1"/>
  <c r="AG935" i="1"/>
  <c r="AF935" i="1"/>
  <c r="AP934" i="1"/>
  <c r="AO934" i="1"/>
  <c r="AN934" i="1"/>
  <c r="AM934" i="1"/>
  <c r="AL934" i="1"/>
  <c r="AK934" i="1"/>
  <c r="AJ934" i="1"/>
  <c r="AI934" i="1"/>
  <c r="AH934" i="1"/>
  <c r="AG934" i="1"/>
  <c r="AF934" i="1"/>
  <c r="AP933" i="1"/>
  <c r="AO933" i="1"/>
  <c r="AN933" i="1"/>
  <c r="AM933" i="1"/>
  <c r="AL933" i="1"/>
  <c r="AK933" i="1"/>
  <c r="AJ933" i="1"/>
  <c r="AI933" i="1"/>
  <c r="AH933" i="1"/>
  <c r="AG933" i="1"/>
  <c r="AF933" i="1"/>
  <c r="AP932" i="1"/>
  <c r="AO932" i="1"/>
  <c r="AN932" i="1"/>
  <c r="AM932" i="1"/>
  <c r="AL932" i="1"/>
  <c r="AK932" i="1"/>
  <c r="AJ932" i="1"/>
  <c r="AI932" i="1"/>
  <c r="AH932" i="1"/>
  <c r="AG932" i="1"/>
  <c r="AF932" i="1"/>
  <c r="AP931" i="1"/>
  <c r="AO931" i="1"/>
  <c r="AN931" i="1"/>
  <c r="AM931" i="1"/>
  <c r="AL931" i="1"/>
  <c r="AK931" i="1"/>
  <c r="AJ931" i="1"/>
  <c r="AI931" i="1"/>
  <c r="AH931" i="1"/>
  <c r="AG931" i="1"/>
  <c r="AF931" i="1"/>
  <c r="AP930" i="1"/>
  <c r="AO930" i="1"/>
  <c r="AN930" i="1"/>
  <c r="AM930" i="1"/>
  <c r="AL930" i="1"/>
  <c r="AK930" i="1"/>
  <c r="AJ930" i="1"/>
  <c r="AI930" i="1"/>
  <c r="AH930" i="1"/>
  <c r="AG930" i="1"/>
  <c r="AF930" i="1"/>
  <c r="AP929" i="1"/>
  <c r="AO929" i="1"/>
  <c r="AN929" i="1"/>
  <c r="AM929" i="1"/>
  <c r="AL929" i="1"/>
  <c r="AK929" i="1"/>
  <c r="AJ929" i="1"/>
  <c r="AI929" i="1"/>
  <c r="AH929" i="1"/>
  <c r="AG929" i="1"/>
  <c r="AF929" i="1"/>
  <c r="AP928" i="1"/>
  <c r="AO928" i="1"/>
  <c r="AN928" i="1"/>
  <c r="AM928" i="1"/>
  <c r="AL928" i="1"/>
  <c r="AK928" i="1"/>
  <c r="AJ928" i="1"/>
  <c r="AI928" i="1"/>
  <c r="AH928" i="1"/>
  <c r="AG928" i="1"/>
  <c r="AF928" i="1"/>
  <c r="AP927" i="1"/>
  <c r="AO927" i="1"/>
  <c r="AN927" i="1"/>
  <c r="AM927" i="1"/>
  <c r="AL927" i="1"/>
  <c r="AK927" i="1"/>
  <c r="AJ927" i="1"/>
  <c r="AI927" i="1"/>
  <c r="AH927" i="1"/>
  <c r="AG927" i="1"/>
  <c r="AF927" i="1"/>
  <c r="AP926" i="1"/>
  <c r="AO926" i="1"/>
  <c r="AN926" i="1"/>
  <c r="AM926" i="1"/>
  <c r="AL926" i="1"/>
  <c r="AK926" i="1"/>
  <c r="AJ926" i="1"/>
  <c r="AI926" i="1"/>
  <c r="AH926" i="1"/>
  <c r="AG926" i="1"/>
  <c r="AF926" i="1"/>
  <c r="AP925" i="1"/>
  <c r="AO925" i="1"/>
  <c r="AN925" i="1"/>
  <c r="AM925" i="1"/>
  <c r="AL925" i="1"/>
  <c r="AK925" i="1"/>
  <c r="AJ925" i="1"/>
  <c r="AI925" i="1"/>
  <c r="AH925" i="1"/>
  <c r="AG925" i="1"/>
  <c r="AF925" i="1"/>
  <c r="AP924" i="1"/>
  <c r="AO924" i="1"/>
  <c r="AN924" i="1"/>
  <c r="AM924" i="1"/>
  <c r="AL924" i="1"/>
  <c r="AK924" i="1"/>
  <c r="AJ924" i="1"/>
  <c r="AI924" i="1"/>
  <c r="AH924" i="1"/>
  <c r="AG924" i="1"/>
  <c r="AF924" i="1"/>
  <c r="AP923" i="1"/>
  <c r="AO923" i="1"/>
  <c r="AN923" i="1"/>
  <c r="AM923" i="1"/>
  <c r="AL923" i="1"/>
  <c r="AK923" i="1"/>
  <c r="AJ923" i="1"/>
  <c r="AI923" i="1"/>
  <c r="AH923" i="1"/>
  <c r="AG923" i="1"/>
  <c r="AF923" i="1"/>
  <c r="AP922" i="1"/>
  <c r="AO922" i="1"/>
  <c r="AN922" i="1"/>
  <c r="AM922" i="1"/>
  <c r="AL922" i="1"/>
  <c r="AK922" i="1"/>
  <c r="AJ922" i="1"/>
  <c r="AI922" i="1"/>
  <c r="AH922" i="1"/>
  <c r="AG922" i="1"/>
  <c r="AF922" i="1"/>
  <c r="AP921" i="1"/>
  <c r="AO921" i="1"/>
  <c r="AN921" i="1"/>
  <c r="AM921" i="1"/>
  <c r="AL921" i="1"/>
  <c r="AK921" i="1"/>
  <c r="AJ921" i="1"/>
  <c r="AI921" i="1"/>
  <c r="AH921" i="1"/>
  <c r="AG921" i="1"/>
  <c r="AF921" i="1"/>
  <c r="AP920" i="1"/>
  <c r="AO920" i="1"/>
  <c r="AN920" i="1"/>
  <c r="AM920" i="1"/>
  <c r="AL920" i="1"/>
  <c r="AK920" i="1"/>
  <c r="AJ920" i="1"/>
  <c r="AI920" i="1"/>
  <c r="AH920" i="1"/>
  <c r="AG920" i="1"/>
  <c r="AF920" i="1"/>
  <c r="AP919" i="1"/>
  <c r="AO919" i="1"/>
  <c r="AN919" i="1"/>
  <c r="AM919" i="1"/>
  <c r="AL919" i="1"/>
  <c r="AK919" i="1"/>
  <c r="AJ919" i="1"/>
  <c r="AI919" i="1"/>
  <c r="AH919" i="1"/>
  <c r="AG919" i="1"/>
  <c r="AF919" i="1"/>
  <c r="AP918" i="1"/>
  <c r="AO918" i="1"/>
  <c r="AN918" i="1"/>
  <c r="AM918" i="1"/>
  <c r="AL918" i="1"/>
  <c r="AK918" i="1"/>
  <c r="AJ918" i="1"/>
  <c r="AI918" i="1"/>
  <c r="AH918" i="1"/>
  <c r="AG918" i="1"/>
  <c r="AF918" i="1"/>
  <c r="AP917" i="1"/>
  <c r="AO917" i="1"/>
  <c r="AN917" i="1"/>
  <c r="AM917" i="1"/>
  <c r="AL917" i="1"/>
  <c r="AK917" i="1"/>
  <c r="AJ917" i="1"/>
  <c r="AI917" i="1"/>
  <c r="AH917" i="1"/>
  <c r="AG917" i="1"/>
  <c r="AF917" i="1"/>
  <c r="AP916" i="1"/>
  <c r="AO916" i="1"/>
  <c r="AN916" i="1"/>
  <c r="AM916" i="1"/>
  <c r="AL916" i="1"/>
  <c r="AK916" i="1"/>
  <c r="AJ916" i="1"/>
  <c r="AI916" i="1"/>
  <c r="AH916" i="1"/>
  <c r="AG916" i="1"/>
  <c r="AF916" i="1"/>
  <c r="AP915" i="1"/>
  <c r="AO915" i="1"/>
  <c r="AN915" i="1"/>
  <c r="AM915" i="1"/>
  <c r="AL915" i="1"/>
  <c r="AK915" i="1"/>
  <c r="AJ915" i="1"/>
  <c r="AI915" i="1"/>
  <c r="AH915" i="1"/>
  <c r="AG915" i="1"/>
  <c r="AF915" i="1"/>
  <c r="AP914" i="1"/>
  <c r="AO914" i="1"/>
  <c r="AN914" i="1"/>
  <c r="AM914" i="1"/>
  <c r="AL914" i="1"/>
  <c r="AK914" i="1"/>
  <c r="AJ914" i="1"/>
  <c r="AI914" i="1"/>
  <c r="AH914" i="1"/>
  <c r="AG914" i="1"/>
  <c r="AF914" i="1"/>
  <c r="AP913" i="1"/>
  <c r="AO913" i="1"/>
  <c r="AN913" i="1"/>
  <c r="AM913" i="1"/>
  <c r="AL913" i="1"/>
  <c r="AK913" i="1"/>
  <c r="AJ913" i="1"/>
  <c r="AI913" i="1"/>
  <c r="AH913" i="1"/>
  <c r="AG913" i="1"/>
  <c r="AF913" i="1"/>
  <c r="AP912" i="1"/>
  <c r="AO912" i="1"/>
  <c r="AN912" i="1"/>
  <c r="AM912" i="1"/>
  <c r="AL912" i="1"/>
  <c r="AK912" i="1"/>
  <c r="AJ912" i="1"/>
  <c r="AI912" i="1"/>
  <c r="AH912" i="1"/>
  <c r="AG912" i="1"/>
  <c r="AF912" i="1"/>
  <c r="AP911" i="1"/>
  <c r="AO911" i="1"/>
  <c r="AN911" i="1"/>
  <c r="AM911" i="1"/>
  <c r="AL911" i="1"/>
  <c r="AK911" i="1"/>
  <c r="AJ911" i="1"/>
  <c r="AI911" i="1"/>
  <c r="AH911" i="1"/>
  <c r="AG911" i="1"/>
  <c r="AF911" i="1"/>
  <c r="AP910" i="1"/>
  <c r="AO910" i="1"/>
  <c r="AN910" i="1"/>
  <c r="AM910" i="1"/>
  <c r="AL910" i="1"/>
  <c r="AK910" i="1"/>
  <c r="AJ910" i="1"/>
  <c r="AI910" i="1"/>
  <c r="AH910" i="1"/>
  <c r="AG910" i="1"/>
  <c r="AF910" i="1"/>
  <c r="AP909" i="1"/>
  <c r="AO909" i="1"/>
  <c r="AN909" i="1"/>
  <c r="AM909" i="1"/>
  <c r="AL909" i="1"/>
  <c r="AK909" i="1"/>
  <c r="AJ909" i="1"/>
  <c r="AI909" i="1"/>
  <c r="AH909" i="1"/>
  <c r="AG909" i="1"/>
  <c r="AF909" i="1"/>
  <c r="AP908" i="1"/>
  <c r="AO908" i="1"/>
  <c r="AN908" i="1"/>
  <c r="AM908" i="1"/>
  <c r="AL908" i="1"/>
  <c r="AK908" i="1"/>
  <c r="AJ908" i="1"/>
  <c r="AI908" i="1"/>
  <c r="AH908" i="1"/>
  <c r="AG908" i="1"/>
  <c r="AF908" i="1"/>
  <c r="AP907" i="1"/>
  <c r="AO907" i="1"/>
  <c r="AN907" i="1"/>
  <c r="AM907" i="1"/>
  <c r="AL907" i="1"/>
  <c r="AK907" i="1"/>
  <c r="AJ907" i="1"/>
  <c r="AI907" i="1"/>
  <c r="AH907" i="1"/>
  <c r="AG907" i="1"/>
  <c r="AF907" i="1"/>
  <c r="AP906" i="1"/>
  <c r="AO906" i="1"/>
  <c r="AN906" i="1"/>
  <c r="AM906" i="1"/>
  <c r="AL906" i="1"/>
  <c r="AK906" i="1"/>
  <c r="AJ906" i="1"/>
  <c r="AI906" i="1"/>
  <c r="AH906" i="1"/>
  <c r="AG906" i="1"/>
  <c r="AF906" i="1"/>
  <c r="AP905" i="1"/>
  <c r="AO905" i="1"/>
  <c r="AN905" i="1"/>
  <c r="AM905" i="1"/>
  <c r="AL905" i="1"/>
  <c r="AK905" i="1"/>
  <c r="AJ905" i="1"/>
  <c r="AI905" i="1"/>
  <c r="AH905" i="1"/>
  <c r="AG905" i="1"/>
  <c r="AF905" i="1"/>
  <c r="AP904" i="1"/>
  <c r="AO904" i="1"/>
  <c r="AN904" i="1"/>
  <c r="AM904" i="1"/>
  <c r="AL904" i="1"/>
  <c r="AK904" i="1"/>
  <c r="AJ904" i="1"/>
  <c r="AI904" i="1"/>
  <c r="AH904" i="1"/>
  <c r="AG904" i="1"/>
  <c r="AF904" i="1"/>
  <c r="AP903" i="1"/>
  <c r="AO903" i="1"/>
  <c r="AN903" i="1"/>
  <c r="AM903" i="1"/>
  <c r="AL903" i="1"/>
  <c r="AK903" i="1"/>
  <c r="AJ903" i="1"/>
  <c r="AI903" i="1"/>
  <c r="AH903" i="1"/>
  <c r="AG903" i="1"/>
  <c r="AF903" i="1"/>
  <c r="AP902" i="1"/>
  <c r="AO902" i="1"/>
  <c r="AN902" i="1"/>
  <c r="AM902" i="1"/>
  <c r="AL902" i="1"/>
  <c r="AK902" i="1"/>
  <c r="AJ902" i="1"/>
  <c r="AI902" i="1"/>
  <c r="AH902" i="1"/>
  <c r="AG902" i="1"/>
  <c r="AF902" i="1"/>
  <c r="AP901" i="1"/>
  <c r="AO901" i="1"/>
  <c r="AN901" i="1"/>
  <c r="AM901" i="1"/>
  <c r="AL901" i="1"/>
  <c r="AK901" i="1"/>
  <c r="AJ901" i="1"/>
  <c r="AI901" i="1"/>
  <c r="AH901" i="1"/>
  <c r="AG901" i="1"/>
  <c r="AF901" i="1"/>
  <c r="AP900" i="1"/>
  <c r="AO900" i="1"/>
  <c r="AN900" i="1"/>
  <c r="AM900" i="1"/>
  <c r="AL900" i="1"/>
  <c r="AK900" i="1"/>
  <c r="AJ900" i="1"/>
  <c r="AI900" i="1"/>
  <c r="AH900" i="1"/>
  <c r="AG900" i="1"/>
  <c r="AF900" i="1"/>
  <c r="AP899" i="1"/>
  <c r="AO899" i="1"/>
  <c r="AN899" i="1"/>
  <c r="AM899" i="1"/>
  <c r="AL899" i="1"/>
  <c r="AK899" i="1"/>
  <c r="AJ899" i="1"/>
  <c r="AI899" i="1"/>
  <c r="AH899" i="1"/>
  <c r="AG899" i="1"/>
  <c r="AF899" i="1"/>
  <c r="AP898" i="1"/>
  <c r="AO898" i="1"/>
  <c r="AN898" i="1"/>
  <c r="AM898" i="1"/>
  <c r="AL898" i="1"/>
  <c r="AK898" i="1"/>
  <c r="AJ898" i="1"/>
  <c r="AI898" i="1"/>
  <c r="AH898" i="1"/>
  <c r="AG898" i="1"/>
  <c r="AF898" i="1"/>
  <c r="AP897" i="1"/>
  <c r="AO897" i="1"/>
  <c r="AN897" i="1"/>
  <c r="AM897" i="1"/>
  <c r="AL897" i="1"/>
  <c r="AK897" i="1"/>
  <c r="AJ897" i="1"/>
  <c r="AI897" i="1"/>
  <c r="AH897" i="1"/>
  <c r="AG897" i="1"/>
  <c r="AF897" i="1"/>
  <c r="AP896" i="1"/>
  <c r="AO896" i="1"/>
  <c r="AN896" i="1"/>
  <c r="AM896" i="1"/>
  <c r="AL896" i="1"/>
  <c r="AK896" i="1"/>
  <c r="AJ896" i="1"/>
  <c r="AI896" i="1"/>
  <c r="AH896" i="1"/>
  <c r="AG896" i="1"/>
  <c r="AF896" i="1"/>
  <c r="AP895" i="1"/>
  <c r="AO895" i="1"/>
  <c r="AN895" i="1"/>
  <c r="AM895" i="1"/>
  <c r="AL895" i="1"/>
  <c r="AK895" i="1"/>
  <c r="AJ895" i="1"/>
  <c r="AI895" i="1"/>
  <c r="AH895" i="1"/>
  <c r="AG895" i="1"/>
  <c r="AF895" i="1"/>
  <c r="AP894" i="1"/>
  <c r="AO894" i="1"/>
  <c r="AN894" i="1"/>
  <c r="AM894" i="1"/>
  <c r="AL894" i="1"/>
  <c r="AK894" i="1"/>
  <c r="AJ894" i="1"/>
  <c r="AI894" i="1"/>
  <c r="AH894" i="1"/>
  <c r="AG894" i="1"/>
  <c r="AF894" i="1"/>
  <c r="AP893" i="1"/>
  <c r="AO893" i="1"/>
  <c r="AN893" i="1"/>
  <c r="AM893" i="1"/>
  <c r="AL893" i="1"/>
  <c r="AK893" i="1"/>
  <c r="AJ893" i="1"/>
  <c r="AI893" i="1"/>
  <c r="AH893" i="1"/>
  <c r="AG893" i="1"/>
  <c r="AF893" i="1"/>
  <c r="AP892" i="1"/>
  <c r="AO892" i="1"/>
  <c r="AN892" i="1"/>
  <c r="AM892" i="1"/>
  <c r="AL892" i="1"/>
  <c r="AK892" i="1"/>
  <c r="AJ892" i="1"/>
  <c r="AI892" i="1"/>
  <c r="AH892" i="1"/>
  <c r="AG892" i="1"/>
  <c r="AF892" i="1"/>
  <c r="AP891" i="1"/>
  <c r="AO891" i="1"/>
  <c r="AN891" i="1"/>
  <c r="AM891" i="1"/>
  <c r="AL891" i="1"/>
  <c r="AK891" i="1"/>
  <c r="AJ891" i="1"/>
  <c r="AI891" i="1"/>
  <c r="AH891" i="1"/>
  <c r="AG891" i="1"/>
  <c r="AF891" i="1"/>
  <c r="AP890" i="1"/>
  <c r="AO890" i="1"/>
  <c r="AN890" i="1"/>
  <c r="AM890" i="1"/>
  <c r="AL890" i="1"/>
  <c r="AK890" i="1"/>
  <c r="AJ890" i="1"/>
  <c r="AI890" i="1"/>
  <c r="AH890" i="1"/>
  <c r="AG890" i="1"/>
  <c r="AF890" i="1"/>
  <c r="AP889" i="1"/>
  <c r="AO889" i="1"/>
  <c r="AN889" i="1"/>
  <c r="AM889" i="1"/>
  <c r="AL889" i="1"/>
  <c r="AK889" i="1"/>
  <c r="AJ889" i="1"/>
  <c r="AI889" i="1"/>
  <c r="AH889" i="1"/>
  <c r="AG889" i="1"/>
  <c r="AF889" i="1"/>
  <c r="AP888" i="1"/>
  <c r="AO888" i="1"/>
  <c r="AN888" i="1"/>
  <c r="AM888" i="1"/>
  <c r="AL888" i="1"/>
  <c r="AK888" i="1"/>
  <c r="AJ888" i="1"/>
  <c r="AI888" i="1"/>
  <c r="AH888" i="1"/>
  <c r="AG888" i="1"/>
  <c r="AF888" i="1"/>
  <c r="AP887" i="1"/>
  <c r="AO887" i="1"/>
  <c r="AN887" i="1"/>
  <c r="AM887" i="1"/>
  <c r="AL887" i="1"/>
  <c r="AK887" i="1"/>
  <c r="AJ887" i="1"/>
  <c r="AI887" i="1"/>
  <c r="AH887" i="1"/>
  <c r="AG887" i="1"/>
  <c r="AF887" i="1"/>
  <c r="AP886" i="1"/>
  <c r="AO886" i="1"/>
  <c r="AN886" i="1"/>
  <c r="AM886" i="1"/>
  <c r="AL886" i="1"/>
  <c r="AK886" i="1"/>
  <c r="AJ886" i="1"/>
  <c r="AI886" i="1"/>
  <c r="AH886" i="1"/>
  <c r="AG886" i="1"/>
  <c r="AF886" i="1"/>
  <c r="AP885" i="1"/>
  <c r="AO885" i="1"/>
  <c r="AN885" i="1"/>
  <c r="AM885" i="1"/>
  <c r="AL885" i="1"/>
  <c r="AK885" i="1"/>
  <c r="AJ885" i="1"/>
  <c r="AI885" i="1"/>
  <c r="AH885" i="1"/>
  <c r="AG885" i="1"/>
  <c r="AF885" i="1"/>
  <c r="AP884" i="1"/>
  <c r="AO884" i="1"/>
  <c r="AN884" i="1"/>
  <c r="AM884" i="1"/>
  <c r="AL884" i="1"/>
  <c r="AK884" i="1"/>
  <c r="AJ884" i="1"/>
  <c r="AI884" i="1"/>
  <c r="AH884" i="1"/>
  <c r="AG884" i="1"/>
  <c r="AF884" i="1"/>
  <c r="AP883" i="1"/>
  <c r="AO883" i="1"/>
  <c r="AN883" i="1"/>
  <c r="AM883" i="1"/>
  <c r="AL883" i="1"/>
  <c r="AK883" i="1"/>
  <c r="AJ883" i="1"/>
  <c r="AI883" i="1"/>
  <c r="AH883" i="1"/>
  <c r="AG883" i="1"/>
  <c r="AF883" i="1"/>
  <c r="AP882" i="1"/>
  <c r="AO882" i="1"/>
  <c r="AN882" i="1"/>
  <c r="AM882" i="1"/>
  <c r="AL882" i="1"/>
  <c r="AK882" i="1"/>
  <c r="AJ882" i="1"/>
  <c r="AI882" i="1"/>
  <c r="AH882" i="1"/>
  <c r="AG882" i="1"/>
  <c r="AF882" i="1"/>
  <c r="AP881" i="1"/>
  <c r="AO881" i="1"/>
  <c r="AN881" i="1"/>
  <c r="AM881" i="1"/>
  <c r="AL881" i="1"/>
  <c r="AK881" i="1"/>
  <c r="AJ881" i="1"/>
  <c r="AI881" i="1"/>
  <c r="AH881" i="1"/>
  <c r="AG881" i="1"/>
  <c r="AF881" i="1"/>
  <c r="AP880" i="1"/>
  <c r="AO880" i="1"/>
  <c r="AN880" i="1"/>
  <c r="AM880" i="1"/>
  <c r="AL880" i="1"/>
  <c r="AK880" i="1"/>
  <c r="AJ880" i="1"/>
  <c r="AI880" i="1"/>
  <c r="AH880" i="1"/>
  <c r="AG880" i="1"/>
  <c r="AF880" i="1"/>
  <c r="AP879" i="1"/>
  <c r="AO879" i="1"/>
  <c r="AN879" i="1"/>
  <c r="AM879" i="1"/>
  <c r="AL879" i="1"/>
  <c r="AK879" i="1"/>
  <c r="AJ879" i="1"/>
  <c r="AI879" i="1"/>
  <c r="AH879" i="1"/>
  <c r="AG879" i="1"/>
  <c r="AF879" i="1"/>
  <c r="AP878" i="1"/>
  <c r="AO878" i="1"/>
  <c r="AN878" i="1"/>
  <c r="AM878" i="1"/>
  <c r="AL878" i="1"/>
  <c r="AK878" i="1"/>
  <c r="AJ878" i="1"/>
  <c r="AI878" i="1"/>
  <c r="AH878" i="1"/>
  <c r="AG878" i="1"/>
  <c r="AF878" i="1"/>
  <c r="AP877" i="1"/>
  <c r="AO877" i="1"/>
  <c r="AN877" i="1"/>
  <c r="AM877" i="1"/>
  <c r="AL877" i="1"/>
  <c r="AK877" i="1"/>
  <c r="AJ877" i="1"/>
  <c r="AI877" i="1"/>
  <c r="AH877" i="1"/>
  <c r="AG877" i="1"/>
  <c r="AF877" i="1"/>
  <c r="AP876" i="1"/>
  <c r="AO876" i="1"/>
  <c r="AN876" i="1"/>
  <c r="AM876" i="1"/>
  <c r="AL876" i="1"/>
  <c r="AK876" i="1"/>
  <c r="AJ876" i="1"/>
  <c r="AI876" i="1"/>
  <c r="AH876" i="1"/>
  <c r="AG876" i="1"/>
  <c r="AF876" i="1"/>
  <c r="AP875" i="1"/>
  <c r="AO875" i="1"/>
  <c r="AN875" i="1"/>
  <c r="AM875" i="1"/>
  <c r="AL875" i="1"/>
  <c r="AK875" i="1"/>
  <c r="AJ875" i="1"/>
  <c r="AI875" i="1"/>
  <c r="AH875" i="1"/>
  <c r="AG875" i="1"/>
  <c r="AF875" i="1"/>
  <c r="AP874" i="1"/>
  <c r="AO874" i="1"/>
  <c r="AN874" i="1"/>
  <c r="AM874" i="1"/>
  <c r="AL874" i="1"/>
  <c r="AK874" i="1"/>
  <c r="AJ874" i="1"/>
  <c r="AI874" i="1"/>
  <c r="AH874" i="1"/>
  <c r="AG874" i="1"/>
  <c r="AF874" i="1"/>
  <c r="AP873" i="1"/>
  <c r="AO873" i="1"/>
  <c r="AN873" i="1"/>
  <c r="AM873" i="1"/>
  <c r="AL873" i="1"/>
  <c r="AK873" i="1"/>
  <c r="AJ873" i="1"/>
  <c r="AI873" i="1"/>
  <c r="AH873" i="1"/>
  <c r="AG873" i="1"/>
  <c r="AF873" i="1"/>
  <c r="AP872" i="1"/>
  <c r="AO872" i="1"/>
  <c r="AN872" i="1"/>
  <c r="AM872" i="1"/>
  <c r="AL872" i="1"/>
  <c r="AK872" i="1"/>
  <c r="AJ872" i="1"/>
  <c r="AI872" i="1"/>
  <c r="AH872" i="1"/>
  <c r="AG872" i="1"/>
  <c r="AF872" i="1"/>
  <c r="AP871" i="1"/>
  <c r="AO871" i="1"/>
  <c r="AN871" i="1"/>
  <c r="AM871" i="1"/>
  <c r="AL871" i="1"/>
  <c r="AK871" i="1"/>
  <c r="AJ871" i="1"/>
  <c r="AI871" i="1"/>
  <c r="AH871" i="1"/>
  <c r="AG871" i="1"/>
  <c r="AF871" i="1"/>
  <c r="AP870" i="1"/>
  <c r="AO870" i="1"/>
  <c r="AN870" i="1"/>
  <c r="AM870" i="1"/>
  <c r="AL870" i="1"/>
  <c r="AK870" i="1"/>
  <c r="AJ870" i="1"/>
  <c r="AI870" i="1"/>
  <c r="AH870" i="1"/>
  <c r="AG870" i="1"/>
  <c r="AF870" i="1"/>
  <c r="AP869" i="1"/>
  <c r="AO869" i="1"/>
  <c r="AN869" i="1"/>
  <c r="AM869" i="1"/>
  <c r="AL869" i="1"/>
  <c r="AK869" i="1"/>
  <c r="AJ869" i="1"/>
  <c r="AI869" i="1"/>
  <c r="AH869" i="1"/>
  <c r="AG869" i="1"/>
  <c r="AF869" i="1"/>
  <c r="AP868" i="1"/>
  <c r="AO868" i="1"/>
  <c r="AN868" i="1"/>
  <c r="AM868" i="1"/>
  <c r="AL868" i="1"/>
  <c r="AK868" i="1"/>
  <c r="AJ868" i="1"/>
  <c r="AI868" i="1"/>
  <c r="AH868" i="1"/>
  <c r="AG868" i="1"/>
  <c r="AF868" i="1"/>
  <c r="AP867" i="1"/>
  <c r="AO867" i="1"/>
  <c r="AN867" i="1"/>
  <c r="AM867" i="1"/>
  <c r="AL867" i="1"/>
  <c r="AK867" i="1"/>
  <c r="AJ867" i="1"/>
  <c r="AI867" i="1"/>
  <c r="AH867" i="1"/>
  <c r="AG867" i="1"/>
  <c r="AF867" i="1"/>
  <c r="AP866" i="1"/>
  <c r="AO866" i="1"/>
  <c r="AN866" i="1"/>
  <c r="AM866" i="1"/>
  <c r="AL866" i="1"/>
  <c r="AK866" i="1"/>
  <c r="AJ866" i="1"/>
  <c r="AI866" i="1"/>
  <c r="AH866" i="1"/>
  <c r="AG866" i="1"/>
  <c r="AF866" i="1"/>
  <c r="AP865" i="1"/>
  <c r="AO865" i="1"/>
  <c r="AN865" i="1"/>
  <c r="AM865" i="1"/>
  <c r="AL865" i="1"/>
  <c r="AK865" i="1"/>
  <c r="AJ865" i="1"/>
  <c r="AI865" i="1"/>
  <c r="AH865" i="1"/>
  <c r="AG865" i="1"/>
  <c r="AF865" i="1"/>
  <c r="AP864" i="1"/>
  <c r="AO864" i="1"/>
  <c r="AN864" i="1"/>
  <c r="AM864" i="1"/>
  <c r="AL864" i="1"/>
  <c r="AK864" i="1"/>
  <c r="AJ864" i="1"/>
  <c r="AI864" i="1"/>
  <c r="AH864" i="1"/>
  <c r="AG864" i="1"/>
  <c r="AF864" i="1"/>
  <c r="AP863" i="1"/>
  <c r="AO863" i="1"/>
  <c r="AN863" i="1"/>
  <c r="AM863" i="1"/>
  <c r="AL863" i="1"/>
  <c r="AK863" i="1"/>
  <c r="AJ863" i="1"/>
  <c r="AI863" i="1"/>
  <c r="AH863" i="1"/>
  <c r="AG863" i="1"/>
  <c r="AF863" i="1"/>
  <c r="AP862" i="1"/>
  <c r="AO862" i="1"/>
  <c r="AN862" i="1"/>
  <c r="AM862" i="1"/>
  <c r="AL862" i="1"/>
  <c r="AK862" i="1"/>
  <c r="AJ862" i="1"/>
  <c r="AI862" i="1"/>
  <c r="AH862" i="1"/>
  <c r="AG862" i="1"/>
  <c r="AF862" i="1"/>
  <c r="AP861" i="1"/>
  <c r="AO861" i="1"/>
  <c r="AN861" i="1"/>
  <c r="AM861" i="1"/>
  <c r="AL861" i="1"/>
  <c r="AK861" i="1"/>
  <c r="AJ861" i="1"/>
  <c r="AI861" i="1"/>
  <c r="AH861" i="1"/>
  <c r="AG861" i="1"/>
  <c r="AF861" i="1"/>
  <c r="AP860" i="1"/>
  <c r="AO860" i="1"/>
  <c r="AN860" i="1"/>
  <c r="AM860" i="1"/>
  <c r="AL860" i="1"/>
  <c r="AK860" i="1"/>
  <c r="AJ860" i="1"/>
  <c r="AI860" i="1"/>
  <c r="AH860" i="1"/>
  <c r="AG860" i="1"/>
  <c r="AF860" i="1"/>
  <c r="AP859" i="1"/>
  <c r="AO859" i="1"/>
  <c r="AN859" i="1"/>
  <c r="AM859" i="1"/>
  <c r="AL859" i="1"/>
  <c r="AK859" i="1"/>
  <c r="AJ859" i="1"/>
  <c r="AI859" i="1"/>
  <c r="AH859" i="1"/>
  <c r="AG859" i="1"/>
  <c r="AF859" i="1"/>
  <c r="AP858" i="1"/>
  <c r="AO858" i="1"/>
  <c r="AN858" i="1"/>
  <c r="AM858" i="1"/>
  <c r="AL858" i="1"/>
  <c r="AK858" i="1"/>
  <c r="AJ858" i="1"/>
  <c r="AI858" i="1"/>
  <c r="AH858" i="1"/>
  <c r="AG858" i="1"/>
  <c r="AF858" i="1"/>
  <c r="AP857" i="1"/>
  <c r="AO857" i="1"/>
  <c r="AN857" i="1"/>
  <c r="AM857" i="1"/>
  <c r="AL857" i="1"/>
  <c r="AK857" i="1"/>
  <c r="AJ857" i="1"/>
  <c r="AI857" i="1"/>
  <c r="AH857" i="1"/>
  <c r="AG857" i="1"/>
  <c r="AF857" i="1"/>
  <c r="AP856" i="1"/>
  <c r="AO856" i="1"/>
  <c r="AN856" i="1"/>
  <c r="AM856" i="1"/>
  <c r="AL856" i="1"/>
  <c r="AK856" i="1"/>
  <c r="AJ856" i="1"/>
  <c r="AI856" i="1"/>
  <c r="AH856" i="1"/>
  <c r="AG856" i="1"/>
  <c r="AF856" i="1"/>
  <c r="AP855" i="1"/>
  <c r="AO855" i="1"/>
  <c r="AN855" i="1"/>
  <c r="AM855" i="1"/>
  <c r="AL855" i="1"/>
  <c r="AK855" i="1"/>
  <c r="AJ855" i="1"/>
  <c r="AI855" i="1"/>
  <c r="AH855" i="1"/>
  <c r="AG855" i="1"/>
  <c r="AF855" i="1"/>
  <c r="AP854" i="1"/>
  <c r="AO854" i="1"/>
  <c r="AN854" i="1"/>
  <c r="AM854" i="1"/>
  <c r="AL854" i="1"/>
  <c r="AK854" i="1"/>
  <c r="AJ854" i="1"/>
  <c r="AI854" i="1"/>
  <c r="AH854" i="1"/>
  <c r="AG854" i="1"/>
  <c r="AF854" i="1"/>
  <c r="AP853" i="1"/>
  <c r="AO853" i="1"/>
  <c r="AN853" i="1"/>
  <c r="AM853" i="1"/>
  <c r="AL853" i="1"/>
  <c r="AK853" i="1"/>
  <c r="AJ853" i="1"/>
  <c r="AI853" i="1"/>
  <c r="AH853" i="1"/>
  <c r="AG853" i="1"/>
  <c r="AF853" i="1"/>
  <c r="AP852" i="1"/>
  <c r="AO852" i="1"/>
  <c r="AN852" i="1"/>
  <c r="AM852" i="1"/>
  <c r="AL852" i="1"/>
  <c r="AK852" i="1"/>
  <c r="AJ852" i="1"/>
  <c r="AI852" i="1"/>
  <c r="AH852" i="1"/>
  <c r="AG852" i="1"/>
  <c r="AF852" i="1"/>
  <c r="AP851" i="1"/>
  <c r="AO851" i="1"/>
  <c r="AN851" i="1"/>
  <c r="AM851" i="1"/>
  <c r="AL851" i="1"/>
  <c r="AK851" i="1"/>
  <c r="AJ851" i="1"/>
  <c r="AI851" i="1"/>
  <c r="AH851" i="1"/>
  <c r="AG851" i="1"/>
  <c r="AF851" i="1"/>
  <c r="AP850" i="1"/>
  <c r="AO850" i="1"/>
  <c r="AN850" i="1"/>
  <c r="AM850" i="1"/>
  <c r="AL850" i="1"/>
  <c r="AK850" i="1"/>
  <c r="AJ850" i="1"/>
  <c r="AI850" i="1"/>
  <c r="AH850" i="1"/>
  <c r="AG850" i="1"/>
  <c r="AF850" i="1"/>
  <c r="AP849" i="1"/>
  <c r="AO849" i="1"/>
  <c r="AN849" i="1"/>
  <c r="AM849" i="1"/>
  <c r="AL849" i="1"/>
  <c r="AK849" i="1"/>
  <c r="AJ849" i="1"/>
  <c r="AI849" i="1"/>
  <c r="AH849" i="1"/>
  <c r="AG849" i="1"/>
  <c r="AF849" i="1"/>
  <c r="AP848" i="1"/>
  <c r="AO848" i="1"/>
  <c r="AN848" i="1"/>
  <c r="AM848" i="1"/>
  <c r="AL848" i="1"/>
  <c r="AK848" i="1"/>
  <c r="AJ848" i="1"/>
  <c r="AI848" i="1"/>
  <c r="AH848" i="1"/>
  <c r="AG848" i="1"/>
  <c r="AF848" i="1"/>
  <c r="AP847" i="1"/>
  <c r="AO847" i="1"/>
  <c r="AN847" i="1"/>
  <c r="AM847" i="1"/>
  <c r="AL847" i="1"/>
  <c r="AK847" i="1"/>
  <c r="AJ847" i="1"/>
  <c r="AI847" i="1"/>
  <c r="AH847" i="1"/>
  <c r="AG847" i="1"/>
  <c r="AF847" i="1"/>
  <c r="AP846" i="1"/>
  <c r="AO846" i="1"/>
  <c r="AN846" i="1"/>
  <c r="AM846" i="1"/>
  <c r="AL846" i="1"/>
  <c r="AK846" i="1"/>
  <c r="AJ846" i="1"/>
  <c r="AI846" i="1"/>
  <c r="AH846" i="1"/>
  <c r="AG846" i="1"/>
  <c r="AF846" i="1"/>
  <c r="AP845" i="1"/>
  <c r="AO845" i="1"/>
  <c r="AN845" i="1"/>
  <c r="AM845" i="1"/>
  <c r="AL845" i="1"/>
  <c r="AK845" i="1"/>
  <c r="AJ845" i="1"/>
  <c r="AI845" i="1"/>
  <c r="AH845" i="1"/>
  <c r="AG845" i="1"/>
  <c r="AF845" i="1"/>
  <c r="AP844" i="1"/>
  <c r="AO844" i="1"/>
  <c r="AN844" i="1"/>
  <c r="AM844" i="1"/>
  <c r="AL844" i="1"/>
  <c r="AK844" i="1"/>
  <c r="AJ844" i="1"/>
  <c r="AI844" i="1"/>
  <c r="AH844" i="1"/>
  <c r="AG844" i="1"/>
  <c r="AF844" i="1"/>
  <c r="AP843" i="1"/>
  <c r="AO843" i="1"/>
  <c r="AN843" i="1"/>
  <c r="AM843" i="1"/>
  <c r="AL843" i="1"/>
  <c r="AK843" i="1"/>
  <c r="AJ843" i="1"/>
  <c r="AI843" i="1"/>
  <c r="AH843" i="1"/>
  <c r="AG843" i="1"/>
  <c r="AF843" i="1"/>
  <c r="AP842" i="1"/>
  <c r="AO842" i="1"/>
  <c r="AN842" i="1"/>
  <c r="AM842" i="1"/>
  <c r="AL842" i="1"/>
  <c r="AK842" i="1"/>
  <c r="AJ842" i="1"/>
  <c r="AI842" i="1"/>
  <c r="AH842" i="1"/>
  <c r="AG842" i="1"/>
  <c r="AF842" i="1"/>
  <c r="AP841" i="1"/>
  <c r="AO841" i="1"/>
  <c r="AN841" i="1"/>
  <c r="AM841" i="1"/>
  <c r="AL841" i="1"/>
  <c r="AK841" i="1"/>
  <c r="AJ841" i="1"/>
  <c r="AI841" i="1"/>
  <c r="AH841" i="1"/>
  <c r="AG841" i="1"/>
  <c r="AF841" i="1"/>
  <c r="AP840" i="1"/>
  <c r="AO840" i="1"/>
  <c r="AN840" i="1"/>
  <c r="AM840" i="1"/>
  <c r="AL840" i="1"/>
  <c r="AK840" i="1"/>
  <c r="AJ840" i="1"/>
  <c r="AI840" i="1"/>
  <c r="AH840" i="1"/>
  <c r="AG840" i="1"/>
  <c r="AF840" i="1"/>
  <c r="AP839" i="1"/>
  <c r="AO839" i="1"/>
  <c r="AN839" i="1"/>
  <c r="AM839" i="1"/>
  <c r="AL839" i="1"/>
  <c r="AK839" i="1"/>
  <c r="AJ839" i="1"/>
  <c r="AI839" i="1"/>
  <c r="AH839" i="1"/>
  <c r="AG839" i="1"/>
  <c r="AF839" i="1"/>
  <c r="AP838" i="1"/>
  <c r="AO838" i="1"/>
  <c r="AN838" i="1"/>
  <c r="AM838" i="1"/>
  <c r="AL838" i="1"/>
  <c r="AK838" i="1"/>
  <c r="AJ838" i="1"/>
  <c r="AI838" i="1"/>
  <c r="AH838" i="1"/>
  <c r="AG838" i="1"/>
  <c r="AF838" i="1"/>
  <c r="AP837" i="1"/>
  <c r="AO837" i="1"/>
  <c r="AN837" i="1"/>
  <c r="AM837" i="1"/>
  <c r="AL837" i="1"/>
  <c r="AK837" i="1"/>
  <c r="AJ837" i="1"/>
  <c r="AI837" i="1"/>
  <c r="AH837" i="1"/>
  <c r="AG837" i="1"/>
  <c r="AF837" i="1"/>
  <c r="AP836" i="1"/>
  <c r="AO836" i="1"/>
  <c r="AN836" i="1"/>
  <c r="AM836" i="1"/>
  <c r="AL836" i="1"/>
  <c r="AK836" i="1"/>
  <c r="AJ836" i="1"/>
  <c r="AI836" i="1"/>
  <c r="AH836" i="1"/>
  <c r="AG836" i="1"/>
  <c r="AF836" i="1"/>
  <c r="AP835" i="1"/>
  <c r="AO835" i="1"/>
  <c r="AN835" i="1"/>
  <c r="AM835" i="1"/>
  <c r="AL835" i="1"/>
  <c r="AK835" i="1"/>
  <c r="AJ835" i="1"/>
  <c r="AI835" i="1"/>
  <c r="AH835" i="1"/>
  <c r="AG835" i="1"/>
  <c r="AF835" i="1"/>
  <c r="AP834" i="1"/>
  <c r="AO834" i="1"/>
  <c r="AN834" i="1"/>
  <c r="AM834" i="1"/>
  <c r="AL834" i="1"/>
  <c r="AK834" i="1"/>
  <c r="AJ834" i="1"/>
  <c r="AI834" i="1"/>
  <c r="AH834" i="1"/>
  <c r="AG834" i="1"/>
  <c r="AF834" i="1"/>
  <c r="AP833" i="1"/>
  <c r="AO833" i="1"/>
  <c r="AN833" i="1"/>
  <c r="AM833" i="1"/>
  <c r="AL833" i="1"/>
  <c r="AK833" i="1"/>
  <c r="AJ833" i="1"/>
  <c r="AI833" i="1"/>
  <c r="AH833" i="1"/>
  <c r="AG833" i="1"/>
  <c r="AF833" i="1"/>
  <c r="AP832" i="1"/>
  <c r="AO832" i="1"/>
  <c r="AN832" i="1"/>
  <c r="AM832" i="1"/>
  <c r="AL832" i="1"/>
  <c r="AK832" i="1"/>
  <c r="AJ832" i="1"/>
  <c r="AI832" i="1"/>
  <c r="AH832" i="1"/>
  <c r="AG832" i="1"/>
  <c r="AF832" i="1"/>
  <c r="AP831" i="1"/>
  <c r="AO831" i="1"/>
  <c r="AN831" i="1"/>
  <c r="AM831" i="1"/>
  <c r="AL831" i="1"/>
  <c r="AK831" i="1"/>
  <c r="AJ831" i="1"/>
  <c r="AI831" i="1"/>
  <c r="AH831" i="1"/>
  <c r="AG831" i="1"/>
  <c r="AF831" i="1"/>
  <c r="AP830" i="1"/>
  <c r="AO830" i="1"/>
  <c r="AN830" i="1"/>
  <c r="AM830" i="1"/>
  <c r="AL830" i="1"/>
  <c r="AK830" i="1"/>
  <c r="AJ830" i="1"/>
  <c r="AI830" i="1"/>
  <c r="AH830" i="1"/>
  <c r="AG830" i="1"/>
  <c r="AF830" i="1"/>
  <c r="AP829" i="1"/>
  <c r="AO829" i="1"/>
  <c r="AN829" i="1"/>
  <c r="AM829" i="1"/>
  <c r="AL829" i="1"/>
  <c r="AK829" i="1"/>
  <c r="AJ829" i="1"/>
  <c r="AI829" i="1"/>
  <c r="AH829" i="1"/>
  <c r="AG829" i="1"/>
  <c r="AF829" i="1"/>
  <c r="AP828" i="1"/>
  <c r="AO828" i="1"/>
  <c r="AN828" i="1"/>
  <c r="AM828" i="1"/>
  <c r="AL828" i="1"/>
  <c r="AK828" i="1"/>
  <c r="AJ828" i="1"/>
  <c r="AI828" i="1"/>
  <c r="AH828" i="1"/>
  <c r="AG828" i="1"/>
  <c r="AF828" i="1"/>
  <c r="AP827" i="1"/>
  <c r="AO827" i="1"/>
  <c r="AN827" i="1"/>
  <c r="AM827" i="1"/>
  <c r="AL827" i="1"/>
  <c r="AK827" i="1"/>
  <c r="AJ827" i="1"/>
  <c r="AI827" i="1"/>
  <c r="AH827" i="1"/>
  <c r="AG827" i="1"/>
  <c r="AF827" i="1"/>
  <c r="AP826" i="1"/>
  <c r="AO826" i="1"/>
  <c r="AN826" i="1"/>
  <c r="AM826" i="1"/>
  <c r="AL826" i="1"/>
  <c r="AK826" i="1"/>
  <c r="AJ826" i="1"/>
  <c r="AI826" i="1"/>
  <c r="AH826" i="1"/>
  <c r="AG826" i="1"/>
  <c r="AF826" i="1"/>
  <c r="AP825" i="1"/>
  <c r="AO825" i="1"/>
  <c r="AN825" i="1"/>
  <c r="AM825" i="1"/>
  <c r="AL825" i="1"/>
  <c r="AK825" i="1"/>
  <c r="AJ825" i="1"/>
  <c r="AI825" i="1"/>
  <c r="AH825" i="1"/>
  <c r="AG825" i="1"/>
  <c r="AF825" i="1"/>
  <c r="AP824" i="1"/>
  <c r="AO824" i="1"/>
  <c r="AN824" i="1"/>
  <c r="AM824" i="1"/>
  <c r="AL824" i="1"/>
  <c r="AK824" i="1"/>
  <c r="AJ824" i="1"/>
  <c r="AI824" i="1"/>
  <c r="AH824" i="1"/>
  <c r="AG824" i="1"/>
  <c r="AF824" i="1"/>
  <c r="AP823" i="1"/>
  <c r="AO823" i="1"/>
  <c r="AN823" i="1"/>
  <c r="AM823" i="1"/>
  <c r="AL823" i="1"/>
  <c r="AK823" i="1"/>
  <c r="AJ823" i="1"/>
  <c r="AI823" i="1"/>
  <c r="AH823" i="1"/>
  <c r="AG823" i="1"/>
  <c r="AF823" i="1"/>
  <c r="AP822" i="1"/>
  <c r="AO822" i="1"/>
  <c r="AN822" i="1"/>
  <c r="AM822" i="1"/>
  <c r="AL822" i="1"/>
  <c r="AK822" i="1"/>
  <c r="AJ822" i="1"/>
  <c r="AI822" i="1"/>
  <c r="AH822" i="1"/>
  <c r="AG822" i="1"/>
  <c r="AF822" i="1"/>
  <c r="AP821" i="1"/>
  <c r="AO821" i="1"/>
  <c r="AN821" i="1"/>
  <c r="AM821" i="1"/>
  <c r="AL821" i="1"/>
  <c r="AK821" i="1"/>
  <c r="AJ821" i="1"/>
  <c r="AI821" i="1"/>
  <c r="AH821" i="1"/>
  <c r="AG821" i="1"/>
  <c r="AF821" i="1"/>
  <c r="AP820" i="1"/>
  <c r="AO820" i="1"/>
  <c r="AN820" i="1"/>
  <c r="AM820" i="1"/>
  <c r="AL820" i="1"/>
  <c r="AK820" i="1"/>
  <c r="AJ820" i="1"/>
  <c r="AI820" i="1"/>
  <c r="AH820" i="1"/>
  <c r="AG820" i="1"/>
  <c r="AF820" i="1"/>
  <c r="AP819" i="1"/>
  <c r="AO819" i="1"/>
  <c r="AN819" i="1"/>
  <c r="AM819" i="1"/>
  <c r="AL819" i="1"/>
  <c r="AK819" i="1"/>
  <c r="AJ819" i="1"/>
  <c r="AI819" i="1"/>
  <c r="AH819" i="1"/>
  <c r="AG819" i="1"/>
  <c r="AF819" i="1"/>
  <c r="AP818" i="1"/>
  <c r="AO818" i="1"/>
  <c r="AN818" i="1"/>
  <c r="AM818" i="1"/>
  <c r="AL818" i="1"/>
  <c r="AK818" i="1"/>
  <c r="AJ818" i="1"/>
  <c r="AI818" i="1"/>
  <c r="AH818" i="1"/>
  <c r="AG818" i="1"/>
  <c r="AF818" i="1"/>
  <c r="AP817" i="1"/>
  <c r="AO817" i="1"/>
  <c r="AN817" i="1"/>
  <c r="AM817" i="1"/>
  <c r="AL817" i="1"/>
  <c r="AK817" i="1"/>
  <c r="AJ817" i="1"/>
  <c r="AI817" i="1"/>
  <c r="AH817" i="1"/>
  <c r="AG817" i="1"/>
  <c r="AF817" i="1"/>
  <c r="AP816" i="1"/>
  <c r="AO816" i="1"/>
  <c r="AN816" i="1"/>
  <c r="AM816" i="1"/>
  <c r="AL816" i="1"/>
  <c r="AK816" i="1"/>
  <c r="AJ816" i="1"/>
  <c r="AI816" i="1"/>
  <c r="AH816" i="1"/>
  <c r="AG816" i="1"/>
  <c r="AF816" i="1"/>
  <c r="AP815" i="1"/>
  <c r="AO815" i="1"/>
  <c r="AN815" i="1"/>
  <c r="AM815" i="1"/>
  <c r="AL815" i="1"/>
  <c r="AK815" i="1"/>
  <c r="AJ815" i="1"/>
  <c r="AI815" i="1"/>
  <c r="AH815" i="1"/>
  <c r="AG815" i="1"/>
  <c r="AF815" i="1"/>
  <c r="AP814" i="1"/>
  <c r="AO814" i="1"/>
  <c r="AN814" i="1"/>
  <c r="AM814" i="1"/>
  <c r="AL814" i="1"/>
  <c r="AK814" i="1"/>
  <c r="AJ814" i="1"/>
  <c r="AI814" i="1"/>
  <c r="AH814" i="1"/>
  <c r="AG814" i="1"/>
  <c r="AF814" i="1"/>
  <c r="AP813" i="1"/>
  <c r="AO813" i="1"/>
  <c r="AN813" i="1"/>
  <c r="AM813" i="1"/>
  <c r="AL813" i="1"/>
  <c r="AK813" i="1"/>
  <c r="AJ813" i="1"/>
  <c r="AI813" i="1"/>
  <c r="AH813" i="1"/>
  <c r="AG813" i="1"/>
  <c r="AF813" i="1"/>
  <c r="AP812" i="1"/>
  <c r="AO812" i="1"/>
  <c r="AN812" i="1"/>
  <c r="AM812" i="1"/>
  <c r="AL812" i="1"/>
  <c r="AK812" i="1"/>
  <c r="AJ812" i="1"/>
  <c r="AI812" i="1"/>
  <c r="AH812" i="1"/>
  <c r="AG812" i="1"/>
  <c r="AF812" i="1"/>
  <c r="AP811" i="1"/>
  <c r="AO811" i="1"/>
  <c r="AN811" i="1"/>
  <c r="AM811" i="1"/>
  <c r="AL811" i="1"/>
  <c r="AK811" i="1"/>
  <c r="AJ811" i="1"/>
  <c r="AI811" i="1"/>
  <c r="AH811" i="1"/>
  <c r="AG811" i="1"/>
  <c r="AF811" i="1"/>
  <c r="AP810" i="1"/>
  <c r="AO810" i="1"/>
  <c r="AN810" i="1"/>
  <c r="AM810" i="1"/>
  <c r="AL810" i="1"/>
  <c r="AK810" i="1"/>
  <c r="AJ810" i="1"/>
  <c r="AI810" i="1"/>
  <c r="AH810" i="1"/>
  <c r="AG810" i="1"/>
  <c r="AF810" i="1"/>
  <c r="AP809" i="1"/>
  <c r="AO809" i="1"/>
  <c r="AN809" i="1"/>
  <c r="AM809" i="1"/>
  <c r="AL809" i="1"/>
  <c r="AK809" i="1"/>
  <c r="AJ809" i="1"/>
  <c r="AI809" i="1"/>
  <c r="AH809" i="1"/>
  <c r="AG809" i="1"/>
  <c r="AF809" i="1"/>
  <c r="AP808" i="1"/>
  <c r="AO808" i="1"/>
  <c r="AN808" i="1"/>
  <c r="AM808" i="1"/>
  <c r="AL808" i="1"/>
  <c r="AK808" i="1"/>
  <c r="AJ808" i="1"/>
  <c r="AI808" i="1"/>
  <c r="AH808" i="1"/>
  <c r="AG808" i="1"/>
  <c r="AF808" i="1"/>
  <c r="AP807" i="1"/>
  <c r="AO807" i="1"/>
  <c r="AN807" i="1"/>
  <c r="AM807" i="1"/>
  <c r="AL807" i="1"/>
  <c r="AK807" i="1"/>
  <c r="AJ807" i="1"/>
  <c r="AI807" i="1"/>
  <c r="AH807" i="1"/>
  <c r="AG807" i="1"/>
  <c r="AF807" i="1"/>
  <c r="AP806" i="1"/>
  <c r="AO806" i="1"/>
  <c r="AN806" i="1"/>
  <c r="AM806" i="1"/>
  <c r="AL806" i="1"/>
  <c r="AK806" i="1"/>
  <c r="AJ806" i="1"/>
  <c r="AI806" i="1"/>
  <c r="AH806" i="1"/>
  <c r="AG806" i="1"/>
  <c r="AF806" i="1"/>
  <c r="AP805" i="1"/>
  <c r="AO805" i="1"/>
  <c r="AN805" i="1"/>
  <c r="AM805" i="1"/>
  <c r="AL805" i="1"/>
  <c r="AK805" i="1"/>
  <c r="AJ805" i="1"/>
  <c r="AI805" i="1"/>
  <c r="AH805" i="1"/>
  <c r="AG805" i="1"/>
  <c r="AF805" i="1"/>
  <c r="AP804" i="1"/>
  <c r="AO804" i="1"/>
  <c r="AN804" i="1"/>
  <c r="AM804" i="1"/>
  <c r="AL804" i="1"/>
  <c r="AK804" i="1"/>
  <c r="AJ804" i="1"/>
  <c r="AI804" i="1"/>
  <c r="AH804" i="1"/>
  <c r="AG804" i="1"/>
  <c r="AF804" i="1"/>
  <c r="AP803" i="1"/>
  <c r="AO803" i="1"/>
  <c r="AN803" i="1"/>
  <c r="AM803" i="1"/>
  <c r="AL803" i="1"/>
  <c r="AK803" i="1"/>
  <c r="AJ803" i="1"/>
  <c r="AI803" i="1"/>
  <c r="AH803" i="1"/>
  <c r="AG803" i="1"/>
  <c r="AF803" i="1"/>
  <c r="AP802" i="1"/>
  <c r="AO802" i="1"/>
  <c r="AN802" i="1"/>
  <c r="AM802" i="1"/>
  <c r="AL802" i="1"/>
  <c r="AK802" i="1"/>
  <c r="AJ802" i="1"/>
  <c r="AI802" i="1"/>
  <c r="AH802" i="1"/>
  <c r="AG802" i="1"/>
  <c r="AF802" i="1"/>
  <c r="AP801" i="1"/>
  <c r="AO801" i="1"/>
  <c r="AN801" i="1"/>
  <c r="AM801" i="1"/>
  <c r="AL801" i="1"/>
  <c r="AK801" i="1"/>
  <c r="AJ801" i="1"/>
  <c r="AI801" i="1"/>
  <c r="AH801" i="1"/>
  <c r="AG801" i="1"/>
  <c r="AF801" i="1"/>
  <c r="AP800" i="1"/>
  <c r="AO800" i="1"/>
  <c r="AN800" i="1"/>
  <c r="AM800" i="1"/>
  <c r="AL800" i="1"/>
  <c r="AK800" i="1"/>
  <c r="AJ800" i="1"/>
  <c r="AI800" i="1"/>
  <c r="AH800" i="1"/>
  <c r="AG800" i="1"/>
  <c r="AF800" i="1"/>
  <c r="AP799" i="1"/>
  <c r="AO799" i="1"/>
  <c r="AN799" i="1"/>
  <c r="AM799" i="1"/>
  <c r="AL799" i="1"/>
  <c r="AK799" i="1"/>
  <c r="AJ799" i="1"/>
  <c r="AI799" i="1"/>
  <c r="AH799" i="1"/>
  <c r="AG799" i="1"/>
  <c r="AF799" i="1"/>
  <c r="AP798" i="1"/>
  <c r="AO798" i="1"/>
  <c r="AN798" i="1"/>
  <c r="AM798" i="1"/>
  <c r="AL798" i="1"/>
  <c r="AK798" i="1"/>
  <c r="AJ798" i="1"/>
  <c r="AI798" i="1"/>
  <c r="AH798" i="1"/>
  <c r="AG798" i="1"/>
  <c r="AF798" i="1"/>
  <c r="AP797" i="1"/>
  <c r="AO797" i="1"/>
  <c r="AN797" i="1"/>
  <c r="AM797" i="1"/>
  <c r="AL797" i="1"/>
  <c r="AK797" i="1"/>
  <c r="AJ797" i="1"/>
  <c r="AI797" i="1"/>
  <c r="AH797" i="1"/>
  <c r="AG797" i="1"/>
  <c r="AF797" i="1"/>
  <c r="AP796" i="1"/>
  <c r="AO796" i="1"/>
  <c r="AN796" i="1"/>
  <c r="AM796" i="1"/>
  <c r="AL796" i="1"/>
  <c r="AK796" i="1"/>
  <c r="AJ796" i="1"/>
  <c r="AI796" i="1"/>
  <c r="AH796" i="1"/>
  <c r="AG796" i="1"/>
  <c r="AF796" i="1"/>
  <c r="AP795" i="1"/>
  <c r="AO795" i="1"/>
  <c r="AN795" i="1"/>
  <c r="AM795" i="1"/>
  <c r="AL795" i="1"/>
  <c r="AK795" i="1"/>
  <c r="AJ795" i="1"/>
  <c r="AI795" i="1"/>
  <c r="AH795" i="1"/>
  <c r="AG795" i="1"/>
  <c r="AF795" i="1"/>
  <c r="AP794" i="1"/>
  <c r="AO794" i="1"/>
  <c r="AN794" i="1"/>
  <c r="AM794" i="1"/>
  <c r="AL794" i="1"/>
  <c r="AK794" i="1"/>
  <c r="AJ794" i="1"/>
  <c r="AI794" i="1"/>
  <c r="AH794" i="1"/>
  <c r="AG794" i="1"/>
  <c r="AF794" i="1"/>
  <c r="AP793" i="1"/>
  <c r="AO793" i="1"/>
  <c r="AN793" i="1"/>
  <c r="AM793" i="1"/>
  <c r="AL793" i="1"/>
  <c r="AK793" i="1"/>
  <c r="AJ793" i="1"/>
  <c r="AI793" i="1"/>
  <c r="AH793" i="1"/>
  <c r="AG793" i="1"/>
  <c r="AF793" i="1"/>
  <c r="AP792" i="1"/>
  <c r="AO792" i="1"/>
  <c r="AN792" i="1"/>
  <c r="AM792" i="1"/>
  <c r="AL792" i="1"/>
  <c r="AK792" i="1"/>
  <c r="AJ792" i="1"/>
  <c r="AI792" i="1"/>
  <c r="AH792" i="1"/>
  <c r="AG792" i="1"/>
  <c r="AF792" i="1"/>
  <c r="AP791" i="1"/>
  <c r="AO791" i="1"/>
  <c r="AN791" i="1"/>
  <c r="AM791" i="1"/>
  <c r="AL791" i="1"/>
  <c r="AK791" i="1"/>
  <c r="AJ791" i="1"/>
  <c r="AI791" i="1"/>
  <c r="AH791" i="1"/>
  <c r="AG791" i="1"/>
  <c r="AF791" i="1"/>
  <c r="AP790" i="1"/>
  <c r="AO790" i="1"/>
  <c r="AN790" i="1"/>
  <c r="AM790" i="1"/>
  <c r="AL790" i="1"/>
  <c r="AK790" i="1"/>
  <c r="AJ790" i="1"/>
  <c r="AI790" i="1"/>
  <c r="AH790" i="1"/>
  <c r="AG790" i="1"/>
  <c r="AF790" i="1"/>
  <c r="AP789" i="1"/>
  <c r="AO789" i="1"/>
  <c r="AN789" i="1"/>
  <c r="AM789" i="1"/>
  <c r="AL789" i="1"/>
  <c r="AK789" i="1"/>
  <c r="AJ789" i="1"/>
  <c r="AI789" i="1"/>
  <c r="AH789" i="1"/>
  <c r="AG789" i="1"/>
  <c r="AF789" i="1"/>
  <c r="AP788" i="1"/>
  <c r="AO788" i="1"/>
  <c r="AN788" i="1"/>
  <c r="AM788" i="1"/>
  <c r="AL788" i="1"/>
  <c r="AK788" i="1"/>
  <c r="AJ788" i="1"/>
  <c r="AI788" i="1"/>
  <c r="AH788" i="1"/>
  <c r="AG788" i="1"/>
  <c r="AF788" i="1"/>
  <c r="AP787" i="1"/>
  <c r="AO787" i="1"/>
  <c r="AN787" i="1"/>
  <c r="AM787" i="1"/>
  <c r="AL787" i="1"/>
  <c r="AK787" i="1"/>
  <c r="AJ787" i="1"/>
  <c r="AI787" i="1"/>
  <c r="AH787" i="1"/>
  <c r="AG787" i="1"/>
  <c r="AF787" i="1"/>
  <c r="AP786" i="1"/>
  <c r="AO786" i="1"/>
  <c r="AN786" i="1"/>
  <c r="AM786" i="1"/>
  <c r="AL786" i="1"/>
  <c r="AK786" i="1"/>
  <c r="AJ786" i="1"/>
  <c r="AI786" i="1"/>
  <c r="AH786" i="1"/>
  <c r="AG786" i="1"/>
  <c r="AF786" i="1"/>
  <c r="AP785" i="1"/>
  <c r="AO785" i="1"/>
  <c r="AN785" i="1"/>
  <c r="AM785" i="1"/>
  <c r="AL785" i="1"/>
  <c r="AK785" i="1"/>
  <c r="AJ785" i="1"/>
  <c r="AI785" i="1"/>
  <c r="AH785" i="1"/>
  <c r="AG785" i="1"/>
  <c r="AF785" i="1"/>
  <c r="AP784" i="1"/>
  <c r="AO784" i="1"/>
  <c r="AN784" i="1"/>
  <c r="AM784" i="1"/>
  <c r="AL784" i="1"/>
  <c r="AK784" i="1"/>
  <c r="AJ784" i="1"/>
  <c r="AI784" i="1"/>
  <c r="AH784" i="1"/>
  <c r="AG784" i="1"/>
  <c r="AF784" i="1"/>
  <c r="AP783" i="1"/>
  <c r="AO783" i="1"/>
  <c r="AN783" i="1"/>
  <c r="AM783" i="1"/>
  <c r="AL783" i="1"/>
  <c r="AK783" i="1"/>
  <c r="AJ783" i="1"/>
  <c r="AI783" i="1"/>
  <c r="AH783" i="1"/>
  <c r="AG783" i="1"/>
  <c r="AF783" i="1"/>
  <c r="AP782" i="1"/>
  <c r="AO782" i="1"/>
  <c r="AN782" i="1"/>
  <c r="AM782" i="1"/>
  <c r="AL782" i="1"/>
  <c r="AK782" i="1"/>
  <c r="AJ782" i="1"/>
  <c r="AI782" i="1"/>
  <c r="AH782" i="1"/>
  <c r="AG782" i="1"/>
  <c r="AF782" i="1"/>
  <c r="AP781" i="1"/>
  <c r="AO781" i="1"/>
  <c r="AN781" i="1"/>
  <c r="AM781" i="1"/>
  <c r="AL781" i="1"/>
  <c r="AK781" i="1"/>
  <c r="AJ781" i="1"/>
  <c r="AI781" i="1"/>
  <c r="AH781" i="1"/>
  <c r="AG781" i="1"/>
  <c r="AF781" i="1"/>
  <c r="AP780" i="1"/>
  <c r="AO780" i="1"/>
  <c r="AN780" i="1"/>
  <c r="AM780" i="1"/>
  <c r="AL780" i="1"/>
  <c r="AK780" i="1"/>
  <c r="AJ780" i="1"/>
  <c r="AI780" i="1"/>
  <c r="AH780" i="1"/>
  <c r="AG780" i="1"/>
  <c r="AF780" i="1"/>
  <c r="AP779" i="1"/>
  <c r="AO779" i="1"/>
  <c r="AN779" i="1"/>
  <c r="AM779" i="1"/>
  <c r="AL779" i="1"/>
  <c r="AK779" i="1"/>
  <c r="AJ779" i="1"/>
  <c r="AI779" i="1"/>
  <c r="AH779" i="1"/>
  <c r="AG779" i="1"/>
  <c r="AF779" i="1"/>
  <c r="AP778" i="1"/>
  <c r="AO778" i="1"/>
  <c r="AN778" i="1"/>
  <c r="AM778" i="1"/>
  <c r="AL778" i="1"/>
  <c r="AK778" i="1"/>
  <c r="AJ778" i="1"/>
  <c r="AI778" i="1"/>
  <c r="AH778" i="1"/>
  <c r="AG778" i="1"/>
  <c r="AF778" i="1"/>
  <c r="AP777" i="1"/>
  <c r="AO777" i="1"/>
  <c r="AN777" i="1"/>
  <c r="AM777" i="1"/>
  <c r="AL777" i="1"/>
  <c r="AK777" i="1"/>
  <c r="AJ777" i="1"/>
  <c r="AI777" i="1"/>
  <c r="AH777" i="1"/>
  <c r="AG777" i="1"/>
  <c r="AF777" i="1"/>
  <c r="AP776" i="1"/>
  <c r="AO776" i="1"/>
  <c r="AN776" i="1"/>
  <c r="AM776" i="1"/>
  <c r="AL776" i="1"/>
  <c r="AK776" i="1"/>
  <c r="AJ776" i="1"/>
  <c r="AI776" i="1"/>
  <c r="AH776" i="1"/>
  <c r="AG776" i="1"/>
  <c r="AF776" i="1"/>
  <c r="AP775" i="1"/>
  <c r="AO775" i="1"/>
  <c r="AN775" i="1"/>
  <c r="AM775" i="1"/>
  <c r="AL775" i="1"/>
  <c r="AK775" i="1"/>
  <c r="AJ775" i="1"/>
  <c r="AI775" i="1"/>
  <c r="AH775" i="1"/>
  <c r="AG775" i="1"/>
  <c r="AF775" i="1"/>
  <c r="AP774" i="1"/>
  <c r="AO774" i="1"/>
  <c r="AN774" i="1"/>
  <c r="AM774" i="1"/>
  <c r="AL774" i="1"/>
  <c r="AK774" i="1"/>
  <c r="AJ774" i="1"/>
  <c r="AI774" i="1"/>
  <c r="AH774" i="1"/>
  <c r="AG774" i="1"/>
  <c r="AF774" i="1"/>
  <c r="AP773" i="1"/>
  <c r="AO773" i="1"/>
  <c r="AN773" i="1"/>
  <c r="AM773" i="1"/>
  <c r="AL773" i="1"/>
  <c r="AK773" i="1"/>
  <c r="AJ773" i="1"/>
  <c r="AI773" i="1"/>
  <c r="AH773" i="1"/>
  <c r="AG773" i="1"/>
  <c r="AF773" i="1"/>
  <c r="AP772" i="1"/>
  <c r="AO772" i="1"/>
  <c r="AN772" i="1"/>
  <c r="AM772" i="1"/>
  <c r="AL772" i="1"/>
  <c r="AK772" i="1"/>
  <c r="AJ772" i="1"/>
  <c r="AI772" i="1"/>
  <c r="AH772" i="1"/>
  <c r="AG772" i="1"/>
  <c r="AF772" i="1"/>
  <c r="AP771" i="1"/>
  <c r="AO771" i="1"/>
  <c r="AN771" i="1"/>
  <c r="AM771" i="1"/>
  <c r="AL771" i="1"/>
  <c r="AK771" i="1"/>
  <c r="AJ771" i="1"/>
  <c r="AI771" i="1"/>
  <c r="AH771" i="1"/>
  <c r="AG771" i="1"/>
  <c r="AF771" i="1"/>
  <c r="AP770" i="1"/>
  <c r="AO770" i="1"/>
  <c r="AN770" i="1"/>
  <c r="AM770" i="1"/>
  <c r="AL770" i="1"/>
  <c r="AK770" i="1"/>
  <c r="AJ770" i="1"/>
  <c r="AI770" i="1"/>
  <c r="AH770" i="1"/>
  <c r="AG770" i="1"/>
  <c r="AF770" i="1"/>
  <c r="AP769" i="1"/>
  <c r="AO769" i="1"/>
  <c r="AN769" i="1"/>
  <c r="AM769" i="1"/>
  <c r="AL769" i="1"/>
  <c r="AK769" i="1"/>
  <c r="AJ769" i="1"/>
  <c r="AI769" i="1"/>
  <c r="AH769" i="1"/>
  <c r="AG769" i="1"/>
  <c r="AF769" i="1"/>
  <c r="AP768" i="1"/>
  <c r="AO768" i="1"/>
  <c r="AN768" i="1"/>
  <c r="AM768" i="1"/>
  <c r="AL768" i="1"/>
  <c r="AK768" i="1"/>
  <c r="AJ768" i="1"/>
  <c r="AI768" i="1"/>
  <c r="AH768" i="1"/>
  <c r="AG768" i="1"/>
  <c r="AF768" i="1"/>
  <c r="AP767" i="1"/>
  <c r="AO767" i="1"/>
  <c r="AN767" i="1"/>
  <c r="AM767" i="1"/>
  <c r="AL767" i="1"/>
  <c r="AK767" i="1"/>
  <c r="AJ767" i="1"/>
  <c r="AI767" i="1"/>
  <c r="AH767" i="1"/>
  <c r="AG767" i="1"/>
  <c r="AF767" i="1"/>
  <c r="AP766" i="1"/>
  <c r="AO766" i="1"/>
  <c r="AN766" i="1"/>
  <c r="AM766" i="1"/>
  <c r="AL766" i="1"/>
  <c r="AK766" i="1"/>
  <c r="AJ766" i="1"/>
  <c r="AI766" i="1"/>
  <c r="AH766" i="1"/>
  <c r="AG766" i="1"/>
  <c r="AF766" i="1"/>
  <c r="AP765" i="1"/>
  <c r="AO765" i="1"/>
  <c r="AN765" i="1"/>
  <c r="AM765" i="1"/>
  <c r="AL765" i="1"/>
  <c r="AK765" i="1"/>
  <c r="AJ765" i="1"/>
  <c r="AI765" i="1"/>
  <c r="AH765" i="1"/>
  <c r="AG765" i="1"/>
  <c r="AF765" i="1"/>
  <c r="AP764" i="1"/>
  <c r="AO764" i="1"/>
  <c r="AN764" i="1"/>
  <c r="AM764" i="1"/>
  <c r="AL764" i="1"/>
  <c r="AK764" i="1"/>
  <c r="AJ764" i="1"/>
  <c r="AI764" i="1"/>
  <c r="AH764" i="1"/>
  <c r="AG764" i="1"/>
  <c r="AF764" i="1"/>
  <c r="AP763" i="1"/>
  <c r="AO763" i="1"/>
  <c r="AN763" i="1"/>
  <c r="AM763" i="1"/>
  <c r="AL763" i="1"/>
  <c r="AK763" i="1"/>
  <c r="AJ763" i="1"/>
  <c r="AI763" i="1"/>
  <c r="AH763" i="1"/>
  <c r="AG763" i="1"/>
  <c r="AF763" i="1"/>
  <c r="AP762" i="1"/>
  <c r="AO762" i="1"/>
  <c r="AN762" i="1"/>
  <c r="AM762" i="1"/>
  <c r="AL762" i="1"/>
  <c r="AK762" i="1"/>
  <c r="AJ762" i="1"/>
  <c r="AI762" i="1"/>
  <c r="AH762" i="1"/>
  <c r="AG762" i="1"/>
  <c r="AF762" i="1"/>
  <c r="AP761" i="1"/>
  <c r="AO761" i="1"/>
  <c r="AN761" i="1"/>
  <c r="AM761" i="1"/>
  <c r="AL761" i="1"/>
  <c r="AK761" i="1"/>
  <c r="AJ761" i="1"/>
  <c r="AI761" i="1"/>
  <c r="AH761" i="1"/>
  <c r="AG761" i="1"/>
  <c r="AF761" i="1"/>
  <c r="AP760" i="1"/>
  <c r="AO760" i="1"/>
  <c r="AN760" i="1"/>
  <c r="AM760" i="1"/>
  <c r="AL760" i="1"/>
  <c r="AK760" i="1"/>
  <c r="AJ760" i="1"/>
  <c r="AI760" i="1"/>
  <c r="AH760" i="1"/>
  <c r="AG760" i="1"/>
  <c r="AF760" i="1"/>
  <c r="AP759" i="1"/>
  <c r="AO759" i="1"/>
  <c r="AN759" i="1"/>
  <c r="AM759" i="1"/>
  <c r="AL759" i="1"/>
  <c r="AK759" i="1"/>
  <c r="AJ759" i="1"/>
  <c r="AI759" i="1"/>
  <c r="AH759" i="1"/>
  <c r="AG759" i="1"/>
  <c r="AF759" i="1"/>
  <c r="AP758" i="1"/>
  <c r="AO758" i="1"/>
  <c r="AN758" i="1"/>
  <c r="AM758" i="1"/>
  <c r="AL758" i="1"/>
  <c r="AK758" i="1"/>
  <c r="AJ758" i="1"/>
  <c r="AI758" i="1"/>
  <c r="AH758" i="1"/>
  <c r="AG758" i="1"/>
  <c r="AF758" i="1"/>
  <c r="AP757" i="1"/>
  <c r="AO757" i="1"/>
  <c r="AN757" i="1"/>
  <c r="AM757" i="1"/>
  <c r="AL757" i="1"/>
  <c r="AK757" i="1"/>
  <c r="AJ757" i="1"/>
  <c r="AI757" i="1"/>
  <c r="AH757" i="1"/>
  <c r="AG757" i="1"/>
  <c r="AF757" i="1"/>
  <c r="AP756" i="1"/>
  <c r="AO756" i="1"/>
  <c r="AN756" i="1"/>
  <c r="AM756" i="1"/>
  <c r="AL756" i="1"/>
  <c r="AK756" i="1"/>
  <c r="AJ756" i="1"/>
  <c r="AI756" i="1"/>
  <c r="AH756" i="1"/>
  <c r="AG756" i="1"/>
  <c r="AF756" i="1"/>
  <c r="AP755" i="1"/>
  <c r="AO755" i="1"/>
  <c r="AN755" i="1"/>
  <c r="AM755" i="1"/>
  <c r="AL755" i="1"/>
  <c r="AK755" i="1"/>
  <c r="AJ755" i="1"/>
  <c r="AI755" i="1"/>
  <c r="AH755" i="1"/>
  <c r="AG755" i="1"/>
  <c r="AF755" i="1"/>
  <c r="AP754" i="1"/>
  <c r="AO754" i="1"/>
  <c r="AN754" i="1"/>
  <c r="AM754" i="1"/>
  <c r="AL754" i="1"/>
  <c r="AK754" i="1"/>
  <c r="AJ754" i="1"/>
  <c r="AI754" i="1"/>
  <c r="AH754" i="1"/>
  <c r="AG754" i="1"/>
  <c r="AF754" i="1"/>
  <c r="AP753" i="1"/>
  <c r="AO753" i="1"/>
  <c r="AN753" i="1"/>
  <c r="AM753" i="1"/>
  <c r="AL753" i="1"/>
  <c r="AK753" i="1"/>
  <c r="AJ753" i="1"/>
  <c r="AI753" i="1"/>
  <c r="AH753" i="1"/>
  <c r="AG753" i="1"/>
  <c r="AF753" i="1"/>
  <c r="AP752" i="1"/>
  <c r="AO752" i="1"/>
  <c r="AN752" i="1"/>
  <c r="AM752" i="1"/>
  <c r="AL752" i="1"/>
  <c r="AK752" i="1"/>
  <c r="AJ752" i="1"/>
  <c r="AI752" i="1"/>
  <c r="AH752" i="1"/>
  <c r="AG752" i="1"/>
  <c r="AF752" i="1"/>
  <c r="AP751" i="1"/>
  <c r="AO751" i="1"/>
  <c r="AN751" i="1"/>
  <c r="AM751" i="1"/>
  <c r="AL751" i="1"/>
  <c r="AK751" i="1"/>
  <c r="AJ751" i="1"/>
  <c r="AI751" i="1"/>
  <c r="AH751" i="1"/>
  <c r="AG751" i="1"/>
  <c r="AF751" i="1"/>
  <c r="AP750" i="1"/>
  <c r="AO750" i="1"/>
  <c r="AN750" i="1"/>
  <c r="AM750" i="1"/>
  <c r="AL750" i="1"/>
  <c r="AK750" i="1"/>
  <c r="AJ750" i="1"/>
  <c r="AI750" i="1"/>
  <c r="AH750" i="1"/>
  <c r="AG750" i="1"/>
  <c r="AF750" i="1"/>
  <c r="AP749" i="1"/>
  <c r="AO749" i="1"/>
  <c r="AN749" i="1"/>
  <c r="AM749" i="1"/>
  <c r="AL749" i="1"/>
  <c r="AK749" i="1"/>
  <c r="AJ749" i="1"/>
  <c r="AI749" i="1"/>
  <c r="AH749" i="1"/>
  <c r="AG749" i="1"/>
  <c r="AF749" i="1"/>
  <c r="AP748" i="1"/>
  <c r="AO748" i="1"/>
  <c r="AN748" i="1"/>
  <c r="AM748" i="1"/>
  <c r="AL748" i="1"/>
  <c r="AK748" i="1"/>
  <c r="AJ748" i="1"/>
  <c r="AI748" i="1"/>
  <c r="AH748" i="1"/>
  <c r="AG748" i="1"/>
  <c r="AF748" i="1"/>
  <c r="AP747" i="1"/>
  <c r="AO747" i="1"/>
  <c r="AN747" i="1"/>
  <c r="AM747" i="1"/>
  <c r="AL747" i="1"/>
  <c r="AK747" i="1"/>
  <c r="AJ747" i="1"/>
  <c r="AI747" i="1"/>
  <c r="AH747" i="1"/>
  <c r="AG747" i="1"/>
  <c r="AF747" i="1"/>
  <c r="AP746" i="1"/>
  <c r="AO746" i="1"/>
  <c r="AN746" i="1"/>
  <c r="AM746" i="1"/>
  <c r="AL746" i="1"/>
  <c r="AK746" i="1"/>
  <c r="AJ746" i="1"/>
  <c r="AI746" i="1"/>
  <c r="AH746" i="1"/>
  <c r="AG746" i="1"/>
  <c r="AF746" i="1"/>
  <c r="AP745" i="1"/>
  <c r="AO745" i="1"/>
  <c r="AN745" i="1"/>
  <c r="AM745" i="1"/>
  <c r="AL745" i="1"/>
  <c r="AK745" i="1"/>
  <c r="AJ745" i="1"/>
  <c r="AI745" i="1"/>
  <c r="AH745" i="1"/>
  <c r="AG745" i="1"/>
  <c r="AF745" i="1"/>
  <c r="AP744" i="1"/>
  <c r="AO744" i="1"/>
  <c r="AN744" i="1"/>
  <c r="AM744" i="1"/>
  <c r="AL744" i="1"/>
  <c r="AK744" i="1"/>
  <c r="AJ744" i="1"/>
  <c r="AI744" i="1"/>
  <c r="AH744" i="1"/>
  <c r="AG744" i="1"/>
  <c r="AF744" i="1"/>
  <c r="AP743" i="1"/>
  <c r="AO743" i="1"/>
  <c r="AN743" i="1"/>
  <c r="AM743" i="1"/>
  <c r="AL743" i="1"/>
  <c r="AK743" i="1"/>
  <c r="AJ743" i="1"/>
  <c r="AI743" i="1"/>
  <c r="AH743" i="1"/>
  <c r="AG743" i="1"/>
  <c r="AF743" i="1"/>
  <c r="AP742" i="1"/>
  <c r="AO742" i="1"/>
  <c r="AN742" i="1"/>
  <c r="AM742" i="1"/>
  <c r="AL742" i="1"/>
  <c r="AK742" i="1"/>
  <c r="AJ742" i="1"/>
  <c r="AI742" i="1"/>
  <c r="AH742" i="1"/>
  <c r="AG742" i="1"/>
  <c r="AF742" i="1"/>
  <c r="AP741" i="1"/>
  <c r="AO741" i="1"/>
  <c r="AN741" i="1"/>
  <c r="AM741" i="1"/>
  <c r="AL741" i="1"/>
  <c r="AK741" i="1"/>
  <c r="AJ741" i="1"/>
  <c r="AI741" i="1"/>
  <c r="AH741" i="1"/>
  <c r="AG741" i="1"/>
  <c r="AF741" i="1"/>
  <c r="AP740" i="1"/>
  <c r="AO740" i="1"/>
  <c r="AN740" i="1"/>
  <c r="AM740" i="1"/>
  <c r="AL740" i="1"/>
  <c r="AK740" i="1"/>
  <c r="AJ740" i="1"/>
  <c r="AI740" i="1"/>
  <c r="AH740" i="1"/>
  <c r="AG740" i="1"/>
  <c r="AF740" i="1"/>
  <c r="AP739" i="1"/>
  <c r="AO739" i="1"/>
  <c r="AN739" i="1"/>
  <c r="AM739" i="1"/>
  <c r="AL739" i="1"/>
  <c r="AK739" i="1"/>
  <c r="AJ739" i="1"/>
  <c r="AI739" i="1"/>
  <c r="AH739" i="1"/>
  <c r="AG739" i="1"/>
  <c r="AF739" i="1"/>
  <c r="AP738" i="1"/>
  <c r="AO738" i="1"/>
  <c r="AN738" i="1"/>
  <c r="AM738" i="1"/>
  <c r="AL738" i="1"/>
  <c r="AK738" i="1"/>
  <c r="AJ738" i="1"/>
  <c r="AI738" i="1"/>
  <c r="AH738" i="1"/>
  <c r="AG738" i="1"/>
  <c r="AF738" i="1"/>
  <c r="AP737" i="1"/>
  <c r="AO737" i="1"/>
  <c r="AN737" i="1"/>
  <c r="AM737" i="1"/>
  <c r="AL737" i="1"/>
  <c r="AK737" i="1"/>
  <c r="AJ737" i="1"/>
  <c r="AI737" i="1"/>
  <c r="AH737" i="1"/>
  <c r="AG737" i="1"/>
  <c r="AF737" i="1"/>
  <c r="AP736" i="1"/>
  <c r="AO736" i="1"/>
  <c r="AN736" i="1"/>
  <c r="AM736" i="1"/>
  <c r="AL736" i="1"/>
  <c r="AK736" i="1"/>
  <c r="AJ736" i="1"/>
  <c r="AI736" i="1"/>
  <c r="AH736" i="1"/>
  <c r="AG736" i="1"/>
  <c r="AF736" i="1"/>
  <c r="AP735" i="1"/>
  <c r="AO735" i="1"/>
  <c r="AN735" i="1"/>
  <c r="AM735" i="1"/>
  <c r="AL735" i="1"/>
  <c r="AK735" i="1"/>
  <c r="AJ735" i="1"/>
  <c r="AI735" i="1"/>
  <c r="AH735" i="1"/>
  <c r="AG735" i="1"/>
  <c r="AF735" i="1"/>
  <c r="AP734" i="1"/>
  <c r="AO734" i="1"/>
  <c r="AN734" i="1"/>
  <c r="AM734" i="1"/>
  <c r="AL734" i="1"/>
  <c r="AK734" i="1"/>
  <c r="AJ734" i="1"/>
  <c r="AI734" i="1"/>
  <c r="AH734" i="1"/>
  <c r="AG734" i="1"/>
  <c r="AF734" i="1"/>
  <c r="AP733" i="1"/>
  <c r="AO733" i="1"/>
  <c r="AN733" i="1"/>
  <c r="AM733" i="1"/>
  <c r="AL733" i="1"/>
  <c r="AK733" i="1"/>
  <c r="AJ733" i="1"/>
  <c r="AI733" i="1"/>
  <c r="AH733" i="1"/>
  <c r="AG733" i="1"/>
  <c r="AF733" i="1"/>
  <c r="AP732" i="1"/>
  <c r="AO732" i="1"/>
  <c r="AN732" i="1"/>
  <c r="AM732" i="1"/>
  <c r="AL732" i="1"/>
  <c r="AK732" i="1"/>
  <c r="AJ732" i="1"/>
  <c r="AI732" i="1"/>
  <c r="AH732" i="1"/>
  <c r="AG732" i="1"/>
  <c r="AF732" i="1"/>
  <c r="AP731" i="1"/>
  <c r="AO731" i="1"/>
  <c r="AN731" i="1"/>
  <c r="AM731" i="1"/>
  <c r="AL731" i="1"/>
  <c r="AK731" i="1"/>
  <c r="AJ731" i="1"/>
  <c r="AI731" i="1"/>
  <c r="AH731" i="1"/>
  <c r="AG731" i="1"/>
  <c r="AF731" i="1"/>
  <c r="AP730" i="1"/>
  <c r="AO730" i="1"/>
  <c r="AN730" i="1"/>
  <c r="AM730" i="1"/>
  <c r="AL730" i="1"/>
  <c r="AK730" i="1"/>
  <c r="AJ730" i="1"/>
  <c r="AI730" i="1"/>
  <c r="AH730" i="1"/>
  <c r="AG730" i="1"/>
  <c r="AF730" i="1"/>
  <c r="AP729" i="1"/>
  <c r="AO729" i="1"/>
  <c r="AN729" i="1"/>
  <c r="AM729" i="1"/>
  <c r="AL729" i="1"/>
  <c r="AK729" i="1"/>
  <c r="AJ729" i="1"/>
  <c r="AI729" i="1"/>
  <c r="AH729" i="1"/>
  <c r="AG729" i="1"/>
  <c r="AF729" i="1"/>
  <c r="AP728" i="1"/>
  <c r="AO728" i="1"/>
  <c r="AN728" i="1"/>
  <c r="AM728" i="1"/>
  <c r="AL728" i="1"/>
  <c r="AK728" i="1"/>
  <c r="AJ728" i="1"/>
  <c r="AI728" i="1"/>
  <c r="AH728" i="1"/>
  <c r="AG728" i="1"/>
  <c r="AF728" i="1"/>
  <c r="AP727" i="1"/>
  <c r="AO727" i="1"/>
  <c r="AN727" i="1"/>
  <c r="AM727" i="1"/>
  <c r="AL727" i="1"/>
  <c r="AK727" i="1"/>
  <c r="AJ727" i="1"/>
  <c r="AI727" i="1"/>
  <c r="AH727" i="1"/>
  <c r="AG727" i="1"/>
  <c r="AF727" i="1"/>
  <c r="AP726" i="1"/>
  <c r="AO726" i="1"/>
  <c r="AN726" i="1"/>
  <c r="AM726" i="1"/>
  <c r="AL726" i="1"/>
  <c r="AK726" i="1"/>
  <c r="AJ726" i="1"/>
  <c r="AI726" i="1"/>
  <c r="AH726" i="1"/>
  <c r="AG726" i="1"/>
  <c r="AF726" i="1"/>
  <c r="AP725" i="1"/>
  <c r="AO725" i="1"/>
  <c r="AN725" i="1"/>
  <c r="AM725" i="1"/>
  <c r="AL725" i="1"/>
  <c r="AK725" i="1"/>
  <c r="AJ725" i="1"/>
  <c r="AI725" i="1"/>
  <c r="AH725" i="1"/>
  <c r="AG725" i="1"/>
  <c r="AF725" i="1"/>
  <c r="AP724" i="1"/>
  <c r="AO724" i="1"/>
  <c r="AN724" i="1"/>
  <c r="AM724" i="1"/>
  <c r="AL724" i="1"/>
  <c r="AK724" i="1"/>
  <c r="AJ724" i="1"/>
  <c r="AI724" i="1"/>
  <c r="AH724" i="1"/>
  <c r="AG724" i="1"/>
  <c r="AF724" i="1"/>
  <c r="AP723" i="1"/>
  <c r="AO723" i="1"/>
  <c r="AN723" i="1"/>
  <c r="AM723" i="1"/>
  <c r="AL723" i="1"/>
  <c r="AK723" i="1"/>
  <c r="AJ723" i="1"/>
  <c r="AI723" i="1"/>
  <c r="AH723" i="1"/>
  <c r="AG723" i="1"/>
  <c r="AF723" i="1"/>
  <c r="AP722" i="1"/>
  <c r="AO722" i="1"/>
  <c r="AN722" i="1"/>
  <c r="AM722" i="1"/>
  <c r="AL722" i="1"/>
  <c r="AK722" i="1"/>
  <c r="AJ722" i="1"/>
  <c r="AI722" i="1"/>
  <c r="AH722" i="1"/>
  <c r="AG722" i="1"/>
  <c r="AF722" i="1"/>
  <c r="AP721" i="1"/>
  <c r="AO721" i="1"/>
  <c r="AN721" i="1"/>
  <c r="AM721" i="1"/>
  <c r="AL721" i="1"/>
  <c r="AK721" i="1"/>
  <c r="AJ721" i="1"/>
  <c r="AI721" i="1"/>
  <c r="AH721" i="1"/>
  <c r="AG721" i="1"/>
  <c r="AF721" i="1"/>
  <c r="AP720" i="1"/>
  <c r="AO720" i="1"/>
  <c r="AN720" i="1"/>
  <c r="AM720" i="1"/>
  <c r="AL720" i="1"/>
  <c r="AK720" i="1"/>
  <c r="AJ720" i="1"/>
  <c r="AI720" i="1"/>
  <c r="AH720" i="1"/>
  <c r="AG720" i="1"/>
  <c r="AF720" i="1"/>
  <c r="AP719" i="1"/>
  <c r="AO719" i="1"/>
  <c r="AN719" i="1"/>
  <c r="AM719" i="1"/>
  <c r="AL719" i="1"/>
  <c r="AK719" i="1"/>
  <c r="AJ719" i="1"/>
  <c r="AI719" i="1"/>
  <c r="AH719" i="1"/>
  <c r="AG719" i="1"/>
  <c r="AF719" i="1"/>
  <c r="AP718" i="1"/>
  <c r="AO718" i="1"/>
  <c r="AN718" i="1"/>
  <c r="AM718" i="1"/>
  <c r="AL718" i="1"/>
  <c r="AK718" i="1"/>
  <c r="AJ718" i="1"/>
  <c r="AI718" i="1"/>
  <c r="AH718" i="1"/>
  <c r="AG718" i="1"/>
  <c r="AF718" i="1"/>
  <c r="AP717" i="1"/>
  <c r="AO717" i="1"/>
  <c r="AN717" i="1"/>
  <c r="AM717" i="1"/>
  <c r="AL717" i="1"/>
  <c r="AK717" i="1"/>
  <c r="AJ717" i="1"/>
  <c r="AI717" i="1"/>
  <c r="AH717" i="1"/>
  <c r="AG717" i="1"/>
  <c r="AF717" i="1"/>
  <c r="AP716" i="1"/>
  <c r="AO716" i="1"/>
  <c r="AN716" i="1"/>
  <c r="AM716" i="1"/>
  <c r="AL716" i="1"/>
  <c r="AK716" i="1"/>
  <c r="AJ716" i="1"/>
  <c r="AI716" i="1"/>
  <c r="AH716" i="1"/>
  <c r="AG716" i="1"/>
  <c r="AF716" i="1"/>
  <c r="AP715" i="1"/>
  <c r="AO715" i="1"/>
  <c r="AN715" i="1"/>
  <c r="AM715" i="1"/>
  <c r="AL715" i="1"/>
  <c r="AK715" i="1"/>
  <c r="AJ715" i="1"/>
  <c r="AI715" i="1"/>
  <c r="AH715" i="1"/>
  <c r="AG715" i="1"/>
  <c r="AF715" i="1"/>
  <c r="AP714" i="1"/>
  <c r="AO714" i="1"/>
  <c r="AN714" i="1"/>
  <c r="AM714" i="1"/>
  <c r="AL714" i="1"/>
  <c r="AK714" i="1"/>
  <c r="AJ714" i="1"/>
  <c r="AI714" i="1"/>
  <c r="AH714" i="1"/>
  <c r="AG714" i="1"/>
  <c r="AF714" i="1"/>
  <c r="AP713" i="1"/>
  <c r="AO713" i="1"/>
  <c r="AN713" i="1"/>
  <c r="AM713" i="1"/>
  <c r="AL713" i="1"/>
  <c r="AK713" i="1"/>
  <c r="AJ713" i="1"/>
  <c r="AI713" i="1"/>
  <c r="AH713" i="1"/>
  <c r="AG713" i="1"/>
  <c r="AF713" i="1"/>
  <c r="AP712" i="1"/>
  <c r="AO712" i="1"/>
  <c r="AN712" i="1"/>
  <c r="AM712" i="1"/>
  <c r="AL712" i="1"/>
  <c r="AK712" i="1"/>
  <c r="AJ712" i="1"/>
  <c r="AI712" i="1"/>
  <c r="AH712" i="1"/>
  <c r="AG712" i="1"/>
  <c r="AF712" i="1"/>
  <c r="AP711" i="1"/>
  <c r="AO711" i="1"/>
  <c r="AN711" i="1"/>
  <c r="AM711" i="1"/>
  <c r="AL711" i="1"/>
  <c r="AK711" i="1"/>
  <c r="AJ711" i="1"/>
  <c r="AI711" i="1"/>
  <c r="AH711" i="1"/>
  <c r="AG711" i="1"/>
  <c r="AF711" i="1"/>
  <c r="AP710" i="1"/>
  <c r="AO710" i="1"/>
  <c r="AN710" i="1"/>
  <c r="AM710" i="1"/>
  <c r="AL710" i="1"/>
  <c r="AK710" i="1"/>
  <c r="AJ710" i="1"/>
  <c r="AI710" i="1"/>
  <c r="AH710" i="1"/>
  <c r="AG710" i="1"/>
  <c r="AF710" i="1"/>
  <c r="AP709" i="1"/>
  <c r="AO709" i="1"/>
  <c r="AN709" i="1"/>
  <c r="AM709" i="1"/>
  <c r="AL709" i="1"/>
  <c r="AK709" i="1"/>
  <c r="AJ709" i="1"/>
  <c r="AI709" i="1"/>
  <c r="AH709" i="1"/>
  <c r="AG709" i="1"/>
  <c r="AF709" i="1"/>
  <c r="AP708" i="1"/>
  <c r="AO708" i="1"/>
  <c r="AN708" i="1"/>
  <c r="AM708" i="1"/>
  <c r="AL708" i="1"/>
  <c r="AK708" i="1"/>
  <c r="AJ708" i="1"/>
  <c r="AI708" i="1"/>
  <c r="AH708" i="1"/>
  <c r="AG708" i="1"/>
  <c r="AF708" i="1"/>
  <c r="AP707" i="1"/>
  <c r="AO707" i="1"/>
  <c r="AN707" i="1"/>
  <c r="AM707" i="1"/>
  <c r="AL707" i="1"/>
  <c r="AK707" i="1"/>
  <c r="AJ707" i="1"/>
  <c r="AI707" i="1"/>
  <c r="AH707" i="1"/>
  <c r="AG707" i="1"/>
  <c r="AF707" i="1"/>
  <c r="AP706" i="1"/>
  <c r="AO706" i="1"/>
  <c r="AN706" i="1"/>
  <c r="AM706" i="1"/>
  <c r="AL706" i="1"/>
  <c r="AK706" i="1"/>
  <c r="AJ706" i="1"/>
  <c r="AI706" i="1"/>
  <c r="AH706" i="1"/>
  <c r="AG706" i="1"/>
  <c r="AF706" i="1"/>
  <c r="AP705" i="1"/>
  <c r="AO705" i="1"/>
  <c r="AN705" i="1"/>
  <c r="AM705" i="1"/>
  <c r="AL705" i="1"/>
  <c r="AK705" i="1"/>
  <c r="AJ705" i="1"/>
  <c r="AI705" i="1"/>
  <c r="AH705" i="1"/>
  <c r="AG705" i="1"/>
  <c r="AF705" i="1"/>
  <c r="AP704" i="1"/>
  <c r="AO704" i="1"/>
  <c r="AN704" i="1"/>
  <c r="AM704" i="1"/>
  <c r="AL704" i="1"/>
  <c r="AK704" i="1"/>
  <c r="AJ704" i="1"/>
  <c r="AI704" i="1"/>
  <c r="AH704" i="1"/>
  <c r="AG704" i="1"/>
  <c r="AF704" i="1"/>
  <c r="AP703" i="1"/>
  <c r="AO703" i="1"/>
  <c r="AN703" i="1"/>
  <c r="AM703" i="1"/>
  <c r="AL703" i="1"/>
  <c r="AK703" i="1"/>
  <c r="AJ703" i="1"/>
  <c r="AI703" i="1"/>
  <c r="AH703" i="1"/>
  <c r="AG703" i="1"/>
  <c r="AF703" i="1"/>
  <c r="AP702" i="1"/>
  <c r="AO702" i="1"/>
  <c r="AN702" i="1"/>
  <c r="AM702" i="1"/>
  <c r="AL702" i="1"/>
  <c r="AK702" i="1"/>
  <c r="AJ702" i="1"/>
  <c r="AI702" i="1"/>
  <c r="AH702" i="1"/>
  <c r="AG702" i="1"/>
  <c r="AF702" i="1"/>
  <c r="AP701" i="1"/>
  <c r="AO701" i="1"/>
  <c r="AN701" i="1"/>
  <c r="AM701" i="1"/>
  <c r="AL701" i="1"/>
  <c r="AK701" i="1"/>
  <c r="AJ701" i="1"/>
  <c r="AI701" i="1"/>
  <c r="AH701" i="1"/>
  <c r="AG701" i="1"/>
  <c r="AF701" i="1"/>
  <c r="AP700" i="1"/>
  <c r="AO700" i="1"/>
  <c r="AN700" i="1"/>
  <c r="AM700" i="1"/>
  <c r="AL700" i="1"/>
  <c r="AK700" i="1"/>
  <c r="AJ700" i="1"/>
  <c r="AI700" i="1"/>
  <c r="AH700" i="1"/>
  <c r="AG700" i="1"/>
  <c r="AF700" i="1"/>
  <c r="AP699" i="1"/>
  <c r="AO699" i="1"/>
  <c r="AN699" i="1"/>
  <c r="AM699" i="1"/>
  <c r="AL699" i="1"/>
  <c r="AK699" i="1"/>
  <c r="AJ699" i="1"/>
  <c r="AI699" i="1"/>
  <c r="AH699" i="1"/>
  <c r="AG699" i="1"/>
  <c r="AF699" i="1"/>
  <c r="AP698" i="1"/>
  <c r="AO698" i="1"/>
  <c r="AN698" i="1"/>
  <c r="AM698" i="1"/>
  <c r="AL698" i="1"/>
  <c r="AK698" i="1"/>
  <c r="AJ698" i="1"/>
  <c r="AI698" i="1"/>
  <c r="AH698" i="1"/>
  <c r="AG698" i="1"/>
  <c r="AF698" i="1"/>
  <c r="AP697" i="1"/>
  <c r="AO697" i="1"/>
  <c r="AN697" i="1"/>
  <c r="AM697" i="1"/>
  <c r="AL697" i="1"/>
  <c r="AK697" i="1"/>
  <c r="AJ697" i="1"/>
  <c r="AI697" i="1"/>
  <c r="AH697" i="1"/>
  <c r="AG697" i="1"/>
  <c r="AF697" i="1"/>
  <c r="AP696" i="1"/>
  <c r="AO696" i="1"/>
  <c r="AN696" i="1"/>
  <c r="AM696" i="1"/>
  <c r="AL696" i="1"/>
  <c r="AK696" i="1"/>
  <c r="AJ696" i="1"/>
  <c r="AI696" i="1"/>
  <c r="AH696" i="1"/>
  <c r="AG696" i="1"/>
  <c r="AF696" i="1"/>
  <c r="AP695" i="1"/>
  <c r="AO695" i="1"/>
  <c r="AN695" i="1"/>
  <c r="AM695" i="1"/>
  <c r="AL695" i="1"/>
  <c r="AK695" i="1"/>
  <c r="AJ695" i="1"/>
  <c r="AI695" i="1"/>
  <c r="AH695" i="1"/>
  <c r="AG695" i="1"/>
  <c r="AF695" i="1"/>
  <c r="AP694" i="1"/>
  <c r="AO694" i="1"/>
  <c r="AN694" i="1"/>
  <c r="AM694" i="1"/>
  <c r="AL694" i="1"/>
  <c r="AK694" i="1"/>
  <c r="AJ694" i="1"/>
  <c r="AI694" i="1"/>
  <c r="AH694" i="1"/>
  <c r="AG694" i="1"/>
  <c r="AF694" i="1"/>
  <c r="AP693" i="1"/>
  <c r="AO693" i="1"/>
  <c r="AN693" i="1"/>
  <c r="AM693" i="1"/>
  <c r="AL693" i="1"/>
  <c r="AK693" i="1"/>
  <c r="AJ693" i="1"/>
  <c r="AI693" i="1"/>
  <c r="AH693" i="1"/>
  <c r="AG693" i="1"/>
  <c r="AF693" i="1"/>
  <c r="AP692" i="1"/>
  <c r="AO692" i="1"/>
  <c r="AN692" i="1"/>
  <c r="AM692" i="1"/>
  <c r="AL692" i="1"/>
  <c r="AK692" i="1"/>
  <c r="AJ692" i="1"/>
  <c r="AI692" i="1"/>
  <c r="AH692" i="1"/>
  <c r="AG692" i="1"/>
  <c r="AF692" i="1"/>
  <c r="AP691" i="1"/>
  <c r="AO691" i="1"/>
  <c r="AN691" i="1"/>
  <c r="AM691" i="1"/>
  <c r="AL691" i="1"/>
  <c r="AK691" i="1"/>
  <c r="AJ691" i="1"/>
  <c r="AI691" i="1"/>
  <c r="AH691" i="1"/>
  <c r="AG691" i="1"/>
  <c r="AF691" i="1"/>
  <c r="AP690" i="1"/>
  <c r="AO690" i="1"/>
  <c r="AN690" i="1"/>
  <c r="AM690" i="1"/>
  <c r="AL690" i="1"/>
  <c r="AK690" i="1"/>
  <c r="AJ690" i="1"/>
  <c r="AI690" i="1"/>
  <c r="AH690" i="1"/>
  <c r="AG690" i="1"/>
  <c r="AF690" i="1"/>
  <c r="AP689" i="1"/>
  <c r="AO689" i="1"/>
  <c r="AN689" i="1"/>
  <c r="AM689" i="1"/>
  <c r="AL689" i="1"/>
  <c r="AK689" i="1"/>
  <c r="AJ689" i="1"/>
  <c r="AI689" i="1"/>
  <c r="AH689" i="1"/>
  <c r="AG689" i="1"/>
  <c r="AF689" i="1"/>
  <c r="AP688" i="1"/>
  <c r="AO688" i="1"/>
  <c r="AN688" i="1"/>
  <c r="AM688" i="1"/>
  <c r="AL688" i="1"/>
  <c r="AK688" i="1"/>
  <c r="AJ688" i="1"/>
  <c r="AI688" i="1"/>
  <c r="AH688" i="1"/>
  <c r="AG688" i="1"/>
  <c r="AF688" i="1"/>
  <c r="AP687" i="1"/>
  <c r="AO687" i="1"/>
  <c r="AN687" i="1"/>
  <c r="AM687" i="1"/>
  <c r="AL687" i="1"/>
  <c r="AK687" i="1"/>
  <c r="AJ687" i="1"/>
  <c r="AI687" i="1"/>
  <c r="AH687" i="1"/>
  <c r="AG687" i="1"/>
  <c r="AF687" i="1"/>
  <c r="AP686" i="1"/>
  <c r="AO686" i="1"/>
  <c r="AN686" i="1"/>
  <c r="AM686" i="1"/>
  <c r="AL686" i="1"/>
  <c r="AK686" i="1"/>
  <c r="AJ686" i="1"/>
  <c r="AI686" i="1"/>
  <c r="AH686" i="1"/>
  <c r="AG686" i="1"/>
  <c r="AF686" i="1"/>
  <c r="AP685" i="1"/>
  <c r="AO685" i="1"/>
  <c r="AN685" i="1"/>
  <c r="AM685" i="1"/>
  <c r="AL685" i="1"/>
  <c r="AK685" i="1"/>
  <c r="AJ685" i="1"/>
  <c r="AI685" i="1"/>
  <c r="AH685" i="1"/>
  <c r="AG685" i="1"/>
  <c r="AF685" i="1"/>
  <c r="AP684" i="1"/>
  <c r="AO684" i="1"/>
  <c r="AN684" i="1"/>
  <c r="AM684" i="1"/>
  <c r="AL684" i="1"/>
  <c r="AK684" i="1"/>
  <c r="AJ684" i="1"/>
  <c r="AI684" i="1"/>
  <c r="AH684" i="1"/>
  <c r="AG684" i="1"/>
  <c r="AF684" i="1"/>
  <c r="AP683" i="1"/>
  <c r="AO683" i="1"/>
  <c r="AN683" i="1"/>
  <c r="AM683" i="1"/>
  <c r="AL683" i="1"/>
  <c r="AK683" i="1"/>
  <c r="AJ683" i="1"/>
  <c r="AI683" i="1"/>
  <c r="AH683" i="1"/>
  <c r="AG683" i="1"/>
  <c r="AF683" i="1"/>
  <c r="AP682" i="1"/>
  <c r="AO682" i="1"/>
  <c r="AN682" i="1"/>
  <c r="AM682" i="1"/>
  <c r="AL682" i="1"/>
  <c r="AK682" i="1"/>
  <c r="AJ682" i="1"/>
  <c r="AI682" i="1"/>
  <c r="AH682" i="1"/>
  <c r="AG682" i="1"/>
  <c r="AF682" i="1"/>
  <c r="AP681" i="1"/>
  <c r="AO681" i="1"/>
  <c r="AN681" i="1"/>
  <c r="AM681" i="1"/>
  <c r="AL681" i="1"/>
  <c r="AK681" i="1"/>
  <c r="AJ681" i="1"/>
  <c r="AI681" i="1"/>
  <c r="AH681" i="1"/>
  <c r="AG681" i="1"/>
  <c r="AF681" i="1"/>
  <c r="AP680" i="1"/>
  <c r="AO680" i="1"/>
  <c r="AN680" i="1"/>
  <c r="AM680" i="1"/>
  <c r="AL680" i="1"/>
  <c r="AK680" i="1"/>
  <c r="AJ680" i="1"/>
  <c r="AI680" i="1"/>
  <c r="AH680" i="1"/>
  <c r="AG680" i="1"/>
  <c r="AF680" i="1"/>
  <c r="AP679" i="1"/>
  <c r="AO679" i="1"/>
  <c r="AN679" i="1"/>
  <c r="AM679" i="1"/>
  <c r="AL679" i="1"/>
  <c r="AK679" i="1"/>
  <c r="AJ679" i="1"/>
  <c r="AI679" i="1"/>
  <c r="AH679" i="1"/>
  <c r="AG679" i="1"/>
  <c r="AF679" i="1"/>
  <c r="AP678" i="1"/>
  <c r="AO678" i="1"/>
  <c r="AN678" i="1"/>
  <c r="AM678" i="1"/>
  <c r="AL678" i="1"/>
  <c r="AK678" i="1"/>
  <c r="AJ678" i="1"/>
  <c r="AI678" i="1"/>
  <c r="AH678" i="1"/>
  <c r="AG678" i="1"/>
  <c r="AF678" i="1"/>
  <c r="AP677" i="1"/>
  <c r="AO677" i="1"/>
  <c r="AN677" i="1"/>
  <c r="AM677" i="1"/>
  <c r="AL677" i="1"/>
  <c r="AK677" i="1"/>
  <c r="AJ677" i="1"/>
  <c r="AI677" i="1"/>
  <c r="AH677" i="1"/>
  <c r="AG677" i="1"/>
  <c r="AF677" i="1"/>
  <c r="AP676" i="1"/>
  <c r="AO676" i="1"/>
  <c r="AN676" i="1"/>
  <c r="AM676" i="1"/>
  <c r="AL676" i="1"/>
  <c r="AK676" i="1"/>
  <c r="AJ676" i="1"/>
  <c r="AI676" i="1"/>
  <c r="AH676" i="1"/>
  <c r="AG676" i="1"/>
  <c r="AF676" i="1"/>
  <c r="AP675" i="1"/>
  <c r="AO675" i="1"/>
  <c r="AN675" i="1"/>
  <c r="AM675" i="1"/>
  <c r="AL675" i="1"/>
  <c r="AK675" i="1"/>
  <c r="AJ675" i="1"/>
  <c r="AI675" i="1"/>
  <c r="AH675" i="1"/>
  <c r="AG675" i="1"/>
  <c r="AF675" i="1"/>
  <c r="AP674" i="1"/>
  <c r="AO674" i="1"/>
  <c r="AN674" i="1"/>
  <c r="AM674" i="1"/>
  <c r="AL674" i="1"/>
  <c r="AK674" i="1"/>
  <c r="AJ674" i="1"/>
  <c r="AI674" i="1"/>
  <c r="AH674" i="1"/>
  <c r="AG674" i="1"/>
  <c r="AF674" i="1"/>
  <c r="AP673" i="1"/>
  <c r="AO673" i="1"/>
  <c r="AN673" i="1"/>
  <c r="AM673" i="1"/>
  <c r="AL673" i="1"/>
  <c r="AK673" i="1"/>
  <c r="AJ673" i="1"/>
  <c r="AI673" i="1"/>
  <c r="AH673" i="1"/>
  <c r="AG673" i="1"/>
  <c r="AF673" i="1"/>
  <c r="AP672" i="1"/>
  <c r="AO672" i="1"/>
  <c r="AN672" i="1"/>
  <c r="AM672" i="1"/>
  <c r="AL672" i="1"/>
  <c r="AK672" i="1"/>
  <c r="AJ672" i="1"/>
  <c r="AI672" i="1"/>
  <c r="AH672" i="1"/>
  <c r="AG672" i="1"/>
  <c r="AF672" i="1"/>
  <c r="AP671" i="1"/>
  <c r="AO671" i="1"/>
  <c r="AN671" i="1"/>
  <c r="AM671" i="1"/>
  <c r="AL671" i="1"/>
  <c r="AK671" i="1"/>
  <c r="AJ671" i="1"/>
  <c r="AI671" i="1"/>
  <c r="AH671" i="1"/>
  <c r="AG671" i="1"/>
  <c r="AF671" i="1"/>
  <c r="AP670" i="1"/>
  <c r="AO670" i="1"/>
  <c r="AN670" i="1"/>
  <c r="AM670" i="1"/>
  <c r="AL670" i="1"/>
  <c r="AK670" i="1"/>
  <c r="AJ670" i="1"/>
  <c r="AI670" i="1"/>
  <c r="AH670" i="1"/>
  <c r="AG670" i="1"/>
  <c r="AF670" i="1"/>
  <c r="AP669" i="1"/>
  <c r="AO669" i="1"/>
  <c r="AN669" i="1"/>
  <c r="AM669" i="1"/>
  <c r="AL669" i="1"/>
  <c r="AK669" i="1"/>
  <c r="AJ669" i="1"/>
  <c r="AI669" i="1"/>
  <c r="AH669" i="1"/>
  <c r="AG669" i="1"/>
  <c r="AF669" i="1"/>
  <c r="AP668" i="1"/>
  <c r="AO668" i="1"/>
  <c r="AN668" i="1"/>
  <c r="AM668" i="1"/>
  <c r="AL668" i="1"/>
  <c r="AK668" i="1"/>
  <c r="AJ668" i="1"/>
  <c r="AI668" i="1"/>
  <c r="AH668" i="1"/>
  <c r="AG668" i="1"/>
  <c r="AF668" i="1"/>
  <c r="AP667" i="1"/>
  <c r="AO667" i="1"/>
  <c r="AN667" i="1"/>
  <c r="AM667" i="1"/>
  <c r="AL667" i="1"/>
  <c r="AK667" i="1"/>
  <c r="AJ667" i="1"/>
  <c r="AI667" i="1"/>
  <c r="AH667" i="1"/>
  <c r="AG667" i="1"/>
  <c r="AF667" i="1"/>
  <c r="AP666" i="1"/>
  <c r="AO666" i="1"/>
  <c r="AN666" i="1"/>
  <c r="AM666" i="1"/>
  <c r="AL666" i="1"/>
  <c r="AK666" i="1"/>
  <c r="AJ666" i="1"/>
  <c r="AI666" i="1"/>
  <c r="AH666" i="1"/>
  <c r="AG666" i="1"/>
  <c r="AF666" i="1"/>
  <c r="AP665" i="1"/>
  <c r="AO665" i="1"/>
  <c r="AN665" i="1"/>
  <c r="AM665" i="1"/>
  <c r="AL665" i="1"/>
  <c r="AK665" i="1"/>
  <c r="AJ665" i="1"/>
  <c r="AI665" i="1"/>
  <c r="AH665" i="1"/>
  <c r="AG665" i="1"/>
  <c r="AF665" i="1"/>
  <c r="AP664" i="1"/>
  <c r="AO664" i="1"/>
  <c r="AN664" i="1"/>
  <c r="AM664" i="1"/>
  <c r="AL664" i="1"/>
  <c r="AK664" i="1"/>
  <c r="AJ664" i="1"/>
  <c r="AI664" i="1"/>
  <c r="AH664" i="1"/>
  <c r="AG664" i="1"/>
  <c r="AF664" i="1"/>
  <c r="AP663" i="1"/>
  <c r="AO663" i="1"/>
  <c r="AN663" i="1"/>
  <c r="AM663" i="1"/>
  <c r="AL663" i="1"/>
  <c r="AK663" i="1"/>
  <c r="AJ663" i="1"/>
  <c r="AI663" i="1"/>
  <c r="AH663" i="1"/>
  <c r="AG663" i="1"/>
  <c r="AF663" i="1"/>
  <c r="AP662" i="1"/>
  <c r="AO662" i="1"/>
  <c r="AN662" i="1"/>
  <c r="AM662" i="1"/>
  <c r="AL662" i="1"/>
  <c r="AK662" i="1"/>
  <c r="AJ662" i="1"/>
  <c r="AI662" i="1"/>
  <c r="AH662" i="1"/>
  <c r="AG662" i="1"/>
  <c r="AF662" i="1"/>
  <c r="AP661" i="1"/>
  <c r="AO661" i="1"/>
  <c r="AN661" i="1"/>
  <c r="AM661" i="1"/>
  <c r="AL661" i="1"/>
  <c r="AK661" i="1"/>
  <c r="AJ661" i="1"/>
  <c r="AI661" i="1"/>
  <c r="AH661" i="1"/>
  <c r="AG661" i="1"/>
  <c r="AF661" i="1"/>
  <c r="AP660" i="1"/>
  <c r="AO660" i="1"/>
  <c r="AN660" i="1"/>
  <c r="AM660" i="1"/>
  <c r="AL660" i="1"/>
  <c r="AK660" i="1"/>
  <c r="AJ660" i="1"/>
  <c r="AI660" i="1"/>
  <c r="AH660" i="1"/>
  <c r="AG660" i="1"/>
  <c r="AF660" i="1"/>
  <c r="AP659" i="1"/>
  <c r="AO659" i="1"/>
  <c r="AN659" i="1"/>
  <c r="AM659" i="1"/>
  <c r="AL659" i="1"/>
  <c r="AK659" i="1"/>
  <c r="AJ659" i="1"/>
  <c r="AI659" i="1"/>
  <c r="AH659" i="1"/>
  <c r="AG659" i="1"/>
  <c r="AF659" i="1"/>
  <c r="AP658" i="1"/>
  <c r="AO658" i="1"/>
  <c r="AN658" i="1"/>
  <c r="AM658" i="1"/>
  <c r="AL658" i="1"/>
  <c r="AK658" i="1"/>
  <c r="AJ658" i="1"/>
  <c r="AI658" i="1"/>
  <c r="AH658" i="1"/>
  <c r="AG658" i="1"/>
  <c r="AF658" i="1"/>
  <c r="AP657" i="1"/>
  <c r="AO657" i="1"/>
  <c r="AN657" i="1"/>
  <c r="AM657" i="1"/>
  <c r="AL657" i="1"/>
  <c r="AK657" i="1"/>
  <c r="AJ657" i="1"/>
  <c r="AI657" i="1"/>
  <c r="AH657" i="1"/>
  <c r="AG657" i="1"/>
  <c r="AF657" i="1"/>
  <c r="AP656" i="1"/>
  <c r="AO656" i="1"/>
  <c r="AN656" i="1"/>
  <c r="AM656" i="1"/>
  <c r="AL656" i="1"/>
  <c r="AK656" i="1"/>
  <c r="AJ656" i="1"/>
  <c r="AI656" i="1"/>
  <c r="AH656" i="1"/>
  <c r="AG656" i="1"/>
  <c r="AF656" i="1"/>
  <c r="AP655" i="1"/>
  <c r="AO655" i="1"/>
  <c r="AN655" i="1"/>
  <c r="AM655" i="1"/>
  <c r="AL655" i="1"/>
  <c r="AK655" i="1"/>
  <c r="AJ655" i="1"/>
  <c r="AI655" i="1"/>
  <c r="AH655" i="1"/>
  <c r="AG655" i="1"/>
  <c r="AF655" i="1"/>
  <c r="AP654" i="1"/>
  <c r="AO654" i="1"/>
  <c r="AN654" i="1"/>
  <c r="AM654" i="1"/>
  <c r="AL654" i="1"/>
  <c r="AK654" i="1"/>
  <c r="AJ654" i="1"/>
  <c r="AI654" i="1"/>
  <c r="AH654" i="1"/>
  <c r="AG654" i="1"/>
  <c r="AF654" i="1"/>
  <c r="AP653" i="1"/>
  <c r="AO653" i="1"/>
  <c r="AN653" i="1"/>
  <c r="AM653" i="1"/>
  <c r="AL653" i="1"/>
  <c r="AK653" i="1"/>
  <c r="AJ653" i="1"/>
  <c r="AI653" i="1"/>
  <c r="AH653" i="1"/>
  <c r="AG653" i="1"/>
  <c r="AF653" i="1"/>
  <c r="AP652" i="1"/>
  <c r="AO652" i="1"/>
  <c r="AN652" i="1"/>
  <c r="AM652" i="1"/>
  <c r="AL652" i="1"/>
  <c r="AK652" i="1"/>
  <c r="AJ652" i="1"/>
  <c r="AI652" i="1"/>
  <c r="AH652" i="1"/>
  <c r="AG652" i="1"/>
  <c r="AF652" i="1"/>
  <c r="AP651" i="1"/>
  <c r="AO651" i="1"/>
  <c r="AN651" i="1"/>
  <c r="AM651" i="1"/>
  <c r="AL651" i="1"/>
  <c r="AK651" i="1"/>
  <c r="AJ651" i="1"/>
  <c r="AI651" i="1"/>
  <c r="AH651" i="1"/>
  <c r="AG651" i="1"/>
  <c r="AF651" i="1"/>
  <c r="AP650" i="1"/>
  <c r="AO650" i="1"/>
  <c r="AN650" i="1"/>
  <c r="AM650" i="1"/>
  <c r="AL650" i="1"/>
  <c r="AK650" i="1"/>
  <c r="AJ650" i="1"/>
  <c r="AI650" i="1"/>
  <c r="AH650" i="1"/>
  <c r="AG650" i="1"/>
  <c r="AF650" i="1"/>
  <c r="AP649" i="1"/>
  <c r="AO649" i="1"/>
  <c r="AN649" i="1"/>
  <c r="AM649" i="1"/>
  <c r="AL649" i="1"/>
  <c r="AK649" i="1"/>
  <c r="AJ649" i="1"/>
  <c r="AI649" i="1"/>
  <c r="AH649" i="1"/>
  <c r="AG649" i="1"/>
  <c r="AF649" i="1"/>
  <c r="AP648" i="1"/>
  <c r="AO648" i="1"/>
  <c r="AN648" i="1"/>
  <c r="AM648" i="1"/>
  <c r="AL648" i="1"/>
  <c r="AK648" i="1"/>
  <c r="AJ648" i="1"/>
  <c r="AI648" i="1"/>
  <c r="AH648" i="1"/>
  <c r="AG648" i="1"/>
  <c r="AF648" i="1"/>
  <c r="AP647" i="1"/>
  <c r="AO647" i="1"/>
  <c r="AN647" i="1"/>
  <c r="AM647" i="1"/>
  <c r="AL647" i="1"/>
  <c r="AK647" i="1"/>
  <c r="AJ647" i="1"/>
  <c r="AI647" i="1"/>
  <c r="AH647" i="1"/>
  <c r="AG647" i="1"/>
  <c r="AF647" i="1"/>
  <c r="AP646" i="1"/>
  <c r="AO646" i="1"/>
  <c r="AN646" i="1"/>
  <c r="AM646" i="1"/>
  <c r="AL646" i="1"/>
  <c r="AK646" i="1"/>
  <c r="AJ646" i="1"/>
  <c r="AI646" i="1"/>
  <c r="AH646" i="1"/>
  <c r="AG646" i="1"/>
  <c r="AF646" i="1"/>
  <c r="AP645" i="1"/>
  <c r="AO645" i="1"/>
  <c r="AN645" i="1"/>
  <c r="AM645" i="1"/>
  <c r="AL645" i="1"/>
  <c r="AK645" i="1"/>
  <c r="AJ645" i="1"/>
  <c r="AI645" i="1"/>
  <c r="AH645" i="1"/>
  <c r="AG645" i="1"/>
  <c r="AF645" i="1"/>
  <c r="AP644" i="1"/>
  <c r="AO644" i="1"/>
  <c r="AN644" i="1"/>
  <c r="AM644" i="1"/>
  <c r="AL644" i="1"/>
  <c r="AK644" i="1"/>
  <c r="AJ644" i="1"/>
  <c r="AI644" i="1"/>
  <c r="AH644" i="1"/>
  <c r="AG644" i="1"/>
  <c r="AF644" i="1"/>
  <c r="AP643" i="1"/>
  <c r="AO643" i="1"/>
  <c r="AN643" i="1"/>
  <c r="AM643" i="1"/>
  <c r="AL643" i="1"/>
  <c r="AK643" i="1"/>
  <c r="AJ643" i="1"/>
  <c r="AI643" i="1"/>
  <c r="AH643" i="1"/>
  <c r="AG643" i="1"/>
  <c r="AF643" i="1"/>
  <c r="AP642" i="1"/>
  <c r="AO642" i="1"/>
  <c r="AN642" i="1"/>
  <c r="AM642" i="1"/>
  <c r="AL642" i="1"/>
  <c r="AK642" i="1"/>
  <c r="AJ642" i="1"/>
  <c r="AI642" i="1"/>
  <c r="AH642" i="1"/>
  <c r="AG642" i="1"/>
  <c r="AF642" i="1"/>
  <c r="AP641" i="1"/>
  <c r="AO641" i="1"/>
  <c r="AN641" i="1"/>
  <c r="AM641" i="1"/>
  <c r="AL641" i="1"/>
  <c r="AK641" i="1"/>
  <c r="AJ641" i="1"/>
  <c r="AI641" i="1"/>
  <c r="AH641" i="1"/>
  <c r="AG641" i="1"/>
  <c r="AF641" i="1"/>
  <c r="AP640" i="1"/>
  <c r="AO640" i="1"/>
  <c r="AN640" i="1"/>
  <c r="AM640" i="1"/>
  <c r="AL640" i="1"/>
  <c r="AK640" i="1"/>
  <c r="AJ640" i="1"/>
  <c r="AI640" i="1"/>
  <c r="AH640" i="1"/>
  <c r="AG640" i="1"/>
  <c r="AF640" i="1"/>
  <c r="AP639" i="1"/>
  <c r="AO639" i="1"/>
  <c r="AN639" i="1"/>
  <c r="AM639" i="1"/>
  <c r="AL639" i="1"/>
  <c r="AK639" i="1"/>
  <c r="AJ639" i="1"/>
  <c r="AI639" i="1"/>
  <c r="AH639" i="1"/>
  <c r="AG639" i="1"/>
  <c r="AF639" i="1"/>
  <c r="AP638" i="1"/>
  <c r="AO638" i="1"/>
  <c r="AN638" i="1"/>
  <c r="AM638" i="1"/>
  <c r="AL638" i="1"/>
  <c r="AK638" i="1"/>
  <c r="AJ638" i="1"/>
  <c r="AI638" i="1"/>
  <c r="AH638" i="1"/>
  <c r="AG638" i="1"/>
  <c r="AF638" i="1"/>
  <c r="AP637" i="1"/>
  <c r="AO637" i="1"/>
  <c r="AN637" i="1"/>
  <c r="AM637" i="1"/>
  <c r="AL637" i="1"/>
  <c r="AK637" i="1"/>
  <c r="AJ637" i="1"/>
  <c r="AI637" i="1"/>
  <c r="AH637" i="1"/>
  <c r="AG637" i="1"/>
  <c r="AF637" i="1"/>
  <c r="AP636" i="1"/>
  <c r="AO636" i="1"/>
  <c r="AN636" i="1"/>
  <c r="AM636" i="1"/>
  <c r="AL636" i="1"/>
  <c r="AK636" i="1"/>
  <c r="AJ636" i="1"/>
  <c r="AI636" i="1"/>
  <c r="AH636" i="1"/>
  <c r="AG636" i="1"/>
  <c r="AF636" i="1"/>
  <c r="AP635" i="1"/>
  <c r="AO635" i="1"/>
  <c r="AN635" i="1"/>
  <c r="AM635" i="1"/>
  <c r="AL635" i="1"/>
  <c r="AK635" i="1"/>
  <c r="AJ635" i="1"/>
  <c r="AI635" i="1"/>
  <c r="AH635" i="1"/>
  <c r="AG635" i="1"/>
  <c r="AF635" i="1"/>
  <c r="AP634" i="1"/>
  <c r="AO634" i="1"/>
  <c r="AN634" i="1"/>
  <c r="AM634" i="1"/>
  <c r="AL634" i="1"/>
  <c r="AK634" i="1"/>
  <c r="AJ634" i="1"/>
  <c r="AI634" i="1"/>
  <c r="AH634" i="1"/>
  <c r="AG634" i="1"/>
  <c r="AF634" i="1"/>
  <c r="AP633" i="1"/>
  <c r="AO633" i="1"/>
  <c r="AN633" i="1"/>
  <c r="AM633" i="1"/>
  <c r="AL633" i="1"/>
  <c r="AK633" i="1"/>
  <c r="AJ633" i="1"/>
  <c r="AI633" i="1"/>
  <c r="AH633" i="1"/>
  <c r="AG633" i="1"/>
  <c r="AF633" i="1"/>
  <c r="AP632" i="1"/>
  <c r="AO632" i="1"/>
  <c r="AN632" i="1"/>
  <c r="AM632" i="1"/>
  <c r="AL632" i="1"/>
  <c r="AK632" i="1"/>
  <c r="AJ632" i="1"/>
  <c r="AI632" i="1"/>
  <c r="AH632" i="1"/>
  <c r="AG632" i="1"/>
  <c r="AF632" i="1"/>
  <c r="AP631" i="1"/>
  <c r="AO631" i="1"/>
  <c r="AN631" i="1"/>
  <c r="AM631" i="1"/>
  <c r="AL631" i="1"/>
  <c r="AK631" i="1"/>
  <c r="AJ631" i="1"/>
  <c r="AI631" i="1"/>
  <c r="AH631" i="1"/>
  <c r="AG631" i="1"/>
  <c r="AF631" i="1"/>
  <c r="AP630" i="1"/>
  <c r="AO630" i="1"/>
  <c r="AN630" i="1"/>
  <c r="AM630" i="1"/>
  <c r="AL630" i="1"/>
  <c r="AK630" i="1"/>
  <c r="AJ630" i="1"/>
  <c r="AI630" i="1"/>
  <c r="AH630" i="1"/>
  <c r="AG630" i="1"/>
  <c r="AF630" i="1"/>
  <c r="AP629" i="1"/>
  <c r="AO629" i="1"/>
  <c r="AN629" i="1"/>
  <c r="AM629" i="1"/>
  <c r="AL629" i="1"/>
  <c r="AK629" i="1"/>
  <c r="AJ629" i="1"/>
  <c r="AI629" i="1"/>
  <c r="AH629" i="1"/>
  <c r="AG629" i="1"/>
  <c r="AF629" i="1"/>
  <c r="AP628" i="1"/>
  <c r="AO628" i="1"/>
  <c r="AN628" i="1"/>
  <c r="AM628" i="1"/>
  <c r="AL628" i="1"/>
  <c r="AK628" i="1"/>
  <c r="AJ628" i="1"/>
  <c r="AI628" i="1"/>
  <c r="AH628" i="1"/>
  <c r="AG628" i="1"/>
  <c r="AF628" i="1"/>
  <c r="AP627" i="1"/>
  <c r="AO627" i="1"/>
  <c r="AN627" i="1"/>
  <c r="AM627" i="1"/>
  <c r="AL627" i="1"/>
  <c r="AK627" i="1"/>
  <c r="AJ627" i="1"/>
  <c r="AI627" i="1"/>
  <c r="AH627" i="1"/>
  <c r="AG627" i="1"/>
  <c r="AF627" i="1"/>
  <c r="AP626" i="1"/>
  <c r="AO626" i="1"/>
  <c r="AN626" i="1"/>
  <c r="AM626" i="1"/>
  <c r="AL626" i="1"/>
  <c r="AK626" i="1"/>
  <c r="AJ626" i="1"/>
  <c r="AI626" i="1"/>
  <c r="AH626" i="1"/>
  <c r="AG626" i="1"/>
  <c r="AF626" i="1"/>
  <c r="AP625" i="1"/>
  <c r="AO625" i="1"/>
  <c r="AN625" i="1"/>
  <c r="AM625" i="1"/>
  <c r="AL625" i="1"/>
  <c r="AK625" i="1"/>
  <c r="AJ625" i="1"/>
  <c r="AI625" i="1"/>
  <c r="AH625" i="1"/>
  <c r="AG625" i="1"/>
  <c r="AF625" i="1"/>
  <c r="AP624" i="1"/>
  <c r="AO624" i="1"/>
  <c r="AN624" i="1"/>
  <c r="AM624" i="1"/>
  <c r="AL624" i="1"/>
  <c r="AK624" i="1"/>
  <c r="AJ624" i="1"/>
  <c r="AI624" i="1"/>
  <c r="AH624" i="1"/>
  <c r="AG624" i="1"/>
  <c r="AF624" i="1"/>
  <c r="AP623" i="1"/>
  <c r="AO623" i="1"/>
  <c r="AN623" i="1"/>
  <c r="AM623" i="1"/>
  <c r="AL623" i="1"/>
  <c r="AK623" i="1"/>
  <c r="AJ623" i="1"/>
  <c r="AI623" i="1"/>
  <c r="AH623" i="1"/>
  <c r="AG623" i="1"/>
  <c r="AF623" i="1"/>
  <c r="AP622" i="1"/>
  <c r="AO622" i="1"/>
  <c r="AN622" i="1"/>
  <c r="AM622" i="1"/>
  <c r="AL622" i="1"/>
  <c r="AK622" i="1"/>
  <c r="AJ622" i="1"/>
  <c r="AI622" i="1"/>
  <c r="AH622" i="1"/>
  <c r="AG622" i="1"/>
  <c r="AF622" i="1"/>
  <c r="AP621" i="1"/>
  <c r="AO621" i="1"/>
  <c r="AN621" i="1"/>
  <c r="AM621" i="1"/>
  <c r="AL621" i="1"/>
  <c r="AK621" i="1"/>
  <c r="AJ621" i="1"/>
  <c r="AI621" i="1"/>
  <c r="AH621" i="1"/>
  <c r="AG621" i="1"/>
  <c r="AF621" i="1"/>
  <c r="AP620" i="1"/>
  <c r="AO620" i="1"/>
  <c r="AN620" i="1"/>
  <c r="AM620" i="1"/>
  <c r="AL620" i="1"/>
  <c r="AK620" i="1"/>
  <c r="AJ620" i="1"/>
  <c r="AI620" i="1"/>
  <c r="AH620" i="1"/>
  <c r="AG620" i="1"/>
  <c r="AF620" i="1"/>
  <c r="AP619" i="1"/>
  <c r="AO619" i="1"/>
  <c r="AN619" i="1"/>
  <c r="AM619" i="1"/>
  <c r="AL619" i="1"/>
  <c r="AK619" i="1"/>
  <c r="AJ619" i="1"/>
  <c r="AI619" i="1"/>
  <c r="AH619" i="1"/>
  <c r="AG619" i="1"/>
  <c r="AF619" i="1"/>
  <c r="AP618" i="1"/>
  <c r="AO618" i="1"/>
  <c r="AN618" i="1"/>
  <c r="AM618" i="1"/>
  <c r="AL618" i="1"/>
  <c r="AK618" i="1"/>
  <c r="AJ618" i="1"/>
  <c r="AI618" i="1"/>
  <c r="AH618" i="1"/>
  <c r="AG618" i="1"/>
  <c r="AF618" i="1"/>
  <c r="AP617" i="1"/>
  <c r="AO617" i="1"/>
  <c r="AN617" i="1"/>
  <c r="AM617" i="1"/>
  <c r="AL617" i="1"/>
  <c r="AK617" i="1"/>
  <c r="AJ617" i="1"/>
  <c r="AI617" i="1"/>
  <c r="AH617" i="1"/>
  <c r="AG617" i="1"/>
  <c r="AF617" i="1"/>
  <c r="AP616" i="1"/>
  <c r="AO616" i="1"/>
  <c r="AN616" i="1"/>
  <c r="AM616" i="1"/>
  <c r="AL616" i="1"/>
  <c r="AK616" i="1"/>
  <c r="AJ616" i="1"/>
  <c r="AI616" i="1"/>
  <c r="AH616" i="1"/>
  <c r="AG616" i="1"/>
  <c r="AF616" i="1"/>
  <c r="AP615" i="1"/>
  <c r="AO615" i="1"/>
  <c r="AN615" i="1"/>
  <c r="AM615" i="1"/>
  <c r="AL615" i="1"/>
  <c r="AK615" i="1"/>
  <c r="AJ615" i="1"/>
  <c r="AI615" i="1"/>
  <c r="AH615" i="1"/>
  <c r="AG615" i="1"/>
  <c r="AF615" i="1"/>
  <c r="AP614" i="1"/>
  <c r="AO614" i="1"/>
  <c r="AN614" i="1"/>
  <c r="AM614" i="1"/>
  <c r="AL614" i="1"/>
  <c r="AK614" i="1"/>
  <c r="AJ614" i="1"/>
  <c r="AI614" i="1"/>
  <c r="AH614" i="1"/>
  <c r="AG614" i="1"/>
  <c r="AF614" i="1"/>
  <c r="AP613" i="1"/>
  <c r="AO613" i="1"/>
  <c r="AN613" i="1"/>
  <c r="AM613" i="1"/>
  <c r="AL613" i="1"/>
  <c r="AK613" i="1"/>
  <c r="AJ613" i="1"/>
  <c r="AI613" i="1"/>
  <c r="AH613" i="1"/>
  <c r="AG613" i="1"/>
  <c r="AF613" i="1"/>
  <c r="AP612" i="1"/>
  <c r="AO612" i="1"/>
  <c r="AN612" i="1"/>
  <c r="AM612" i="1"/>
  <c r="AL612" i="1"/>
  <c r="AK612" i="1"/>
  <c r="AJ612" i="1"/>
  <c r="AI612" i="1"/>
  <c r="AH612" i="1"/>
  <c r="AG612" i="1"/>
  <c r="AF612" i="1"/>
  <c r="AP611" i="1"/>
  <c r="AO611" i="1"/>
  <c r="AN611" i="1"/>
  <c r="AM611" i="1"/>
  <c r="AL611" i="1"/>
  <c r="AK611" i="1"/>
  <c r="AJ611" i="1"/>
  <c r="AI611" i="1"/>
  <c r="AH611" i="1"/>
  <c r="AG611" i="1"/>
  <c r="AF611" i="1"/>
  <c r="AP610" i="1"/>
  <c r="AO610" i="1"/>
  <c r="AN610" i="1"/>
  <c r="AM610" i="1"/>
  <c r="AL610" i="1"/>
  <c r="AK610" i="1"/>
  <c r="AJ610" i="1"/>
  <c r="AI610" i="1"/>
  <c r="AH610" i="1"/>
  <c r="AG610" i="1"/>
  <c r="AF610" i="1"/>
  <c r="AP609" i="1"/>
  <c r="AO609" i="1"/>
  <c r="AN609" i="1"/>
  <c r="AM609" i="1"/>
  <c r="AL609" i="1"/>
  <c r="AK609" i="1"/>
  <c r="AJ609" i="1"/>
  <c r="AI609" i="1"/>
  <c r="AH609" i="1"/>
  <c r="AG609" i="1"/>
  <c r="AF609" i="1"/>
  <c r="AP608" i="1"/>
  <c r="AO608" i="1"/>
  <c r="AN608" i="1"/>
  <c r="AM608" i="1"/>
  <c r="AL608" i="1"/>
  <c r="AK608" i="1"/>
  <c r="AJ608" i="1"/>
  <c r="AI608" i="1"/>
  <c r="AH608" i="1"/>
  <c r="AG608" i="1"/>
  <c r="AF608" i="1"/>
  <c r="AP607" i="1"/>
  <c r="AO607" i="1"/>
  <c r="AN607" i="1"/>
  <c r="AM607" i="1"/>
  <c r="AL607" i="1"/>
  <c r="AK607" i="1"/>
  <c r="AJ607" i="1"/>
  <c r="AI607" i="1"/>
  <c r="AH607" i="1"/>
  <c r="AG607" i="1"/>
  <c r="AF607" i="1"/>
  <c r="AP606" i="1"/>
  <c r="AO606" i="1"/>
  <c r="AN606" i="1"/>
  <c r="AM606" i="1"/>
  <c r="AL606" i="1"/>
  <c r="AK606" i="1"/>
  <c r="AJ606" i="1"/>
  <c r="AI606" i="1"/>
  <c r="AH606" i="1"/>
  <c r="AG606" i="1"/>
  <c r="AF606" i="1"/>
  <c r="AP605" i="1"/>
  <c r="AO605" i="1"/>
  <c r="AN605" i="1"/>
  <c r="AM605" i="1"/>
  <c r="AL605" i="1"/>
  <c r="AK605" i="1"/>
  <c r="AJ605" i="1"/>
  <c r="AI605" i="1"/>
  <c r="AH605" i="1"/>
  <c r="AG605" i="1"/>
  <c r="AF605" i="1"/>
  <c r="AP604" i="1"/>
  <c r="AO604" i="1"/>
  <c r="AN604" i="1"/>
  <c r="AM604" i="1"/>
  <c r="AL604" i="1"/>
  <c r="AK604" i="1"/>
  <c r="AJ604" i="1"/>
  <c r="AI604" i="1"/>
  <c r="AH604" i="1"/>
  <c r="AG604" i="1"/>
  <c r="AF604" i="1"/>
  <c r="AP603" i="1"/>
  <c r="AO603" i="1"/>
  <c r="AN603" i="1"/>
  <c r="AM603" i="1"/>
  <c r="AL603" i="1"/>
  <c r="AK603" i="1"/>
  <c r="AJ603" i="1"/>
  <c r="AI603" i="1"/>
  <c r="AH603" i="1"/>
  <c r="AG603" i="1"/>
  <c r="AF603" i="1"/>
  <c r="AP602" i="1"/>
  <c r="AO602" i="1"/>
  <c r="AN602" i="1"/>
  <c r="AM602" i="1"/>
  <c r="AL602" i="1"/>
  <c r="AK602" i="1"/>
  <c r="AJ602" i="1"/>
  <c r="AI602" i="1"/>
  <c r="AH602" i="1"/>
  <c r="AG602" i="1"/>
  <c r="AF602" i="1"/>
  <c r="AP601" i="1"/>
  <c r="AO601" i="1"/>
  <c r="AN601" i="1"/>
  <c r="AM601" i="1"/>
  <c r="AL601" i="1"/>
  <c r="AK601" i="1"/>
  <c r="AJ601" i="1"/>
  <c r="AI601" i="1"/>
  <c r="AH601" i="1"/>
  <c r="AG601" i="1"/>
  <c r="AF601" i="1"/>
  <c r="AP600" i="1"/>
  <c r="AO600" i="1"/>
  <c r="AN600" i="1"/>
  <c r="AM600" i="1"/>
  <c r="AL600" i="1"/>
  <c r="AK600" i="1"/>
  <c r="AJ600" i="1"/>
  <c r="AI600" i="1"/>
  <c r="AH600" i="1"/>
  <c r="AG600" i="1"/>
  <c r="AF600" i="1"/>
  <c r="AP599" i="1"/>
  <c r="AO599" i="1"/>
  <c r="AN599" i="1"/>
  <c r="AM599" i="1"/>
  <c r="AL599" i="1"/>
  <c r="AK599" i="1"/>
  <c r="AJ599" i="1"/>
  <c r="AI599" i="1"/>
  <c r="AH599" i="1"/>
  <c r="AG599" i="1"/>
  <c r="AF599" i="1"/>
  <c r="AP598" i="1"/>
  <c r="AO598" i="1"/>
  <c r="AN598" i="1"/>
  <c r="AM598" i="1"/>
  <c r="AL598" i="1"/>
  <c r="AK598" i="1"/>
  <c r="AJ598" i="1"/>
  <c r="AI598" i="1"/>
  <c r="AH598" i="1"/>
  <c r="AG598" i="1"/>
  <c r="AF598" i="1"/>
  <c r="AP597" i="1"/>
  <c r="AO597" i="1"/>
  <c r="AN597" i="1"/>
  <c r="AM597" i="1"/>
  <c r="AL597" i="1"/>
  <c r="AK597" i="1"/>
  <c r="AJ597" i="1"/>
  <c r="AI597" i="1"/>
  <c r="AH597" i="1"/>
  <c r="AG597" i="1"/>
  <c r="AF597" i="1"/>
  <c r="AP596" i="1"/>
  <c r="AO596" i="1"/>
  <c r="AN596" i="1"/>
  <c r="AM596" i="1"/>
  <c r="AL596" i="1"/>
  <c r="AK596" i="1"/>
  <c r="AJ596" i="1"/>
  <c r="AI596" i="1"/>
  <c r="AH596" i="1"/>
  <c r="AG596" i="1"/>
  <c r="AF596" i="1"/>
  <c r="AP595" i="1"/>
  <c r="AO595" i="1"/>
  <c r="AN595" i="1"/>
  <c r="AM595" i="1"/>
  <c r="AL595" i="1"/>
  <c r="AK595" i="1"/>
  <c r="AJ595" i="1"/>
  <c r="AI595" i="1"/>
  <c r="AH595" i="1"/>
  <c r="AG595" i="1"/>
  <c r="AF595" i="1"/>
  <c r="AP594" i="1"/>
  <c r="AO594" i="1"/>
  <c r="AN594" i="1"/>
  <c r="AM594" i="1"/>
  <c r="AL594" i="1"/>
  <c r="AK594" i="1"/>
  <c r="AJ594" i="1"/>
  <c r="AI594" i="1"/>
  <c r="AH594" i="1"/>
  <c r="AG594" i="1"/>
  <c r="AF594" i="1"/>
  <c r="AP593" i="1"/>
  <c r="AO593" i="1"/>
  <c r="AN593" i="1"/>
  <c r="AM593" i="1"/>
  <c r="AL593" i="1"/>
  <c r="AK593" i="1"/>
  <c r="AJ593" i="1"/>
  <c r="AI593" i="1"/>
  <c r="AH593" i="1"/>
  <c r="AG593" i="1"/>
  <c r="AF593" i="1"/>
  <c r="AP592" i="1"/>
  <c r="AO592" i="1"/>
  <c r="AN592" i="1"/>
  <c r="AM592" i="1"/>
  <c r="AL592" i="1"/>
  <c r="AK592" i="1"/>
  <c r="AJ592" i="1"/>
  <c r="AI592" i="1"/>
  <c r="AH592" i="1"/>
  <c r="AG592" i="1"/>
  <c r="AF592" i="1"/>
  <c r="AP591" i="1"/>
  <c r="AO591" i="1"/>
  <c r="AN591" i="1"/>
  <c r="AM591" i="1"/>
  <c r="AL591" i="1"/>
  <c r="AK591" i="1"/>
  <c r="AJ591" i="1"/>
  <c r="AI591" i="1"/>
  <c r="AH591" i="1"/>
  <c r="AG591" i="1"/>
  <c r="AF591" i="1"/>
  <c r="AP590" i="1"/>
  <c r="AO590" i="1"/>
  <c r="AN590" i="1"/>
  <c r="AM590" i="1"/>
  <c r="AL590" i="1"/>
  <c r="AK590" i="1"/>
  <c r="AJ590" i="1"/>
  <c r="AI590" i="1"/>
  <c r="AH590" i="1"/>
  <c r="AG590" i="1"/>
  <c r="AF590" i="1"/>
  <c r="AP589" i="1"/>
  <c r="AO589" i="1"/>
  <c r="AN589" i="1"/>
  <c r="AM589" i="1"/>
  <c r="AL589" i="1"/>
  <c r="AK589" i="1"/>
  <c r="AJ589" i="1"/>
  <c r="AI589" i="1"/>
  <c r="AH589" i="1"/>
  <c r="AG589" i="1"/>
  <c r="AF589" i="1"/>
  <c r="AP588" i="1"/>
  <c r="AO588" i="1"/>
  <c r="AN588" i="1"/>
  <c r="AM588" i="1"/>
  <c r="AL588" i="1"/>
  <c r="AK588" i="1"/>
  <c r="AJ588" i="1"/>
  <c r="AI588" i="1"/>
  <c r="AH588" i="1"/>
  <c r="AG588" i="1"/>
  <c r="AF588" i="1"/>
  <c r="AP587" i="1"/>
  <c r="AO587" i="1"/>
  <c r="AN587" i="1"/>
  <c r="AM587" i="1"/>
  <c r="AL587" i="1"/>
  <c r="AK587" i="1"/>
  <c r="AJ587" i="1"/>
  <c r="AI587" i="1"/>
  <c r="AH587" i="1"/>
  <c r="AG587" i="1"/>
  <c r="AF587" i="1"/>
  <c r="AP586" i="1"/>
  <c r="AO586" i="1"/>
  <c r="AN586" i="1"/>
  <c r="AM586" i="1"/>
  <c r="AL586" i="1"/>
  <c r="AK586" i="1"/>
  <c r="AJ586" i="1"/>
  <c r="AI586" i="1"/>
  <c r="AH586" i="1"/>
  <c r="AG586" i="1"/>
  <c r="AF586" i="1"/>
  <c r="AP585" i="1"/>
  <c r="AO585" i="1"/>
  <c r="AN585" i="1"/>
  <c r="AM585" i="1"/>
  <c r="AL585" i="1"/>
  <c r="AK585" i="1"/>
  <c r="AJ585" i="1"/>
  <c r="AI585" i="1"/>
  <c r="AH585" i="1"/>
  <c r="AG585" i="1"/>
  <c r="AF585" i="1"/>
  <c r="AP584" i="1"/>
  <c r="AO584" i="1"/>
  <c r="AN584" i="1"/>
  <c r="AM584" i="1"/>
  <c r="AL584" i="1"/>
  <c r="AK584" i="1"/>
  <c r="AJ584" i="1"/>
  <c r="AI584" i="1"/>
  <c r="AH584" i="1"/>
  <c r="AG584" i="1"/>
  <c r="AF584" i="1"/>
  <c r="AP583" i="1"/>
  <c r="AO583" i="1"/>
  <c r="AN583" i="1"/>
  <c r="AM583" i="1"/>
  <c r="AL583" i="1"/>
  <c r="AK583" i="1"/>
  <c r="AJ583" i="1"/>
  <c r="AI583" i="1"/>
  <c r="AH583" i="1"/>
  <c r="AG583" i="1"/>
  <c r="AF583" i="1"/>
  <c r="AP582" i="1"/>
  <c r="AO582" i="1"/>
  <c r="AN582" i="1"/>
  <c r="AM582" i="1"/>
  <c r="AL582" i="1"/>
  <c r="AK582" i="1"/>
  <c r="AJ582" i="1"/>
  <c r="AI582" i="1"/>
  <c r="AH582" i="1"/>
  <c r="AG582" i="1"/>
  <c r="AF582" i="1"/>
  <c r="AP581" i="1"/>
  <c r="AO581" i="1"/>
  <c r="AN581" i="1"/>
  <c r="AM581" i="1"/>
  <c r="AL581" i="1"/>
  <c r="AK581" i="1"/>
  <c r="AJ581" i="1"/>
  <c r="AI581" i="1"/>
  <c r="AH581" i="1"/>
  <c r="AG581" i="1"/>
  <c r="AF581" i="1"/>
  <c r="AP580" i="1"/>
  <c r="AO580" i="1"/>
  <c r="AN580" i="1"/>
  <c r="AM580" i="1"/>
  <c r="AL580" i="1"/>
  <c r="AK580" i="1"/>
  <c r="AJ580" i="1"/>
  <c r="AI580" i="1"/>
  <c r="AH580" i="1"/>
  <c r="AG580" i="1"/>
  <c r="AF580" i="1"/>
  <c r="AP579" i="1"/>
  <c r="AO579" i="1"/>
  <c r="AN579" i="1"/>
  <c r="AM579" i="1"/>
  <c r="AL579" i="1"/>
  <c r="AK579" i="1"/>
  <c r="AJ579" i="1"/>
  <c r="AI579" i="1"/>
  <c r="AH579" i="1"/>
  <c r="AG579" i="1"/>
  <c r="AF579" i="1"/>
  <c r="AP578" i="1"/>
  <c r="AO578" i="1"/>
  <c r="AN578" i="1"/>
  <c r="AM578" i="1"/>
  <c r="AL578" i="1"/>
  <c r="AK578" i="1"/>
  <c r="AJ578" i="1"/>
  <c r="AI578" i="1"/>
  <c r="AH578" i="1"/>
  <c r="AG578" i="1"/>
  <c r="AF578" i="1"/>
  <c r="AP577" i="1"/>
  <c r="AO577" i="1"/>
  <c r="AN577" i="1"/>
  <c r="AM577" i="1"/>
  <c r="AL577" i="1"/>
  <c r="AK577" i="1"/>
  <c r="AJ577" i="1"/>
  <c r="AI577" i="1"/>
  <c r="AH577" i="1"/>
  <c r="AG577" i="1"/>
  <c r="AF577" i="1"/>
  <c r="AP576" i="1"/>
  <c r="AO576" i="1"/>
  <c r="AN576" i="1"/>
  <c r="AM576" i="1"/>
  <c r="AL576" i="1"/>
  <c r="AK576" i="1"/>
  <c r="AJ576" i="1"/>
  <c r="AI576" i="1"/>
  <c r="AH576" i="1"/>
  <c r="AG576" i="1"/>
  <c r="AF576" i="1"/>
  <c r="AP575" i="1"/>
  <c r="AO575" i="1"/>
  <c r="AN575" i="1"/>
  <c r="AM575" i="1"/>
  <c r="AL575" i="1"/>
  <c r="AK575" i="1"/>
  <c r="AJ575" i="1"/>
  <c r="AI575" i="1"/>
  <c r="AH575" i="1"/>
  <c r="AG575" i="1"/>
  <c r="AF575" i="1"/>
  <c r="AP574" i="1"/>
  <c r="AO574" i="1"/>
  <c r="AN574" i="1"/>
  <c r="AM574" i="1"/>
  <c r="AL574" i="1"/>
  <c r="AK574" i="1"/>
  <c r="AJ574" i="1"/>
  <c r="AI574" i="1"/>
  <c r="AH574" i="1"/>
  <c r="AG574" i="1"/>
  <c r="AF574" i="1"/>
  <c r="AP573" i="1"/>
  <c r="AO573" i="1"/>
  <c r="AN573" i="1"/>
  <c r="AM573" i="1"/>
  <c r="AL573" i="1"/>
  <c r="AK573" i="1"/>
  <c r="AJ573" i="1"/>
  <c r="AI573" i="1"/>
  <c r="AH573" i="1"/>
  <c r="AG573" i="1"/>
  <c r="AF573" i="1"/>
  <c r="AP572" i="1"/>
  <c r="AO572" i="1"/>
  <c r="AN572" i="1"/>
  <c r="AM572" i="1"/>
  <c r="AL572" i="1"/>
  <c r="AK572" i="1"/>
  <c r="AJ572" i="1"/>
  <c r="AI572" i="1"/>
  <c r="AH572" i="1"/>
  <c r="AG572" i="1"/>
  <c r="AF572" i="1"/>
  <c r="AP571" i="1"/>
  <c r="AO571" i="1"/>
  <c r="AN571" i="1"/>
  <c r="AM571" i="1"/>
  <c r="AL571" i="1"/>
  <c r="AK571" i="1"/>
  <c r="AJ571" i="1"/>
  <c r="AI571" i="1"/>
  <c r="AH571" i="1"/>
  <c r="AG571" i="1"/>
  <c r="AF571" i="1"/>
  <c r="AP570" i="1"/>
  <c r="AO570" i="1"/>
  <c r="AN570" i="1"/>
  <c r="AM570" i="1"/>
  <c r="AL570" i="1"/>
  <c r="AK570" i="1"/>
  <c r="AJ570" i="1"/>
  <c r="AI570" i="1"/>
  <c r="AH570" i="1"/>
  <c r="AG570" i="1"/>
  <c r="AF570" i="1"/>
  <c r="AP569" i="1"/>
  <c r="AO569" i="1"/>
  <c r="AN569" i="1"/>
  <c r="AM569" i="1"/>
  <c r="AL569" i="1"/>
  <c r="AK569" i="1"/>
  <c r="AJ569" i="1"/>
  <c r="AI569" i="1"/>
  <c r="AH569" i="1"/>
  <c r="AG569" i="1"/>
  <c r="AF569" i="1"/>
  <c r="AP568" i="1"/>
  <c r="AO568" i="1"/>
  <c r="AN568" i="1"/>
  <c r="AM568" i="1"/>
  <c r="AL568" i="1"/>
  <c r="AK568" i="1"/>
  <c r="AJ568" i="1"/>
  <c r="AI568" i="1"/>
  <c r="AH568" i="1"/>
  <c r="AG568" i="1"/>
  <c r="AF568" i="1"/>
  <c r="AP567" i="1"/>
  <c r="AO567" i="1"/>
  <c r="AN567" i="1"/>
  <c r="AM567" i="1"/>
  <c r="AL567" i="1"/>
  <c r="AK567" i="1"/>
  <c r="AJ567" i="1"/>
  <c r="AI567" i="1"/>
  <c r="AH567" i="1"/>
  <c r="AG567" i="1"/>
  <c r="AF567" i="1"/>
  <c r="AP566" i="1"/>
  <c r="AO566" i="1"/>
  <c r="AN566" i="1"/>
  <c r="AM566" i="1"/>
  <c r="AL566" i="1"/>
  <c r="AK566" i="1"/>
  <c r="AJ566" i="1"/>
  <c r="AI566" i="1"/>
  <c r="AH566" i="1"/>
  <c r="AG566" i="1"/>
  <c r="AF566" i="1"/>
  <c r="AP565" i="1"/>
  <c r="AO565" i="1"/>
  <c r="AN565" i="1"/>
  <c r="AM565" i="1"/>
  <c r="AL565" i="1"/>
  <c r="AK565" i="1"/>
  <c r="AJ565" i="1"/>
  <c r="AI565" i="1"/>
  <c r="AH565" i="1"/>
  <c r="AG565" i="1"/>
  <c r="AF565" i="1"/>
  <c r="AP564" i="1"/>
  <c r="AO564" i="1"/>
  <c r="AN564" i="1"/>
  <c r="AM564" i="1"/>
  <c r="AL564" i="1"/>
  <c r="AK564" i="1"/>
  <c r="AJ564" i="1"/>
  <c r="AI564" i="1"/>
  <c r="AH564" i="1"/>
  <c r="AG564" i="1"/>
  <c r="AF564" i="1"/>
  <c r="AP563" i="1"/>
  <c r="AO563" i="1"/>
  <c r="AN563" i="1"/>
  <c r="AM563" i="1"/>
  <c r="AL563" i="1"/>
  <c r="AK563" i="1"/>
  <c r="AJ563" i="1"/>
  <c r="AI563" i="1"/>
  <c r="AH563" i="1"/>
  <c r="AG563" i="1"/>
  <c r="AF563" i="1"/>
  <c r="AP562" i="1"/>
  <c r="AO562" i="1"/>
  <c r="AN562" i="1"/>
  <c r="AM562" i="1"/>
  <c r="AL562" i="1"/>
  <c r="AK562" i="1"/>
  <c r="AJ562" i="1"/>
  <c r="AI562" i="1"/>
  <c r="AH562" i="1"/>
  <c r="AG562" i="1"/>
  <c r="AF562" i="1"/>
  <c r="AP561" i="1"/>
  <c r="AO561" i="1"/>
  <c r="AN561" i="1"/>
  <c r="AM561" i="1"/>
  <c r="AL561" i="1"/>
  <c r="AK561" i="1"/>
  <c r="AJ561" i="1"/>
  <c r="AI561" i="1"/>
  <c r="AH561" i="1"/>
  <c r="AG561" i="1"/>
  <c r="AF561" i="1"/>
  <c r="AP560" i="1"/>
  <c r="AO560" i="1"/>
  <c r="AN560" i="1"/>
  <c r="AM560" i="1"/>
  <c r="AL560" i="1"/>
  <c r="AK560" i="1"/>
  <c r="AJ560" i="1"/>
  <c r="AI560" i="1"/>
  <c r="AH560" i="1"/>
  <c r="AG560" i="1"/>
  <c r="AF560" i="1"/>
  <c r="AP559" i="1"/>
  <c r="AO559" i="1"/>
  <c r="AN559" i="1"/>
  <c r="AM559" i="1"/>
  <c r="AL559" i="1"/>
  <c r="AK559" i="1"/>
  <c r="AJ559" i="1"/>
  <c r="AI559" i="1"/>
  <c r="AH559" i="1"/>
  <c r="AG559" i="1"/>
  <c r="AF559" i="1"/>
  <c r="AP558" i="1"/>
  <c r="AO558" i="1"/>
  <c r="AN558" i="1"/>
  <c r="AM558" i="1"/>
  <c r="AL558" i="1"/>
  <c r="AK558" i="1"/>
  <c r="AJ558" i="1"/>
  <c r="AI558" i="1"/>
  <c r="AH558" i="1"/>
  <c r="AG558" i="1"/>
  <c r="AF558" i="1"/>
  <c r="AP557" i="1"/>
  <c r="AO557" i="1"/>
  <c r="AN557" i="1"/>
  <c r="AM557" i="1"/>
  <c r="AL557" i="1"/>
  <c r="AK557" i="1"/>
  <c r="AJ557" i="1"/>
  <c r="AI557" i="1"/>
  <c r="AH557" i="1"/>
  <c r="AG557" i="1"/>
  <c r="AF557" i="1"/>
  <c r="AP556" i="1"/>
  <c r="AO556" i="1"/>
  <c r="AN556" i="1"/>
  <c r="AM556" i="1"/>
  <c r="AL556" i="1"/>
  <c r="AK556" i="1"/>
  <c r="AJ556" i="1"/>
  <c r="AI556" i="1"/>
  <c r="AH556" i="1"/>
  <c r="AG556" i="1"/>
  <c r="AF556" i="1"/>
  <c r="AP555" i="1"/>
  <c r="AO555" i="1"/>
  <c r="AN555" i="1"/>
  <c r="AM555" i="1"/>
  <c r="AL555" i="1"/>
  <c r="AK555" i="1"/>
  <c r="AJ555" i="1"/>
  <c r="AI555" i="1"/>
  <c r="AH555" i="1"/>
  <c r="AG555" i="1"/>
  <c r="AF555" i="1"/>
  <c r="AP554" i="1"/>
  <c r="AO554" i="1"/>
  <c r="AN554" i="1"/>
  <c r="AM554" i="1"/>
  <c r="AL554" i="1"/>
  <c r="AK554" i="1"/>
  <c r="AJ554" i="1"/>
  <c r="AI554" i="1"/>
  <c r="AH554" i="1"/>
  <c r="AG554" i="1"/>
  <c r="AF554" i="1"/>
  <c r="AP553" i="1"/>
  <c r="AO553" i="1"/>
  <c r="AN553" i="1"/>
  <c r="AM553" i="1"/>
  <c r="AL553" i="1"/>
  <c r="AK553" i="1"/>
  <c r="AJ553" i="1"/>
  <c r="AI553" i="1"/>
  <c r="AH553" i="1"/>
  <c r="AG553" i="1"/>
  <c r="AF553" i="1"/>
  <c r="AP552" i="1"/>
  <c r="AO552" i="1"/>
  <c r="AN552" i="1"/>
  <c r="AM552" i="1"/>
  <c r="AL552" i="1"/>
  <c r="AK552" i="1"/>
  <c r="AJ552" i="1"/>
  <c r="AI552" i="1"/>
  <c r="AH552" i="1"/>
  <c r="AG552" i="1"/>
  <c r="AF552" i="1"/>
  <c r="AP551" i="1"/>
  <c r="AO551" i="1"/>
  <c r="AN551" i="1"/>
  <c r="AM551" i="1"/>
  <c r="AL551" i="1"/>
  <c r="AK551" i="1"/>
  <c r="AJ551" i="1"/>
  <c r="AI551" i="1"/>
  <c r="AH551" i="1"/>
  <c r="AG551" i="1"/>
  <c r="AF551" i="1"/>
  <c r="AP550" i="1"/>
  <c r="AO550" i="1"/>
  <c r="AN550" i="1"/>
  <c r="AM550" i="1"/>
  <c r="AL550" i="1"/>
  <c r="AK550" i="1"/>
  <c r="AJ550" i="1"/>
  <c r="AI550" i="1"/>
  <c r="AH550" i="1"/>
  <c r="AG550" i="1"/>
  <c r="AF550" i="1"/>
  <c r="AP549" i="1"/>
  <c r="AO549" i="1"/>
  <c r="AN549" i="1"/>
  <c r="AM549" i="1"/>
  <c r="AL549" i="1"/>
  <c r="AK549" i="1"/>
  <c r="AJ549" i="1"/>
  <c r="AI549" i="1"/>
  <c r="AH549" i="1"/>
  <c r="AG549" i="1"/>
  <c r="AF549" i="1"/>
  <c r="AP548" i="1"/>
  <c r="AO548" i="1"/>
  <c r="AN548" i="1"/>
  <c r="AM548" i="1"/>
  <c r="AL548" i="1"/>
  <c r="AK548" i="1"/>
  <c r="AJ548" i="1"/>
  <c r="AI548" i="1"/>
  <c r="AH548" i="1"/>
  <c r="AG548" i="1"/>
  <c r="AF548" i="1"/>
  <c r="AP547" i="1"/>
  <c r="AO547" i="1"/>
  <c r="AN547" i="1"/>
  <c r="AM547" i="1"/>
  <c r="AL547" i="1"/>
  <c r="AK547" i="1"/>
  <c r="AJ547" i="1"/>
  <c r="AI547" i="1"/>
  <c r="AH547" i="1"/>
  <c r="AG547" i="1"/>
  <c r="AF547" i="1"/>
  <c r="AP546" i="1"/>
  <c r="AO546" i="1"/>
  <c r="AN546" i="1"/>
  <c r="AM546" i="1"/>
  <c r="AL546" i="1"/>
  <c r="AK546" i="1"/>
  <c r="AJ546" i="1"/>
  <c r="AI546" i="1"/>
  <c r="AH546" i="1"/>
  <c r="AG546" i="1"/>
  <c r="AF546" i="1"/>
  <c r="AP545" i="1"/>
  <c r="AO545" i="1"/>
  <c r="AN545" i="1"/>
  <c r="AM545" i="1"/>
  <c r="AL545" i="1"/>
  <c r="AK545" i="1"/>
  <c r="AJ545" i="1"/>
  <c r="AI545" i="1"/>
  <c r="AH545" i="1"/>
  <c r="AG545" i="1"/>
  <c r="AF545" i="1"/>
  <c r="AP544" i="1"/>
  <c r="AO544" i="1"/>
  <c r="AN544" i="1"/>
  <c r="AM544" i="1"/>
  <c r="AL544" i="1"/>
  <c r="AK544" i="1"/>
  <c r="AJ544" i="1"/>
  <c r="AI544" i="1"/>
  <c r="AH544" i="1"/>
  <c r="AG544" i="1"/>
  <c r="AF544" i="1"/>
  <c r="AP543" i="1"/>
  <c r="AO543" i="1"/>
  <c r="AN543" i="1"/>
  <c r="AM543" i="1"/>
  <c r="AL543" i="1"/>
  <c r="AK543" i="1"/>
  <c r="AJ543" i="1"/>
  <c r="AI543" i="1"/>
  <c r="AH543" i="1"/>
  <c r="AG543" i="1"/>
  <c r="AF543" i="1"/>
  <c r="AP542" i="1"/>
  <c r="AO542" i="1"/>
  <c r="AN542" i="1"/>
  <c r="AM542" i="1"/>
  <c r="AL542" i="1"/>
  <c r="AK542" i="1"/>
  <c r="AJ542" i="1"/>
  <c r="AI542" i="1"/>
  <c r="AH542" i="1"/>
  <c r="AG542" i="1"/>
  <c r="AF542" i="1"/>
  <c r="AP541" i="1"/>
  <c r="AO541" i="1"/>
  <c r="AN541" i="1"/>
  <c r="AM541" i="1"/>
  <c r="AL541" i="1"/>
  <c r="AK541" i="1"/>
  <c r="AJ541" i="1"/>
  <c r="AI541" i="1"/>
  <c r="AH541" i="1"/>
  <c r="AG541" i="1"/>
  <c r="AF541" i="1"/>
  <c r="AP540" i="1"/>
  <c r="AO540" i="1"/>
  <c r="AN540" i="1"/>
  <c r="AM540" i="1"/>
  <c r="AL540" i="1"/>
  <c r="AK540" i="1"/>
  <c r="AJ540" i="1"/>
  <c r="AI540" i="1"/>
  <c r="AH540" i="1"/>
  <c r="AG540" i="1"/>
  <c r="AF540" i="1"/>
  <c r="AP539" i="1"/>
  <c r="AO539" i="1"/>
  <c r="AN539" i="1"/>
  <c r="AM539" i="1"/>
  <c r="AL539" i="1"/>
  <c r="AK539" i="1"/>
  <c r="AJ539" i="1"/>
  <c r="AI539" i="1"/>
  <c r="AH539" i="1"/>
  <c r="AG539" i="1"/>
  <c r="AF539" i="1"/>
  <c r="AP538" i="1"/>
  <c r="AO538" i="1"/>
  <c r="AN538" i="1"/>
  <c r="AM538" i="1"/>
  <c r="AL538" i="1"/>
  <c r="AK538" i="1"/>
  <c r="AJ538" i="1"/>
  <c r="AI538" i="1"/>
  <c r="AH538" i="1"/>
  <c r="AG538" i="1"/>
  <c r="AF538" i="1"/>
  <c r="AP537" i="1"/>
  <c r="AO537" i="1"/>
  <c r="AN537" i="1"/>
  <c r="AM537" i="1"/>
  <c r="AL537" i="1"/>
  <c r="AK537" i="1"/>
  <c r="AJ537" i="1"/>
  <c r="AI537" i="1"/>
  <c r="AH537" i="1"/>
  <c r="AG537" i="1"/>
  <c r="AF537" i="1"/>
  <c r="AP536" i="1"/>
  <c r="AO536" i="1"/>
  <c r="AN536" i="1"/>
  <c r="AM536" i="1"/>
  <c r="AL536" i="1"/>
  <c r="AK536" i="1"/>
  <c r="AJ536" i="1"/>
  <c r="AI536" i="1"/>
  <c r="AH536" i="1"/>
  <c r="AG536" i="1"/>
  <c r="AF536" i="1"/>
  <c r="AP535" i="1"/>
  <c r="AO535" i="1"/>
  <c r="AN535" i="1"/>
  <c r="AM535" i="1"/>
  <c r="AL535" i="1"/>
  <c r="AK535" i="1"/>
  <c r="AJ535" i="1"/>
  <c r="AI535" i="1"/>
  <c r="AH535" i="1"/>
  <c r="AG535" i="1"/>
  <c r="AF535" i="1"/>
  <c r="AP534" i="1"/>
  <c r="AO534" i="1"/>
  <c r="AN534" i="1"/>
  <c r="AM534" i="1"/>
  <c r="AL534" i="1"/>
  <c r="AK534" i="1"/>
  <c r="AJ534" i="1"/>
  <c r="AI534" i="1"/>
  <c r="AH534" i="1"/>
  <c r="AG534" i="1"/>
  <c r="AF534" i="1"/>
  <c r="AP533" i="1"/>
  <c r="AO533" i="1"/>
  <c r="AN533" i="1"/>
  <c r="AM533" i="1"/>
  <c r="AL533" i="1"/>
  <c r="AK533" i="1"/>
  <c r="AJ533" i="1"/>
  <c r="AI533" i="1"/>
  <c r="AH533" i="1"/>
  <c r="AG533" i="1"/>
  <c r="AF533" i="1"/>
  <c r="AP532" i="1"/>
  <c r="AO532" i="1"/>
  <c r="AN532" i="1"/>
  <c r="AM532" i="1"/>
  <c r="AL532" i="1"/>
  <c r="AK532" i="1"/>
  <c r="AJ532" i="1"/>
  <c r="AI532" i="1"/>
  <c r="AH532" i="1"/>
  <c r="AG532" i="1"/>
  <c r="AF532" i="1"/>
  <c r="AP531" i="1"/>
  <c r="AO531" i="1"/>
  <c r="AN531" i="1"/>
  <c r="AM531" i="1"/>
  <c r="AL531" i="1"/>
  <c r="AK531" i="1"/>
  <c r="AJ531" i="1"/>
  <c r="AI531" i="1"/>
  <c r="AH531" i="1"/>
  <c r="AG531" i="1"/>
  <c r="AF531" i="1"/>
  <c r="AP530" i="1"/>
  <c r="AO530" i="1"/>
  <c r="AN530" i="1"/>
  <c r="AM530" i="1"/>
  <c r="AL530" i="1"/>
  <c r="AK530" i="1"/>
  <c r="AJ530" i="1"/>
  <c r="AI530" i="1"/>
  <c r="AH530" i="1"/>
  <c r="AG530" i="1"/>
  <c r="AF530" i="1"/>
  <c r="AP529" i="1"/>
  <c r="AO529" i="1"/>
  <c r="AN529" i="1"/>
  <c r="AM529" i="1"/>
  <c r="AL529" i="1"/>
  <c r="AK529" i="1"/>
  <c r="AJ529" i="1"/>
  <c r="AI529" i="1"/>
  <c r="AH529" i="1"/>
  <c r="AG529" i="1"/>
  <c r="AF529" i="1"/>
  <c r="AP528" i="1"/>
  <c r="AO528" i="1"/>
  <c r="AN528" i="1"/>
  <c r="AM528" i="1"/>
  <c r="AL528" i="1"/>
  <c r="AK528" i="1"/>
  <c r="AJ528" i="1"/>
  <c r="AI528" i="1"/>
  <c r="AH528" i="1"/>
  <c r="AG528" i="1"/>
  <c r="AF528" i="1"/>
  <c r="AP527" i="1"/>
  <c r="AO527" i="1"/>
  <c r="AN527" i="1"/>
  <c r="AM527" i="1"/>
  <c r="AL527" i="1"/>
  <c r="AK527" i="1"/>
  <c r="AJ527" i="1"/>
  <c r="AI527" i="1"/>
  <c r="AH527" i="1"/>
  <c r="AG527" i="1"/>
  <c r="AF527" i="1"/>
  <c r="AP526" i="1"/>
  <c r="AO526" i="1"/>
  <c r="AN526" i="1"/>
  <c r="AM526" i="1"/>
  <c r="AL526" i="1"/>
  <c r="AK526" i="1"/>
  <c r="AJ526" i="1"/>
  <c r="AI526" i="1"/>
  <c r="AH526" i="1"/>
  <c r="AG526" i="1"/>
  <c r="AF526" i="1"/>
  <c r="AP525" i="1"/>
  <c r="AO525" i="1"/>
  <c r="AN525" i="1"/>
  <c r="AM525" i="1"/>
  <c r="AL525" i="1"/>
  <c r="AK525" i="1"/>
  <c r="AJ525" i="1"/>
  <c r="AI525" i="1"/>
  <c r="AH525" i="1"/>
  <c r="AG525" i="1"/>
  <c r="AF525" i="1"/>
  <c r="AP524" i="1"/>
  <c r="AO524" i="1"/>
  <c r="AN524" i="1"/>
  <c r="AM524" i="1"/>
  <c r="AL524" i="1"/>
  <c r="AK524" i="1"/>
  <c r="AJ524" i="1"/>
  <c r="AI524" i="1"/>
  <c r="AH524" i="1"/>
  <c r="AG524" i="1"/>
  <c r="AF524" i="1"/>
  <c r="AP523" i="1"/>
  <c r="AO523" i="1"/>
  <c r="AN523" i="1"/>
  <c r="AM523" i="1"/>
  <c r="AL523" i="1"/>
  <c r="AK523" i="1"/>
  <c r="AJ523" i="1"/>
  <c r="AI523" i="1"/>
  <c r="AH523" i="1"/>
  <c r="AG523" i="1"/>
  <c r="AF523" i="1"/>
  <c r="AP522" i="1"/>
  <c r="AO522" i="1"/>
  <c r="AN522" i="1"/>
  <c r="AM522" i="1"/>
  <c r="AL522" i="1"/>
  <c r="AK522" i="1"/>
  <c r="AJ522" i="1"/>
  <c r="AI522" i="1"/>
  <c r="AH522" i="1"/>
  <c r="AG522" i="1"/>
  <c r="AF522" i="1"/>
  <c r="AP521" i="1"/>
  <c r="AO521" i="1"/>
  <c r="AN521" i="1"/>
  <c r="AM521" i="1"/>
  <c r="AL521" i="1"/>
  <c r="AK521" i="1"/>
  <c r="AJ521" i="1"/>
  <c r="AI521" i="1"/>
  <c r="AH521" i="1"/>
  <c r="AG521" i="1"/>
  <c r="AF521" i="1"/>
  <c r="AP520" i="1"/>
  <c r="AO520" i="1"/>
  <c r="AN520" i="1"/>
  <c r="AM520" i="1"/>
  <c r="AL520" i="1"/>
  <c r="AK520" i="1"/>
  <c r="AJ520" i="1"/>
  <c r="AI520" i="1"/>
  <c r="AH520" i="1"/>
  <c r="AG520" i="1"/>
  <c r="AF520" i="1"/>
  <c r="AP519" i="1"/>
  <c r="AO519" i="1"/>
  <c r="AN519" i="1"/>
  <c r="AM519" i="1"/>
  <c r="AL519" i="1"/>
  <c r="AK519" i="1"/>
  <c r="AJ519" i="1"/>
  <c r="AI519" i="1"/>
  <c r="AH519" i="1"/>
  <c r="AG519" i="1"/>
  <c r="AF519" i="1"/>
  <c r="AP518" i="1"/>
  <c r="AO518" i="1"/>
  <c r="AN518" i="1"/>
  <c r="AM518" i="1"/>
  <c r="AL518" i="1"/>
  <c r="AK518" i="1"/>
  <c r="AJ518" i="1"/>
  <c r="AI518" i="1"/>
  <c r="AH518" i="1"/>
  <c r="AG518" i="1"/>
  <c r="AF518" i="1"/>
  <c r="AP517" i="1"/>
  <c r="AO517" i="1"/>
  <c r="AN517" i="1"/>
  <c r="AM517" i="1"/>
  <c r="AL517" i="1"/>
  <c r="AK517" i="1"/>
  <c r="AJ517" i="1"/>
  <c r="AI517" i="1"/>
  <c r="AH517" i="1"/>
  <c r="AG517" i="1"/>
  <c r="AF517" i="1"/>
  <c r="AP516" i="1"/>
  <c r="AO516" i="1"/>
  <c r="AN516" i="1"/>
  <c r="AM516" i="1"/>
  <c r="AL516" i="1"/>
  <c r="AK516" i="1"/>
  <c r="AJ516" i="1"/>
  <c r="AI516" i="1"/>
  <c r="AH516" i="1"/>
  <c r="AG516" i="1"/>
  <c r="AF516" i="1"/>
  <c r="AP515" i="1"/>
  <c r="AO515" i="1"/>
  <c r="AN515" i="1"/>
  <c r="AM515" i="1"/>
  <c r="AL515" i="1"/>
  <c r="AK515" i="1"/>
  <c r="AJ515" i="1"/>
  <c r="AI515" i="1"/>
  <c r="AH515" i="1"/>
  <c r="AG515" i="1"/>
  <c r="AF515" i="1"/>
  <c r="AP514" i="1"/>
  <c r="AO514" i="1"/>
  <c r="AN514" i="1"/>
  <c r="AM514" i="1"/>
  <c r="AL514" i="1"/>
  <c r="AK514" i="1"/>
  <c r="AJ514" i="1"/>
  <c r="AI514" i="1"/>
  <c r="AH514" i="1"/>
  <c r="AG514" i="1"/>
  <c r="AF514" i="1"/>
  <c r="AP513" i="1"/>
  <c r="AO513" i="1"/>
  <c r="AN513" i="1"/>
  <c r="AM513" i="1"/>
  <c r="AL513" i="1"/>
  <c r="AK513" i="1"/>
  <c r="AJ513" i="1"/>
  <c r="AI513" i="1"/>
  <c r="AH513" i="1"/>
  <c r="AG513" i="1"/>
  <c r="AF513" i="1"/>
  <c r="AP512" i="1"/>
  <c r="AO512" i="1"/>
  <c r="AN512" i="1"/>
  <c r="AM512" i="1"/>
  <c r="AL512" i="1"/>
  <c r="AK512" i="1"/>
  <c r="AJ512" i="1"/>
  <c r="AI512" i="1"/>
  <c r="AH512" i="1"/>
  <c r="AG512" i="1"/>
  <c r="AF512" i="1"/>
  <c r="AP511" i="1"/>
  <c r="AO511" i="1"/>
  <c r="AN511" i="1"/>
  <c r="AM511" i="1"/>
  <c r="AL511" i="1"/>
  <c r="AK511" i="1"/>
  <c r="AJ511" i="1"/>
  <c r="AI511" i="1"/>
  <c r="AH511" i="1"/>
  <c r="AG511" i="1"/>
  <c r="AF511" i="1"/>
  <c r="AP510" i="1"/>
  <c r="AO510" i="1"/>
  <c r="AN510" i="1"/>
  <c r="AM510" i="1"/>
  <c r="AL510" i="1"/>
  <c r="AK510" i="1"/>
  <c r="AJ510" i="1"/>
  <c r="AI510" i="1"/>
  <c r="AH510" i="1"/>
  <c r="AG510" i="1"/>
  <c r="AF510" i="1"/>
  <c r="AP509" i="1"/>
  <c r="AO509" i="1"/>
  <c r="AN509" i="1"/>
  <c r="AM509" i="1"/>
  <c r="AL509" i="1"/>
  <c r="AK509" i="1"/>
  <c r="AJ509" i="1"/>
  <c r="AI509" i="1"/>
  <c r="AH509" i="1"/>
  <c r="AG509" i="1"/>
  <c r="AF509" i="1"/>
  <c r="AP508" i="1"/>
  <c r="AO508" i="1"/>
  <c r="AN508" i="1"/>
  <c r="AM508" i="1"/>
  <c r="AL508" i="1"/>
  <c r="AK508" i="1"/>
  <c r="AJ508" i="1"/>
  <c r="AI508" i="1"/>
  <c r="AH508" i="1"/>
  <c r="AG508" i="1"/>
  <c r="AF508" i="1"/>
  <c r="AP507" i="1"/>
  <c r="AO507" i="1"/>
  <c r="AN507" i="1"/>
  <c r="AM507" i="1"/>
  <c r="AL507" i="1"/>
  <c r="AK507" i="1"/>
  <c r="AJ507" i="1"/>
  <c r="AI507" i="1"/>
  <c r="AH507" i="1"/>
  <c r="AG507" i="1"/>
  <c r="AF507" i="1"/>
  <c r="AP506" i="1"/>
  <c r="AO506" i="1"/>
  <c r="AN506" i="1"/>
  <c r="AM506" i="1"/>
  <c r="AL506" i="1"/>
  <c r="AK506" i="1"/>
  <c r="AJ506" i="1"/>
  <c r="AI506" i="1"/>
  <c r="AH506" i="1"/>
  <c r="AG506" i="1"/>
  <c r="AF506" i="1"/>
  <c r="AP505" i="1"/>
  <c r="AO505" i="1"/>
  <c r="AN505" i="1"/>
  <c r="AM505" i="1"/>
  <c r="AL505" i="1"/>
  <c r="AK505" i="1"/>
  <c r="AJ505" i="1"/>
  <c r="AI505" i="1"/>
  <c r="AH505" i="1"/>
  <c r="AG505" i="1"/>
  <c r="AF505" i="1"/>
  <c r="AP504" i="1"/>
  <c r="AO504" i="1"/>
  <c r="AN504" i="1"/>
  <c r="AM504" i="1"/>
  <c r="AL504" i="1"/>
  <c r="AK504" i="1"/>
  <c r="AJ504" i="1"/>
  <c r="AI504" i="1"/>
  <c r="AH504" i="1"/>
  <c r="AG504" i="1"/>
  <c r="AF504" i="1"/>
  <c r="AP503" i="1"/>
  <c r="AO503" i="1"/>
  <c r="AN503" i="1"/>
  <c r="AM503" i="1"/>
  <c r="AL503" i="1"/>
  <c r="AK503" i="1"/>
  <c r="AJ503" i="1"/>
  <c r="AI503" i="1"/>
  <c r="AH503" i="1"/>
  <c r="AG503" i="1"/>
  <c r="AF503" i="1"/>
  <c r="AP502" i="1"/>
  <c r="AO502" i="1"/>
  <c r="AN502" i="1"/>
  <c r="AM502" i="1"/>
  <c r="AL502" i="1"/>
  <c r="AK502" i="1"/>
  <c r="AJ502" i="1"/>
  <c r="AI502" i="1"/>
  <c r="AH502" i="1"/>
  <c r="AG502" i="1"/>
  <c r="AF502" i="1"/>
  <c r="AP501" i="1"/>
  <c r="AO501" i="1"/>
  <c r="AN501" i="1"/>
  <c r="AM501" i="1"/>
  <c r="AL501" i="1"/>
  <c r="AK501" i="1"/>
  <c r="AJ501" i="1"/>
  <c r="AI501" i="1"/>
  <c r="AH501" i="1"/>
  <c r="AG501" i="1"/>
  <c r="AF501" i="1"/>
  <c r="AP500" i="1"/>
  <c r="AO500" i="1"/>
  <c r="AN500" i="1"/>
  <c r="AM500" i="1"/>
  <c r="AL500" i="1"/>
  <c r="AK500" i="1"/>
  <c r="AJ500" i="1"/>
  <c r="AI500" i="1"/>
  <c r="AH500" i="1"/>
  <c r="AG500" i="1"/>
  <c r="AF500" i="1"/>
  <c r="AP499" i="1"/>
  <c r="AO499" i="1"/>
  <c r="AN499" i="1"/>
  <c r="AM499" i="1"/>
  <c r="AL499" i="1"/>
  <c r="AK499" i="1"/>
  <c r="AJ499" i="1"/>
  <c r="AI499" i="1"/>
  <c r="AH499" i="1"/>
  <c r="AG499" i="1"/>
  <c r="AF499" i="1"/>
  <c r="AP498" i="1"/>
  <c r="AO498" i="1"/>
  <c r="AN498" i="1"/>
  <c r="AM498" i="1"/>
  <c r="AL498" i="1"/>
  <c r="AK498" i="1"/>
  <c r="AJ498" i="1"/>
  <c r="AI498" i="1"/>
  <c r="AH498" i="1"/>
  <c r="AG498" i="1"/>
  <c r="AF498" i="1"/>
  <c r="AP497" i="1"/>
  <c r="AO497" i="1"/>
  <c r="AN497" i="1"/>
  <c r="AM497" i="1"/>
  <c r="AL497" i="1"/>
  <c r="AK497" i="1"/>
  <c r="AJ497" i="1"/>
  <c r="AI497" i="1"/>
  <c r="AH497" i="1"/>
  <c r="AG497" i="1"/>
  <c r="AF497" i="1"/>
  <c r="AP496" i="1"/>
  <c r="AO496" i="1"/>
  <c r="AN496" i="1"/>
  <c r="AM496" i="1"/>
  <c r="AL496" i="1"/>
  <c r="AK496" i="1"/>
  <c r="AJ496" i="1"/>
  <c r="AI496" i="1"/>
  <c r="AH496" i="1"/>
  <c r="AG496" i="1"/>
  <c r="AF496" i="1"/>
  <c r="AP495" i="1"/>
  <c r="AO495" i="1"/>
  <c r="AN495" i="1"/>
  <c r="AM495" i="1"/>
  <c r="AL495" i="1"/>
  <c r="AK495" i="1"/>
  <c r="AJ495" i="1"/>
  <c r="AI495" i="1"/>
  <c r="AH495" i="1"/>
  <c r="AG495" i="1"/>
  <c r="AF495" i="1"/>
  <c r="AP494" i="1"/>
  <c r="AO494" i="1"/>
  <c r="AN494" i="1"/>
  <c r="AM494" i="1"/>
  <c r="AL494" i="1"/>
  <c r="AK494" i="1"/>
  <c r="AJ494" i="1"/>
  <c r="AI494" i="1"/>
  <c r="AH494" i="1"/>
  <c r="AG494" i="1"/>
  <c r="AF494" i="1"/>
  <c r="AP493" i="1"/>
  <c r="AO493" i="1"/>
  <c r="AN493" i="1"/>
  <c r="AM493" i="1"/>
  <c r="AL493" i="1"/>
  <c r="AK493" i="1"/>
  <c r="AJ493" i="1"/>
  <c r="AI493" i="1"/>
  <c r="AH493" i="1"/>
  <c r="AG493" i="1"/>
  <c r="AF493" i="1"/>
  <c r="AP492" i="1"/>
  <c r="AO492" i="1"/>
  <c r="AN492" i="1"/>
  <c r="AM492" i="1"/>
  <c r="AL492" i="1"/>
  <c r="AK492" i="1"/>
  <c r="AJ492" i="1"/>
  <c r="AI492" i="1"/>
  <c r="AH492" i="1"/>
  <c r="AG492" i="1"/>
  <c r="AF492" i="1"/>
  <c r="AP491" i="1"/>
  <c r="AO491" i="1"/>
  <c r="AN491" i="1"/>
  <c r="AM491" i="1"/>
  <c r="AL491" i="1"/>
  <c r="AK491" i="1"/>
  <c r="AJ491" i="1"/>
  <c r="AI491" i="1"/>
  <c r="AH491" i="1"/>
  <c r="AG491" i="1"/>
  <c r="AF491" i="1"/>
  <c r="AP490" i="1"/>
  <c r="AO490" i="1"/>
  <c r="AN490" i="1"/>
  <c r="AM490" i="1"/>
  <c r="AL490" i="1"/>
  <c r="AK490" i="1"/>
  <c r="AJ490" i="1"/>
  <c r="AI490" i="1"/>
  <c r="AH490" i="1"/>
  <c r="AG490" i="1"/>
  <c r="AF490" i="1"/>
  <c r="AP489" i="1"/>
  <c r="AO489" i="1"/>
  <c r="AN489" i="1"/>
  <c r="AM489" i="1"/>
  <c r="AL489" i="1"/>
  <c r="AK489" i="1"/>
  <c r="AJ489" i="1"/>
  <c r="AI489" i="1"/>
  <c r="AH489" i="1"/>
  <c r="AG489" i="1"/>
  <c r="AF489" i="1"/>
  <c r="AP488" i="1"/>
  <c r="AO488" i="1"/>
  <c r="AN488" i="1"/>
  <c r="AM488" i="1"/>
  <c r="AL488" i="1"/>
  <c r="AK488" i="1"/>
  <c r="AJ488" i="1"/>
  <c r="AI488" i="1"/>
  <c r="AH488" i="1"/>
  <c r="AG488" i="1"/>
  <c r="AF488" i="1"/>
  <c r="AP487" i="1"/>
  <c r="AO487" i="1"/>
  <c r="AN487" i="1"/>
  <c r="AM487" i="1"/>
  <c r="AL487" i="1"/>
  <c r="AK487" i="1"/>
  <c r="AJ487" i="1"/>
  <c r="AI487" i="1"/>
  <c r="AH487" i="1"/>
  <c r="AG487" i="1"/>
  <c r="AF487" i="1"/>
  <c r="AP486" i="1"/>
  <c r="AO486" i="1"/>
  <c r="AN486" i="1"/>
  <c r="AM486" i="1"/>
  <c r="AL486" i="1"/>
  <c r="AK486" i="1"/>
  <c r="AJ486" i="1"/>
  <c r="AI486" i="1"/>
  <c r="AH486" i="1"/>
  <c r="AG486" i="1"/>
  <c r="AF486" i="1"/>
  <c r="AP485" i="1"/>
  <c r="AO485" i="1"/>
  <c r="AN485" i="1"/>
  <c r="AM485" i="1"/>
  <c r="AL485" i="1"/>
  <c r="AK485" i="1"/>
  <c r="AJ485" i="1"/>
  <c r="AI485" i="1"/>
  <c r="AH485" i="1"/>
  <c r="AG485" i="1"/>
  <c r="AF485" i="1"/>
  <c r="AP484" i="1"/>
  <c r="AO484" i="1"/>
  <c r="AN484" i="1"/>
  <c r="AM484" i="1"/>
  <c r="AL484" i="1"/>
  <c r="AK484" i="1"/>
  <c r="AJ484" i="1"/>
  <c r="AI484" i="1"/>
  <c r="AH484" i="1"/>
  <c r="AG484" i="1"/>
  <c r="AF484" i="1"/>
  <c r="AP483" i="1"/>
  <c r="AO483" i="1"/>
  <c r="AN483" i="1"/>
  <c r="AM483" i="1"/>
  <c r="AL483" i="1"/>
  <c r="AK483" i="1"/>
  <c r="AJ483" i="1"/>
  <c r="AI483" i="1"/>
  <c r="AH483" i="1"/>
  <c r="AG483" i="1"/>
  <c r="AF483" i="1"/>
  <c r="AP482" i="1"/>
  <c r="AO482" i="1"/>
  <c r="AN482" i="1"/>
  <c r="AM482" i="1"/>
  <c r="AL482" i="1"/>
  <c r="AK482" i="1"/>
  <c r="AJ482" i="1"/>
  <c r="AI482" i="1"/>
  <c r="AH482" i="1"/>
  <c r="AG482" i="1"/>
  <c r="AF482" i="1"/>
  <c r="AP481" i="1"/>
  <c r="AO481" i="1"/>
  <c r="AN481" i="1"/>
  <c r="AM481" i="1"/>
  <c r="AL481" i="1"/>
  <c r="AK481" i="1"/>
  <c r="AJ481" i="1"/>
  <c r="AI481" i="1"/>
  <c r="AH481" i="1"/>
  <c r="AG481" i="1"/>
  <c r="AF481" i="1"/>
  <c r="AP480" i="1"/>
  <c r="AO480" i="1"/>
  <c r="AN480" i="1"/>
  <c r="AM480" i="1"/>
  <c r="AL480" i="1"/>
  <c r="AK480" i="1"/>
  <c r="AJ480" i="1"/>
  <c r="AI480" i="1"/>
  <c r="AH480" i="1"/>
  <c r="AG480" i="1"/>
  <c r="AF480" i="1"/>
  <c r="AP479" i="1"/>
  <c r="AO479" i="1"/>
  <c r="AN479" i="1"/>
  <c r="AM479" i="1"/>
  <c r="AL479" i="1"/>
  <c r="AK479" i="1"/>
  <c r="AJ479" i="1"/>
  <c r="AI479" i="1"/>
  <c r="AH479" i="1"/>
  <c r="AG479" i="1"/>
  <c r="AF479" i="1"/>
  <c r="AP478" i="1"/>
  <c r="AO478" i="1"/>
  <c r="AN478" i="1"/>
  <c r="AM478" i="1"/>
  <c r="AL478" i="1"/>
  <c r="AK478" i="1"/>
  <c r="AJ478" i="1"/>
  <c r="AI478" i="1"/>
  <c r="AH478" i="1"/>
  <c r="AG478" i="1"/>
  <c r="AF478" i="1"/>
  <c r="AP477" i="1"/>
  <c r="AO477" i="1"/>
  <c r="AN477" i="1"/>
  <c r="AM477" i="1"/>
  <c r="AL477" i="1"/>
  <c r="AK477" i="1"/>
  <c r="AJ477" i="1"/>
  <c r="AI477" i="1"/>
  <c r="AH477" i="1"/>
  <c r="AG477" i="1"/>
  <c r="AF477" i="1"/>
  <c r="AP476" i="1"/>
  <c r="AO476" i="1"/>
  <c r="AN476" i="1"/>
  <c r="AM476" i="1"/>
  <c r="AL476" i="1"/>
  <c r="AK476" i="1"/>
  <c r="AJ476" i="1"/>
  <c r="AI476" i="1"/>
  <c r="AH476" i="1"/>
  <c r="AG476" i="1"/>
  <c r="AF476" i="1"/>
  <c r="AP475" i="1"/>
  <c r="AO475" i="1"/>
  <c r="AN475" i="1"/>
  <c r="AM475" i="1"/>
  <c r="AL475" i="1"/>
  <c r="AK475" i="1"/>
  <c r="AJ475" i="1"/>
  <c r="AI475" i="1"/>
  <c r="AH475" i="1"/>
  <c r="AG475" i="1"/>
  <c r="AF475" i="1"/>
  <c r="AP474" i="1"/>
  <c r="AO474" i="1"/>
  <c r="AN474" i="1"/>
  <c r="AM474" i="1"/>
  <c r="AL474" i="1"/>
  <c r="AK474" i="1"/>
  <c r="AJ474" i="1"/>
  <c r="AI474" i="1"/>
  <c r="AH474" i="1"/>
  <c r="AG474" i="1"/>
  <c r="AF474" i="1"/>
  <c r="AP473" i="1"/>
  <c r="AO473" i="1"/>
  <c r="AN473" i="1"/>
  <c r="AM473" i="1"/>
  <c r="AL473" i="1"/>
  <c r="AK473" i="1"/>
  <c r="AJ473" i="1"/>
  <c r="AI473" i="1"/>
  <c r="AH473" i="1"/>
  <c r="AG473" i="1"/>
  <c r="AF473" i="1"/>
  <c r="AP472" i="1"/>
  <c r="AO472" i="1"/>
  <c r="AN472" i="1"/>
  <c r="AM472" i="1"/>
  <c r="AL472" i="1"/>
  <c r="AK472" i="1"/>
  <c r="AJ472" i="1"/>
  <c r="AI472" i="1"/>
  <c r="AH472" i="1"/>
  <c r="AG472" i="1"/>
  <c r="AF472" i="1"/>
  <c r="AP471" i="1"/>
  <c r="AO471" i="1"/>
  <c r="AN471" i="1"/>
  <c r="AM471" i="1"/>
  <c r="AL471" i="1"/>
  <c r="AK471" i="1"/>
  <c r="AJ471" i="1"/>
  <c r="AI471" i="1"/>
  <c r="AH471" i="1"/>
  <c r="AG471" i="1"/>
  <c r="AF471" i="1"/>
  <c r="AP470" i="1"/>
  <c r="AO470" i="1"/>
  <c r="AN470" i="1"/>
  <c r="AM470" i="1"/>
  <c r="AL470" i="1"/>
  <c r="AK470" i="1"/>
  <c r="AJ470" i="1"/>
  <c r="AI470" i="1"/>
  <c r="AH470" i="1"/>
  <c r="AG470" i="1"/>
  <c r="AF470" i="1"/>
  <c r="AP469" i="1"/>
  <c r="AO469" i="1"/>
  <c r="AN469" i="1"/>
  <c r="AM469" i="1"/>
  <c r="AL469" i="1"/>
  <c r="AK469" i="1"/>
  <c r="AJ469" i="1"/>
  <c r="AI469" i="1"/>
  <c r="AH469" i="1"/>
  <c r="AG469" i="1"/>
  <c r="AF469" i="1"/>
  <c r="AP468" i="1"/>
  <c r="AO468" i="1"/>
  <c r="AN468" i="1"/>
  <c r="AM468" i="1"/>
  <c r="AL468" i="1"/>
  <c r="AK468" i="1"/>
  <c r="AJ468" i="1"/>
  <c r="AI468" i="1"/>
  <c r="AH468" i="1"/>
  <c r="AG468" i="1"/>
  <c r="AF468" i="1"/>
  <c r="AP467" i="1"/>
  <c r="AO467" i="1"/>
  <c r="AN467" i="1"/>
  <c r="AM467" i="1"/>
  <c r="AL467" i="1"/>
  <c r="AK467" i="1"/>
  <c r="AJ467" i="1"/>
  <c r="AI467" i="1"/>
  <c r="AH467" i="1"/>
  <c r="AG467" i="1"/>
  <c r="AF467" i="1"/>
  <c r="AP466" i="1"/>
  <c r="AO466" i="1"/>
  <c r="AN466" i="1"/>
  <c r="AM466" i="1"/>
  <c r="AL466" i="1"/>
  <c r="AK466" i="1"/>
  <c r="AJ466" i="1"/>
  <c r="AI466" i="1"/>
  <c r="AH466" i="1"/>
  <c r="AG466" i="1"/>
  <c r="AF466" i="1"/>
  <c r="AP465" i="1"/>
  <c r="AO465" i="1"/>
  <c r="AN465" i="1"/>
  <c r="AM465" i="1"/>
  <c r="AL465" i="1"/>
  <c r="AK465" i="1"/>
  <c r="AJ465" i="1"/>
  <c r="AI465" i="1"/>
  <c r="AH465" i="1"/>
  <c r="AG465" i="1"/>
  <c r="AF465" i="1"/>
  <c r="AP464" i="1"/>
  <c r="AO464" i="1"/>
  <c r="AN464" i="1"/>
  <c r="AM464" i="1"/>
  <c r="AL464" i="1"/>
  <c r="AK464" i="1"/>
  <c r="AJ464" i="1"/>
  <c r="AI464" i="1"/>
  <c r="AH464" i="1"/>
  <c r="AG464" i="1"/>
  <c r="AF464" i="1"/>
  <c r="AP463" i="1"/>
  <c r="AO463" i="1"/>
  <c r="AN463" i="1"/>
  <c r="AM463" i="1"/>
  <c r="AL463" i="1"/>
  <c r="AK463" i="1"/>
  <c r="AJ463" i="1"/>
  <c r="AI463" i="1"/>
  <c r="AH463" i="1"/>
  <c r="AG463" i="1"/>
  <c r="AF463" i="1"/>
  <c r="AP462" i="1"/>
  <c r="AO462" i="1"/>
  <c r="AN462" i="1"/>
  <c r="AM462" i="1"/>
  <c r="AL462" i="1"/>
  <c r="AK462" i="1"/>
  <c r="AJ462" i="1"/>
  <c r="AI462" i="1"/>
  <c r="AH462" i="1"/>
  <c r="AG462" i="1"/>
  <c r="AF462" i="1"/>
  <c r="AP461" i="1"/>
  <c r="AO461" i="1"/>
  <c r="AN461" i="1"/>
  <c r="AM461" i="1"/>
  <c r="AL461" i="1"/>
  <c r="AK461" i="1"/>
  <c r="AJ461" i="1"/>
  <c r="AI461" i="1"/>
  <c r="AH461" i="1"/>
  <c r="AG461" i="1"/>
  <c r="AF461" i="1"/>
  <c r="AP460" i="1"/>
  <c r="AO460" i="1"/>
  <c r="AN460" i="1"/>
  <c r="AM460" i="1"/>
  <c r="AL460" i="1"/>
  <c r="AK460" i="1"/>
  <c r="AJ460" i="1"/>
  <c r="AI460" i="1"/>
  <c r="AH460" i="1"/>
  <c r="AG460" i="1"/>
  <c r="AF460" i="1"/>
  <c r="AP459" i="1"/>
  <c r="AO459" i="1"/>
  <c r="AN459" i="1"/>
  <c r="AM459" i="1"/>
  <c r="AL459" i="1"/>
  <c r="AK459" i="1"/>
  <c r="AJ459" i="1"/>
  <c r="AI459" i="1"/>
  <c r="AH459" i="1"/>
  <c r="AG459" i="1"/>
  <c r="AF459" i="1"/>
  <c r="AP458" i="1"/>
  <c r="AO458" i="1"/>
  <c r="AN458" i="1"/>
  <c r="AM458" i="1"/>
  <c r="AL458" i="1"/>
  <c r="AK458" i="1"/>
  <c r="AJ458" i="1"/>
  <c r="AI458" i="1"/>
  <c r="AH458" i="1"/>
  <c r="AG458" i="1"/>
  <c r="AF458" i="1"/>
  <c r="AP457" i="1"/>
  <c r="AO457" i="1"/>
  <c r="AN457" i="1"/>
  <c r="AM457" i="1"/>
  <c r="AL457" i="1"/>
  <c r="AK457" i="1"/>
  <c r="AJ457" i="1"/>
  <c r="AI457" i="1"/>
  <c r="AH457" i="1"/>
  <c r="AG457" i="1"/>
  <c r="AF457" i="1"/>
  <c r="AP456" i="1"/>
  <c r="AO456" i="1"/>
  <c r="AN456" i="1"/>
  <c r="AM456" i="1"/>
  <c r="AL456" i="1"/>
  <c r="AK456" i="1"/>
  <c r="AJ456" i="1"/>
  <c r="AI456" i="1"/>
  <c r="AH456" i="1"/>
  <c r="AG456" i="1"/>
  <c r="AF456" i="1"/>
  <c r="AP455" i="1"/>
  <c r="AO455" i="1"/>
  <c r="AN455" i="1"/>
  <c r="AM455" i="1"/>
  <c r="AL455" i="1"/>
  <c r="AK455" i="1"/>
  <c r="AJ455" i="1"/>
  <c r="AI455" i="1"/>
  <c r="AH455" i="1"/>
  <c r="AG455" i="1"/>
  <c r="AF455" i="1"/>
  <c r="AP454" i="1"/>
  <c r="AO454" i="1"/>
  <c r="AN454" i="1"/>
  <c r="AM454" i="1"/>
  <c r="AL454" i="1"/>
  <c r="AK454" i="1"/>
  <c r="AJ454" i="1"/>
  <c r="AI454" i="1"/>
  <c r="AH454" i="1"/>
  <c r="AG454" i="1"/>
  <c r="AF454" i="1"/>
  <c r="AP453" i="1"/>
  <c r="AO453" i="1"/>
  <c r="AN453" i="1"/>
  <c r="AM453" i="1"/>
  <c r="AL453" i="1"/>
  <c r="AK453" i="1"/>
  <c r="AJ453" i="1"/>
  <c r="AI453" i="1"/>
  <c r="AH453" i="1"/>
  <c r="AG453" i="1"/>
  <c r="AF453" i="1"/>
  <c r="AP452" i="1"/>
  <c r="AO452" i="1"/>
  <c r="AN452" i="1"/>
  <c r="AM452" i="1"/>
  <c r="AL452" i="1"/>
  <c r="AK452" i="1"/>
  <c r="AJ452" i="1"/>
  <c r="AI452" i="1"/>
  <c r="AH452" i="1"/>
  <c r="AG452" i="1"/>
  <c r="AF452" i="1"/>
  <c r="AP451" i="1"/>
  <c r="AO451" i="1"/>
  <c r="AN451" i="1"/>
  <c r="AM451" i="1"/>
  <c r="AL451" i="1"/>
  <c r="AK451" i="1"/>
  <c r="AJ451" i="1"/>
  <c r="AI451" i="1"/>
  <c r="AH451" i="1"/>
  <c r="AG451" i="1"/>
  <c r="AF451" i="1"/>
  <c r="AP450" i="1"/>
  <c r="AO450" i="1"/>
  <c r="AN450" i="1"/>
  <c r="AM450" i="1"/>
  <c r="AL450" i="1"/>
  <c r="AK450" i="1"/>
  <c r="AJ450" i="1"/>
  <c r="AI450" i="1"/>
  <c r="AH450" i="1"/>
  <c r="AG450" i="1"/>
  <c r="AF450" i="1"/>
  <c r="AP449" i="1"/>
  <c r="AO449" i="1"/>
  <c r="AN449" i="1"/>
  <c r="AM449" i="1"/>
  <c r="AL449" i="1"/>
  <c r="AK449" i="1"/>
  <c r="AJ449" i="1"/>
  <c r="AI449" i="1"/>
  <c r="AH449" i="1"/>
  <c r="AG449" i="1"/>
  <c r="AF449" i="1"/>
  <c r="AP448" i="1"/>
  <c r="AO448" i="1"/>
  <c r="AN448" i="1"/>
  <c r="AM448" i="1"/>
  <c r="AL448" i="1"/>
  <c r="AK448" i="1"/>
  <c r="AJ448" i="1"/>
  <c r="AI448" i="1"/>
  <c r="AH448" i="1"/>
  <c r="AG448" i="1"/>
  <c r="AF448" i="1"/>
  <c r="AP447" i="1"/>
  <c r="AO447" i="1"/>
  <c r="AN447" i="1"/>
  <c r="AM447" i="1"/>
  <c r="AL447" i="1"/>
  <c r="AK447" i="1"/>
  <c r="AJ447" i="1"/>
  <c r="AI447" i="1"/>
  <c r="AH447" i="1"/>
  <c r="AG447" i="1"/>
  <c r="AF447" i="1"/>
  <c r="AP446" i="1"/>
  <c r="AO446" i="1"/>
  <c r="AN446" i="1"/>
  <c r="AM446" i="1"/>
  <c r="AL446" i="1"/>
  <c r="AK446" i="1"/>
  <c r="AJ446" i="1"/>
  <c r="AI446" i="1"/>
  <c r="AH446" i="1"/>
  <c r="AG446" i="1"/>
  <c r="AF446" i="1"/>
  <c r="AP445" i="1"/>
  <c r="AO445" i="1"/>
  <c r="AN445" i="1"/>
  <c r="AM445" i="1"/>
  <c r="AL445" i="1"/>
  <c r="AK445" i="1"/>
  <c r="AJ445" i="1"/>
  <c r="AI445" i="1"/>
  <c r="AH445" i="1"/>
  <c r="AG445" i="1"/>
  <c r="AF445" i="1"/>
  <c r="AP444" i="1"/>
  <c r="AO444" i="1"/>
  <c r="AN444" i="1"/>
  <c r="AM444" i="1"/>
  <c r="AL444" i="1"/>
  <c r="AK444" i="1"/>
  <c r="AJ444" i="1"/>
  <c r="AI444" i="1"/>
  <c r="AH444" i="1"/>
  <c r="AG444" i="1"/>
  <c r="AF444" i="1"/>
  <c r="AP443" i="1"/>
  <c r="AO443" i="1"/>
  <c r="AN443" i="1"/>
  <c r="AM443" i="1"/>
  <c r="AL443" i="1"/>
  <c r="AK443" i="1"/>
  <c r="AJ443" i="1"/>
  <c r="AI443" i="1"/>
  <c r="AH443" i="1"/>
  <c r="AG443" i="1"/>
  <c r="AF443" i="1"/>
  <c r="AP442" i="1"/>
  <c r="AO442" i="1"/>
  <c r="AN442" i="1"/>
  <c r="AM442" i="1"/>
  <c r="AL442" i="1"/>
  <c r="AK442" i="1"/>
  <c r="AJ442" i="1"/>
  <c r="AI442" i="1"/>
  <c r="AH442" i="1"/>
  <c r="AG442" i="1"/>
  <c r="AF442" i="1"/>
  <c r="AP441" i="1"/>
  <c r="AO441" i="1"/>
  <c r="AN441" i="1"/>
  <c r="AM441" i="1"/>
  <c r="AL441" i="1"/>
  <c r="AK441" i="1"/>
  <c r="AJ441" i="1"/>
  <c r="AI441" i="1"/>
  <c r="AH441" i="1"/>
  <c r="AG441" i="1"/>
  <c r="AF441" i="1"/>
  <c r="AP440" i="1"/>
  <c r="AO440" i="1"/>
  <c r="AN440" i="1"/>
  <c r="AM440" i="1"/>
  <c r="AL440" i="1"/>
  <c r="AK440" i="1"/>
  <c r="AJ440" i="1"/>
  <c r="AI440" i="1"/>
  <c r="AH440" i="1"/>
  <c r="AG440" i="1"/>
  <c r="AF440" i="1"/>
  <c r="AP439" i="1"/>
  <c r="AO439" i="1"/>
  <c r="AN439" i="1"/>
  <c r="AM439" i="1"/>
  <c r="AL439" i="1"/>
  <c r="AK439" i="1"/>
  <c r="AJ439" i="1"/>
  <c r="AI439" i="1"/>
  <c r="AH439" i="1"/>
  <c r="AG439" i="1"/>
  <c r="AF439" i="1"/>
  <c r="AP438" i="1"/>
  <c r="AO438" i="1"/>
  <c r="AN438" i="1"/>
  <c r="AM438" i="1"/>
  <c r="AL438" i="1"/>
  <c r="AK438" i="1"/>
  <c r="AJ438" i="1"/>
  <c r="AI438" i="1"/>
  <c r="AH438" i="1"/>
  <c r="AG438" i="1"/>
  <c r="AF438" i="1"/>
  <c r="AP437" i="1"/>
  <c r="AO437" i="1"/>
  <c r="AN437" i="1"/>
  <c r="AM437" i="1"/>
  <c r="AL437" i="1"/>
  <c r="AK437" i="1"/>
  <c r="AJ437" i="1"/>
  <c r="AI437" i="1"/>
  <c r="AH437" i="1"/>
  <c r="AG437" i="1"/>
  <c r="AF437" i="1"/>
  <c r="AP436" i="1"/>
  <c r="AO436" i="1"/>
  <c r="AN436" i="1"/>
  <c r="AM436" i="1"/>
  <c r="AL436" i="1"/>
  <c r="AK436" i="1"/>
  <c r="AJ436" i="1"/>
  <c r="AI436" i="1"/>
  <c r="AH436" i="1"/>
  <c r="AG436" i="1"/>
  <c r="AF436" i="1"/>
  <c r="AP435" i="1"/>
  <c r="AO435" i="1"/>
  <c r="AN435" i="1"/>
  <c r="AM435" i="1"/>
  <c r="AL435" i="1"/>
  <c r="AK435" i="1"/>
  <c r="AJ435" i="1"/>
  <c r="AI435" i="1"/>
  <c r="AH435" i="1"/>
  <c r="AG435" i="1"/>
  <c r="AF435" i="1"/>
  <c r="AP434" i="1"/>
  <c r="AO434" i="1"/>
  <c r="AN434" i="1"/>
  <c r="AM434" i="1"/>
  <c r="AL434" i="1"/>
  <c r="AK434" i="1"/>
  <c r="AJ434" i="1"/>
  <c r="AI434" i="1"/>
  <c r="AH434" i="1"/>
  <c r="AG434" i="1"/>
  <c r="AF434" i="1"/>
  <c r="AP433" i="1"/>
  <c r="AO433" i="1"/>
  <c r="AN433" i="1"/>
  <c r="AM433" i="1"/>
  <c r="AL433" i="1"/>
  <c r="AK433" i="1"/>
  <c r="AJ433" i="1"/>
  <c r="AI433" i="1"/>
  <c r="AH433" i="1"/>
  <c r="AG433" i="1"/>
  <c r="AF433" i="1"/>
  <c r="AP432" i="1"/>
  <c r="AO432" i="1"/>
  <c r="AN432" i="1"/>
  <c r="AM432" i="1"/>
  <c r="AL432" i="1"/>
  <c r="AK432" i="1"/>
  <c r="AJ432" i="1"/>
  <c r="AI432" i="1"/>
  <c r="AH432" i="1"/>
  <c r="AG432" i="1"/>
  <c r="AF432" i="1"/>
  <c r="AP431" i="1"/>
  <c r="AO431" i="1"/>
  <c r="AN431" i="1"/>
  <c r="AM431" i="1"/>
  <c r="AL431" i="1"/>
  <c r="AK431" i="1"/>
  <c r="AJ431" i="1"/>
  <c r="AI431" i="1"/>
  <c r="AH431" i="1"/>
  <c r="AG431" i="1"/>
  <c r="AF431" i="1"/>
  <c r="AP430" i="1"/>
  <c r="AO430" i="1"/>
  <c r="AN430" i="1"/>
  <c r="AM430" i="1"/>
  <c r="AL430" i="1"/>
  <c r="AK430" i="1"/>
  <c r="AJ430" i="1"/>
  <c r="AI430" i="1"/>
  <c r="AH430" i="1"/>
  <c r="AG430" i="1"/>
  <c r="AF430" i="1"/>
  <c r="AP429" i="1"/>
  <c r="AO429" i="1"/>
  <c r="AN429" i="1"/>
  <c r="AM429" i="1"/>
  <c r="AL429" i="1"/>
  <c r="AK429" i="1"/>
  <c r="AJ429" i="1"/>
  <c r="AI429" i="1"/>
  <c r="AH429" i="1"/>
  <c r="AG429" i="1"/>
  <c r="AF429" i="1"/>
  <c r="AP428" i="1"/>
  <c r="AO428" i="1"/>
  <c r="AN428" i="1"/>
  <c r="AM428" i="1"/>
  <c r="AL428" i="1"/>
  <c r="AK428" i="1"/>
  <c r="AJ428" i="1"/>
  <c r="AI428" i="1"/>
  <c r="AH428" i="1"/>
  <c r="AG428" i="1"/>
  <c r="AF428" i="1"/>
  <c r="AP427" i="1"/>
  <c r="AO427" i="1"/>
  <c r="AN427" i="1"/>
  <c r="AM427" i="1"/>
  <c r="AL427" i="1"/>
  <c r="AK427" i="1"/>
  <c r="AJ427" i="1"/>
  <c r="AI427" i="1"/>
  <c r="AH427" i="1"/>
  <c r="AG427" i="1"/>
  <c r="AF427" i="1"/>
  <c r="AP426" i="1"/>
  <c r="AO426" i="1"/>
  <c r="AN426" i="1"/>
  <c r="AM426" i="1"/>
  <c r="AL426" i="1"/>
  <c r="AK426" i="1"/>
  <c r="AJ426" i="1"/>
  <c r="AI426" i="1"/>
  <c r="AH426" i="1"/>
  <c r="AG426" i="1"/>
  <c r="AF426" i="1"/>
  <c r="AP425" i="1"/>
  <c r="AO425" i="1"/>
  <c r="AN425" i="1"/>
  <c r="AM425" i="1"/>
  <c r="AL425" i="1"/>
  <c r="AK425" i="1"/>
  <c r="AJ425" i="1"/>
  <c r="AI425" i="1"/>
  <c r="AH425" i="1"/>
  <c r="AG425" i="1"/>
  <c r="AF425" i="1"/>
  <c r="AP424" i="1"/>
  <c r="AO424" i="1"/>
  <c r="AN424" i="1"/>
  <c r="AM424" i="1"/>
  <c r="AL424" i="1"/>
  <c r="AK424" i="1"/>
  <c r="AJ424" i="1"/>
  <c r="AI424" i="1"/>
  <c r="AH424" i="1"/>
  <c r="AG424" i="1"/>
  <c r="AF424" i="1"/>
  <c r="AP423" i="1"/>
  <c r="AO423" i="1"/>
  <c r="AN423" i="1"/>
  <c r="AM423" i="1"/>
  <c r="AL423" i="1"/>
  <c r="AK423" i="1"/>
  <c r="AJ423" i="1"/>
  <c r="AI423" i="1"/>
  <c r="AH423" i="1"/>
  <c r="AG423" i="1"/>
  <c r="AF423" i="1"/>
  <c r="AP422" i="1"/>
  <c r="AO422" i="1"/>
  <c r="AN422" i="1"/>
  <c r="AM422" i="1"/>
  <c r="AL422" i="1"/>
  <c r="AK422" i="1"/>
  <c r="AJ422" i="1"/>
  <c r="AI422" i="1"/>
  <c r="AH422" i="1"/>
  <c r="AG422" i="1"/>
  <c r="AF422" i="1"/>
  <c r="AP421" i="1"/>
  <c r="AO421" i="1"/>
  <c r="AN421" i="1"/>
  <c r="AM421" i="1"/>
  <c r="AL421" i="1"/>
  <c r="AK421" i="1"/>
  <c r="AJ421" i="1"/>
  <c r="AI421" i="1"/>
  <c r="AH421" i="1"/>
  <c r="AG421" i="1"/>
  <c r="AF421" i="1"/>
  <c r="AP420" i="1"/>
  <c r="AO420" i="1"/>
  <c r="AN420" i="1"/>
  <c r="AM420" i="1"/>
  <c r="AL420" i="1"/>
  <c r="AK420" i="1"/>
  <c r="AJ420" i="1"/>
  <c r="AI420" i="1"/>
  <c r="AH420" i="1"/>
  <c r="AG420" i="1"/>
  <c r="AF420" i="1"/>
  <c r="AP419" i="1"/>
  <c r="AO419" i="1"/>
  <c r="AN419" i="1"/>
  <c r="AM419" i="1"/>
  <c r="AL419" i="1"/>
  <c r="AK419" i="1"/>
  <c r="AJ419" i="1"/>
  <c r="AI419" i="1"/>
  <c r="AH419" i="1"/>
  <c r="AG419" i="1"/>
  <c r="AF419" i="1"/>
  <c r="AP418" i="1"/>
  <c r="AO418" i="1"/>
  <c r="AN418" i="1"/>
  <c r="AM418" i="1"/>
  <c r="AL418" i="1"/>
  <c r="AK418" i="1"/>
  <c r="AJ418" i="1"/>
  <c r="AI418" i="1"/>
  <c r="AH418" i="1"/>
  <c r="AG418" i="1"/>
  <c r="AF418" i="1"/>
  <c r="AP417" i="1"/>
  <c r="AO417" i="1"/>
  <c r="AN417" i="1"/>
  <c r="AM417" i="1"/>
  <c r="AL417" i="1"/>
  <c r="AK417" i="1"/>
  <c r="AJ417" i="1"/>
  <c r="AI417" i="1"/>
  <c r="AH417" i="1"/>
  <c r="AG417" i="1"/>
  <c r="AF417" i="1"/>
  <c r="AP416" i="1"/>
  <c r="AO416" i="1"/>
  <c r="AN416" i="1"/>
  <c r="AM416" i="1"/>
  <c r="AL416" i="1"/>
  <c r="AK416" i="1"/>
  <c r="AJ416" i="1"/>
  <c r="AI416" i="1"/>
  <c r="AH416" i="1"/>
  <c r="AG416" i="1"/>
  <c r="AF416" i="1"/>
  <c r="AP415" i="1"/>
  <c r="AO415" i="1"/>
  <c r="AN415" i="1"/>
  <c r="AM415" i="1"/>
  <c r="AL415" i="1"/>
  <c r="AK415" i="1"/>
  <c r="AJ415" i="1"/>
  <c r="AI415" i="1"/>
  <c r="AH415" i="1"/>
  <c r="AG415" i="1"/>
  <c r="AF415" i="1"/>
  <c r="AP414" i="1"/>
  <c r="AO414" i="1"/>
  <c r="AN414" i="1"/>
  <c r="AM414" i="1"/>
  <c r="AL414" i="1"/>
  <c r="AK414" i="1"/>
  <c r="AJ414" i="1"/>
  <c r="AI414" i="1"/>
  <c r="AH414" i="1"/>
  <c r="AG414" i="1"/>
  <c r="AF414" i="1"/>
  <c r="AP413" i="1"/>
  <c r="AO413" i="1"/>
  <c r="AN413" i="1"/>
  <c r="AM413" i="1"/>
  <c r="AL413" i="1"/>
  <c r="AK413" i="1"/>
  <c r="AJ413" i="1"/>
  <c r="AI413" i="1"/>
  <c r="AH413" i="1"/>
  <c r="AG413" i="1"/>
  <c r="AF413" i="1"/>
  <c r="AP412" i="1"/>
  <c r="AO412" i="1"/>
  <c r="AN412" i="1"/>
  <c r="AM412" i="1"/>
  <c r="AL412" i="1"/>
  <c r="AK412" i="1"/>
  <c r="AJ412" i="1"/>
  <c r="AI412" i="1"/>
  <c r="AH412" i="1"/>
  <c r="AG412" i="1"/>
  <c r="AF412" i="1"/>
  <c r="AP411" i="1"/>
  <c r="AO411" i="1"/>
  <c r="AN411" i="1"/>
  <c r="AM411" i="1"/>
  <c r="AL411" i="1"/>
  <c r="AK411" i="1"/>
  <c r="AJ411" i="1"/>
  <c r="AI411" i="1"/>
  <c r="AH411" i="1"/>
  <c r="AG411" i="1"/>
  <c r="AF411" i="1"/>
  <c r="AP410" i="1"/>
  <c r="AO410" i="1"/>
  <c r="AN410" i="1"/>
  <c r="AM410" i="1"/>
  <c r="AL410" i="1"/>
  <c r="AK410" i="1"/>
  <c r="AJ410" i="1"/>
  <c r="AI410" i="1"/>
  <c r="AH410" i="1"/>
  <c r="AG410" i="1"/>
  <c r="AF410" i="1"/>
  <c r="AP409" i="1"/>
  <c r="AO409" i="1"/>
  <c r="AN409" i="1"/>
  <c r="AM409" i="1"/>
  <c r="AL409" i="1"/>
  <c r="AK409" i="1"/>
  <c r="AJ409" i="1"/>
  <c r="AI409" i="1"/>
  <c r="AH409" i="1"/>
  <c r="AG409" i="1"/>
  <c r="AF409" i="1"/>
  <c r="AP408" i="1"/>
  <c r="AO408" i="1"/>
  <c r="AN408" i="1"/>
  <c r="AM408" i="1"/>
  <c r="AL408" i="1"/>
  <c r="AK408" i="1"/>
  <c r="AJ408" i="1"/>
  <c r="AI408" i="1"/>
  <c r="AH408" i="1"/>
  <c r="AG408" i="1"/>
  <c r="AF408" i="1"/>
  <c r="AP407" i="1"/>
  <c r="AO407" i="1"/>
  <c r="AN407" i="1"/>
  <c r="AM407" i="1"/>
  <c r="AL407" i="1"/>
  <c r="AK407" i="1"/>
  <c r="AJ407" i="1"/>
  <c r="AI407" i="1"/>
  <c r="AH407" i="1"/>
  <c r="AG407" i="1"/>
  <c r="AF407" i="1"/>
  <c r="AP406" i="1"/>
  <c r="AO406" i="1"/>
  <c r="AN406" i="1"/>
  <c r="AM406" i="1"/>
  <c r="AL406" i="1"/>
  <c r="AK406" i="1"/>
  <c r="AJ406" i="1"/>
  <c r="AI406" i="1"/>
  <c r="AH406" i="1"/>
  <c r="AG406" i="1"/>
  <c r="AF406" i="1"/>
  <c r="AP405" i="1"/>
  <c r="AO405" i="1"/>
  <c r="AN405" i="1"/>
  <c r="AM405" i="1"/>
  <c r="AL405" i="1"/>
  <c r="AK405" i="1"/>
  <c r="AJ405" i="1"/>
  <c r="AI405" i="1"/>
  <c r="AH405" i="1"/>
  <c r="AG405" i="1"/>
  <c r="AF405" i="1"/>
  <c r="AP404" i="1"/>
  <c r="AO404" i="1"/>
  <c r="AN404" i="1"/>
  <c r="AM404" i="1"/>
  <c r="AL404" i="1"/>
  <c r="AK404" i="1"/>
  <c r="AJ404" i="1"/>
  <c r="AI404" i="1"/>
  <c r="AH404" i="1"/>
  <c r="AG404" i="1"/>
  <c r="AF404" i="1"/>
  <c r="AP403" i="1"/>
  <c r="AO403" i="1"/>
  <c r="AN403" i="1"/>
  <c r="AM403" i="1"/>
  <c r="AL403" i="1"/>
  <c r="AK403" i="1"/>
  <c r="AJ403" i="1"/>
  <c r="AI403" i="1"/>
  <c r="AH403" i="1"/>
  <c r="AG403" i="1"/>
  <c r="AF403" i="1"/>
  <c r="AP402" i="1"/>
  <c r="AO402" i="1"/>
  <c r="AN402" i="1"/>
  <c r="AM402" i="1"/>
  <c r="AL402" i="1"/>
  <c r="AK402" i="1"/>
  <c r="AJ402" i="1"/>
  <c r="AI402" i="1"/>
  <c r="AH402" i="1"/>
  <c r="AG402" i="1"/>
  <c r="AF402" i="1"/>
  <c r="AP401" i="1"/>
  <c r="AO401" i="1"/>
  <c r="AN401" i="1"/>
  <c r="AM401" i="1"/>
  <c r="AL401" i="1"/>
  <c r="AK401" i="1"/>
  <c r="AJ401" i="1"/>
  <c r="AI401" i="1"/>
  <c r="AH401" i="1"/>
  <c r="AG401" i="1"/>
  <c r="AF401" i="1"/>
  <c r="AP400" i="1"/>
  <c r="AO400" i="1"/>
  <c r="AN400" i="1"/>
  <c r="AM400" i="1"/>
  <c r="AL400" i="1"/>
  <c r="AK400" i="1"/>
  <c r="AJ400" i="1"/>
  <c r="AI400" i="1"/>
  <c r="AH400" i="1"/>
  <c r="AG400" i="1"/>
  <c r="AF400" i="1"/>
  <c r="AP399" i="1"/>
  <c r="AO399" i="1"/>
  <c r="AN399" i="1"/>
  <c r="AM399" i="1"/>
  <c r="AL399" i="1"/>
  <c r="AK399" i="1"/>
  <c r="AJ399" i="1"/>
  <c r="AI399" i="1"/>
  <c r="AH399" i="1"/>
  <c r="AG399" i="1"/>
  <c r="AF399" i="1"/>
  <c r="AP398" i="1"/>
  <c r="AO398" i="1"/>
  <c r="AN398" i="1"/>
  <c r="AM398" i="1"/>
  <c r="AL398" i="1"/>
  <c r="AK398" i="1"/>
  <c r="AJ398" i="1"/>
  <c r="AI398" i="1"/>
  <c r="AH398" i="1"/>
  <c r="AG398" i="1"/>
  <c r="AF398" i="1"/>
  <c r="AP397" i="1"/>
  <c r="AO397" i="1"/>
  <c r="AN397" i="1"/>
  <c r="AM397" i="1"/>
  <c r="AL397" i="1"/>
  <c r="AK397" i="1"/>
  <c r="AJ397" i="1"/>
  <c r="AI397" i="1"/>
  <c r="AH397" i="1"/>
  <c r="AG397" i="1"/>
  <c r="AF397" i="1"/>
  <c r="AP396" i="1"/>
  <c r="AO396" i="1"/>
  <c r="AN396" i="1"/>
  <c r="AM396" i="1"/>
  <c r="AL396" i="1"/>
  <c r="AK396" i="1"/>
  <c r="AJ396" i="1"/>
  <c r="AI396" i="1"/>
  <c r="AH396" i="1"/>
  <c r="AG396" i="1"/>
  <c r="AF396" i="1"/>
  <c r="AP395" i="1"/>
  <c r="AO395" i="1"/>
  <c r="AN395" i="1"/>
  <c r="AM395" i="1"/>
  <c r="AL395" i="1"/>
  <c r="AK395" i="1"/>
  <c r="AJ395" i="1"/>
  <c r="AI395" i="1"/>
  <c r="AH395" i="1"/>
  <c r="AG395" i="1"/>
  <c r="AF395" i="1"/>
  <c r="AP394" i="1"/>
  <c r="AO394" i="1"/>
  <c r="AN394" i="1"/>
  <c r="AM394" i="1"/>
  <c r="AL394" i="1"/>
  <c r="AK394" i="1"/>
  <c r="AJ394" i="1"/>
  <c r="AI394" i="1"/>
  <c r="AH394" i="1"/>
  <c r="AG394" i="1"/>
  <c r="AF394" i="1"/>
  <c r="AP393" i="1"/>
  <c r="AO393" i="1"/>
  <c r="AN393" i="1"/>
  <c r="AM393" i="1"/>
  <c r="AL393" i="1"/>
  <c r="AK393" i="1"/>
  <c r="AJ393" i="1"/>
  <c r="AI393" i="1"/>
  <c r="AH393" i="1"/>
  <c r="AG393" i="1"/>
  <c r="AF393" i="1"/>
  <c r="AP392" i="1"/>
  <c r="AO392" i="1"/>
  <c r="AN392" i="1"/>
  <c r="AM392" i="1"/>
  <c r="AL392" i="1"/>
  <c r="AK392" i="1"/>
  <c r="AJ392" i="1"/>
  <c r="AI392" i="1"/>
  <c r="AH392" i="1"/>
  <c r="AG392" i="1"/>
  <c r="AF392" i="1"/>
  <c r="AP391" i="1"/>
  <c r="AO391" i="1"/>
  <c r="AN391" i="1"/>
  <c r="AM391" i="1"/>
  <c r="AL391" i="1"/>
  <c r="AK391" i="1"/>
  <c r="AJ391" i="1"/>
  <c r="AI391" i="1"/>
  <c r="AH391" i="1"/>
  <c r="AG391" i="1"/>
  <c r="AF391" i="1"/>
  <c r="AP390" i="1"/>
  <c r="AO390" i="1"/>
  <c r="AN390" i="1"/>
  <c r="AM390" i="1"/>
  <c r="AL390" i="1"/>
  <c r="AK390" i="1"/>
  <c r="AJ390" i="1"/>
  <c r="AI390" i="1"/>
  <c r="AH390" i="1"/>
  <c r="AG390" i="1"/>
  <c r="AF390" i="1"/>
  <c r="AP389" i="1"/>
  <c r="AO389" i="1"/>
  <c r="AN389" i="1"/>
  <c r="AM389" i="1"/>
  <c r="AL389" i="1"/>
  <c r="AK389" i="1"/>
  <c r="AJ389" i="1"/>
  <c r="AI389" i="1"/>
  <c r="AH389" i="1"/>
  <c r="AG389" i="1"/>
  <c r="AF389" i="1"/>
  <c r="AP388" i="1"/>
  <c r="AO388" i="1"/>
  <c r="AN388" i="1"/>
  <c r="AM388" i="1"/>
  <c r="AL388" i="1"/>
  <c r="AK388" i="1"/>
  <c r="AJ388" i="1"/>
  <c r="AI388" i="1"/>
  <c r="AH388" i="1"/>
  <c r="AG388" i="1"/>
  <c r="AF388" i="1"/>
  <c r="AP387" i="1"/>
  <c r="AO387" i="1"/>
  <c r="AN387" i="1"/>
  <c r="AM387" i="1"/>
  <c r="AL387" i="1"/>
  <c r="AK387" i="1"/>
  <c r="AJ387" i="1"/>
  <c r="AI387" i="1"/>
  <c r="AH387" i="1"/>
  <c r="AG387" i="1"/>
  <c r="AF387" i="1"/>
  <c r="AP386" i="1"/>
  <c r="AO386" i="1"/>
  <c r="AN386" i="1"/>
  <c r="AM386" i="1"/>
  <c r="AL386" i="1"/>
  <c r="AK386" i="1"/>
  <c r="AJ386" i="1"/>
  <c r="AI386" i="1"/>
  <c r="AH386" i="1"/>
  <c r="AG386" i="1"/>
  <c r="AF386" i="1"/>
  <c r="AP385" i="1"/>
  <c r="AO385" i="1"/>
  <c r="AN385" i="1"/>
  <c r="AM385" i="1"/>
  <c r="AL385" i="1"/>
  <c r="AK385" i="1"/>
  <c r="AJ385" i="1"/>
  <c r="AI385" i="1"/>
  <c r="AH385" i="1"/>
  <c r="AG385" i="1"/>
  <c r="AF385" i="1"/>
  <c r="AP384" i="1"/>
  <c r="AO384" i="1"/>
  <c r="AN384" i="1"/>
  <c r="AM384" i="1"/>
  <c r="AL384" i="1"/>
  <c r="AK384" i="1"/>
  <c r="AJ384" i="1"/>
  <c r="AI384" i="1"/>
  <c r="AH384" i="1"/>
  <c r="AG384" i="1"/>
  <c r="AF384" i="1"/>
  <c r="AP383" i="1"/>
  <c r="AO383" i="1"/>
  <c r="AN383" i="1"/>
  <c r="AM383" i="1"/>
  <c r="AL383" i="1"/>
  <c r="AK383" i="1"/>
  <c r="AJ383" i="1"/>
  <c r="AI383" i="1"/>
  <c r="AH383" i="1"/>
  <c r="AG383" i="1"/>
  <c r="AF383" i="1"/>
  <c r="AP382" i="1"/>
  <c r="AO382" i="1"/>
  <c r="AN382" i="1"/>
  <c r="AM382" i="1"/>
  <c r="AL382" i="1"/>
  <c r="AK382" i="1"/>
  <c r="AJ382" i="1"/>
  <c r="AI382" i="1"/>
  <c r="AH382" i="1"/>
  <c r="AG382" i="1"/>
  <c r="AF382" i="1"/>
  <c r="AP381" i="1"/>
  <c r="AO381" i="1"/>
  <c r="AN381" i="1"/>
  <c r="AM381" i="1"/>
  <c r="AL381" i="1"/>
  <c r="AK381" i="1"/>
  <c r="AJ381" i="1"/>
  <c r="AI381" i="1"/>
  <c r="AH381" i="1"/>
  <c r="AG381" i="1"/>
  <c r="AF381" i="1"/>
  <c r="AP380" i="1"/>
  <c r="AO380" i="1"/>
  <c r="AN380" i="1"/>
  <c r="AM380" i="1"/>
  <c r="AL380" i="1"/>
  <c r="AK380" i="1"/>
  <c r="AJ380" i="1"/>
  <c r="AI380" i="1"/>
  <c r="AH380" i="1"/>
  <c r="AG380" i="1"/>
  <c r="AF380" i="1"/>
  <c r="AP379" i="1"/>
  <c r="AO379" i="1"/>
  <c r="AN379" i="1"/>
  <c r="AM379" i="1"/>
  <c r="AL379" i="1"/>
  <c r="AK379" i="1"/>
  <c r="AJ379" i="1"/>
  <c r="AI379" i="1"/>
  <c r="AH379" i="1"/>
  <c r="AG379" i="1"/>
  <c r="AF379" i="1"/>
  <c r="AP378" i="1"/>
  <c r="AO378" i="1"/>
  <c r="AN378" i="1"/>
  <c r="AM378" i="1"/>
  <c r="AL378" i="1"/>
  <c r="AK378" i="1"/>
  <c r="AJ378" i="1"/>
  <c r="AI378" i="1"/>
  <c r="AH378" i="1"/>
  <c r="AG378" i="1"/>
  <c r="AF378" i="1"/>
  <c r="AP377" i="1"/>
  <c r="AO377" i="1"/>
  <c r="AN377" i="1"/>
  <c r="AM377" i="1"/>
  <c r="AL377" i="1"/>
  <c r="AK377" i="1"/>
  <c r="AJ377" i="1"/>
  <c r="AI377" i="1"/>
  <c r="AH377" i="1"/>
  <c r="AG377" i="1"/>
  <c r="AF377" i="1"/>
  <c r="AP376" i="1"/>
  <c r="AO376" i="1"/>
  <c r="AN376" i="1"/>
  <c r="AM376" i="1"/>
  <c r="AL376" i="1"/>
  <c r="AK376" i="1"/>
  <c r="AJ376" i="1"/>
  <c r="AI376" i="1"/>
  <c r="AH376" i="1"/>
  <c r="AG376" i="1"/>
  <c r="AF376" i="1"/>
  <c r="AP375" i="1"/>
  <c r="AO375" i="1"/>
  <c r="AN375" i="1"/>
  <c r="AM375" i="1"/>
  <c r="AL375" i="1"/>
  <c r="AK375" i="1"/>
  <c r="AJ375" i="1"/>
  <c r="AI375" i="1"/>
  <c r="AH375" i="1"/>
  <c r="AG375" i="1"/>
  <c r="AF375" i="1"/>
  <c r="AP374" i="1"/>
  <c r="AO374" i="1"/>
  <c r="AN374" i="1"/>
  <c r="AM374" i="1"/>
  <c r="AL374" i="1"/>
  <c r="AK374" i="1"/>
  <c r="AJ374" i="1"/>
  <c r="AI374" i="1"/>
  <c r="AH374" i="1"/>
  <c r="AG374" i="1"/>
  <c r="AF374" i="1"/>
  <c r="AP373" i="1"/>
  <c r="AO373" i="1"/>
  <c r="AN373" i="1"/>
  <c r="AM373" i="1"/>
  <c r="AL373" i="1"/>
  <c r="AK373" i="1"/>
  <c r="AJ373" i="1"/>
  <c r="AI373" i="1"/>
  <c r="AH373" i="1"/>
  <c r="AG373" i="1"/>
  <c r="AF373" i="1"/>
  <c r="AP372" i="1"/>
  <c r="AO372" i="1"/>
  <c r="AN372" i="1"/>
  <c r="AM372" i="1"/>
  <c r="AL372" i="1"/>
  <c r="AK372" i="1"/>
  <c r="AJ372" i="1"/>
  <c r="AI372" i="1"/>
  <c r="AH372" i="1"/>
  <c r="AG372" i="1"/>
  <c r="AF372" i="1"/>
  <c r="AP371" i="1"/>
  <c r="AO371" i="1"/>
  <c r="AN371" i="1"/>
  <c r="AM371" i="1"/>
  <c r="AL371" i="1"/>
  <c r="AK371" i="1"/>
  <c r="AJ371" i="1"/>
  <c r="AI371" i="1"/>
  <c r="AH371" i="1"/>
  <c r="AG371" i="1"/>
  <c r="AF371" i="1"/>
  <c r="AP370" i="1"/>
  <c r="AO370" i="1"/>
  <c r="AN370" i="1"/>
  <c r="AM370" i="1"/>
  <c r="AL370" i="1"/>
  <c r="AK370" i="1"/>
  <c r="AJ370" i="1"/>
  <c r="AI370" i="1"/>
  <c r="AH370" i="1"/>
  <c r="AG370" i="1"/>
  <c r="AF370" i="1"/>
  <c r="AP369" i="1"/>
  <c r="AO369" i="1"/>
  <c r="AN369" i="1"/>
  <c r="AM369" i="1"/>
  <c r="AL369" i="1"/>
  <c r="AK369" i="1"/>
  <c r="AJ369" i="1"/>
  <c r="AI369" i="1"/>
  <c r="AH369" i="1"/>
  <c r="AG369" i="1"/>
  <c r="AF369" i="1"/>
  <c r="AP368" i="1"/>
  <c r="AO368" i="1"/>
  <c r="AN368" i="1"/>
  <c r="AM368" i="1"/>
  <c r="AL368" i="1"/>
  <c r="AK368" i="1"/>
  <c r="AJ368" i="1"/>
  <c r="AI368" i="1"/>
  <c r="AH368" i="1"/>
  <c r="AG368" i="1"/>
  <c r="AF368" i="1"/>
  <c r="AP367" i="1"/>
  <c r="AO367" i="1"/>
  <c r="AN367" i="1"/>
  <c r="AM367" i="1"/>
  <c r="AL367" i="1"/>
  <c r="AK367" i="1"/>
  <c r="AJ367" i="1"/>
  <c r="AI367" i="1"/>
  <c r="AH367" i="1"/>
  <c r="AG367" i="1"/>
  <c r="AF367" i="1"/>
  <c r="AP366" i="1"/>
  <c r="AO366" i="1"/>
  <c r="AN366" i="1"/>
  <c r="AM366" i="1"/>
  <c r="AL366" i="1"/>
  <c r="AK366" i="1"/>
  <c r="AJ366" i="1"/>
  <c r="AI366" i="1"/>
  <c r="AH366" i="1"/>
  <c r="AG366" i="1"/>
  <c r="AF366" i="1"/>
  <c r="AP365" i="1"/>
  <c r="AO365" i="1"/>
  <c r="AN365" i="1"/>
  <c r="AM365" i="1"/>
  <c r="AL365" i="1"/>
  <c r="AK365" i="1"/>
  <c r="AJ365" i="1"/>
  <c r="AI365" i="1"/>
  <c r="AH365" i="1"/>
  <c r="AG365" i="1"/>
  <c r="AF365" i="1"/>
  <c r="AP364" i="1"/>
  <c r="AO364" i="1"/>
  <c r="AN364" i="1"/>
  <c r="AM364" i="1"/>
  <c r="AL364" i="1"/>
  <c r="AK364" i="1"/>
  <c r="AJ364" i="1"/>
  <c r="AI364" i="1"/>
  <c r="AH364" i="1"/>
  <c r="AG364" i="1"/>
  <c r="AF364" i="1"/>
  <c r="AP363" i="1"/>
  <c r="AO363" i="1"/>
  <c r="AN363" i="1"/>
  <c r="AM363" i="1"/>
  <c r="AL363" i="1"/>
  <c r="AK363" i="1"/>
  <c r="AJ363" i="1"/>
  <c r="AI363" i="1"/>
  <c r="AH363" i="1"/>
  <c r="AG363" i="1"/>
  <c r="AF363" i="1"/>
  <c r="AP362" i="1"/>
  <c r="AO362" i="1"/>
  <c r="AN362" i="1"/>
  <c r="AM362" i="1"/>
  <c r="AL362" i="1"/>
  <c r="AK362" i="1"/>
  <c r="AJ362" i="1"/>
  <c r="AI362" i="1"/>
  <c r="AH362" i="1"/>
  <c r="AG362" i="1"/>
  <c r="AF362" i="1"/>
  <c r="AP361" i="1"/>
  <c r="AO361" i="1"/>
  <c r="AN361" i="1"/>
  <c r="AM361" i="1"/>
  <c r="AL361" i="1"/>
  <c r="AK361" i="1"/>
  <c r="AJ361" i="1"/>
  <c r="AI361" i="1"/>
  <c r="AH361" i="1"/>
  <c r="AG361" i="1"/>
  <c r="AF361" i="1"/>
  <c r="AP360" i="1"/>
  <c r="AO360" i="1"/>
  <c r="AN360" i="1"/>
  <c r="AM360" i="1"/>
  <c r="AL360" i="1"/>
  <c r="AK360" i="1"/>
  <c r="AJ360" i="1"/>
  <c r="AI360" i="1"/>
  <c r="AH360" i="1"/>
  <c r="AG360" i="1"/>
  <c r="AF360" i="1"/>
  <c r="AP359" i="1"/>
  <c r="AO359" i="1"/>
  <c r="AN359" i="1"/>
  <c r="AM359" i="1"/>
  <c r="AL359" i="1"/>
  <c r="AK359" i="1"/>
  <c r="AJ359" i="1"/>
  <c r="AI359" i="1"/>
  <c r="AH359" i="1"/>
  <c r="AG359" i="1"/>
  <c r="AF359" i="1"/>
  <c r="AP358" i="1"/>
  <c r="AO358" i="1"/>
  <c r="AN358" i="1"/>
  <c r="AM358" i="1"/>
  <c r="AL358" i="1"/>
  <c r="AK358" i="1"/>
  <c r="AJ358" i="1"/>
  <c r="AI358" i="1"/>
  <c r="AH358" i="1"/>
  <c r="AG358" i="1"/>
  <c r="AF358" i="1"/>
  <c r="AP357" i="1"/>
  <c r="AO357" i="1"/>
  <c r="AN357" i="1"/>
  <c r="AM357" i="1"/>
  <c r="AL357" i="1"/>
  <c r="AK357" i="1"/>
  <c r="AJ357" i="1"/>
  <c r="AI357" i="1"/>
  <c r="AH357" i="1"/>
  <c r="AG357" i="1"/>
  <c r="AF357" i="1"/>
  <c r="AP356" i="1"/>
  <c r="AO356" i="1"/>
  <c r="AN356" i="1"/>
  <c r="AM356" i="1"/>
  <c r="AL356" i="1"/>
  <c r="AK356" i="1"/>
  <c r="AJ356" i="1"/>
  <c r="AI356" i="1"/>
  <c r="AH356" i="1"/>
  <c r="AG356" i="1"/>
  <c r="AF356" i="1"/>
  <c r="AP355" i="1"/>
  <c r="AO355" i="1"/>
  <c r="AN355" i="1"/>
  <c r="AM355" i="1"/>
  <c r="AL355" i="1"/>
  <c r="AK355" i="1"/>
  <c r="AJ355" i="1"/>
  <c r="AI355" i="1"/>
  <c r="AH355" i="1"/>
  <c r="AG355" i="1"/>
  <c r="AF355" i="1"/>
  <c r="AP354" i="1"/>
  <c r="AO354" i="1"/>
  <c r="AN354" i="1"/>
  <c r="AM354" i="1"/>
  <c r="AL354" i="1"/>
  <c r="AK354" i="1"/>
  <c r="AJ354" i="1"/>
  <c r="AI354" i="1"/>
  <c r="AH354" i="1"/>
  <c r="AG354" i="1"/>
  <c r="AF354" i="1"/>
  <c r="AP353" i="1"/>
  <c r="AO353" i="1"/>
  <c r="AN353" i="1"/>
  <c r="AM353" i="1"/>
  <c r="AL353" i="1"/>
  <c r="AK353" i="1"/>
  <c r="AJ353" i="1"/>
  <c r="AI353" i="1"/>
  <c r="AH353" i="1"/>
  <c r="AG353" i="1"/>
  <c r="AF353" i="1"/>
  <c r="AP352" i="1"/>
  <c r="AO352" i="1"/>
  <c r="AN352" i="1"/>
  <c r="AM352" i="1"/>
  <c r="AL352" i="1"/>
  <c r="AK352" i="1"/>
  <c r="AJ352" i="1"/>
  <c r="AI352" i="1"/>
  <c r="AH352" i="1"/>
  <c r="AG352" i="1"/>
  <c r="AF352" i="1"/>
  <c r="AP351" i="1"/>
  <c r="AO351" i="1"/>
  <c r="AN351" i="1"/>
  <c r="AM351" i="1"/>
  <c r="AL351" i="1"/>
  <c r="AK351" i="1"/>
  <c r="AJ351" i="1"/>
  <c r="AI351" i="1"/>
  <c r="AH351" i="1"/>
  <c r="AG351" i="1"/>
  <c r="AF351" i="1"/>
  <c r="AP350" i="1"/>
  <c r="AO350" i="1"/>
  <c r="AN350" i="1"/>
  <c r="AM350" i="1"/>
  <c r="AL350" i="1"/>
  <c r="AK350" i="1"/>
  <c r="AJ350" i="1"/>
  <c r="AI350" i="1"/>
  <c r="AH350" i="1"/>
  <c r="AG350" i="1"/>
  <c r="AF350" i="1"/>
  <c r="AP349" i="1"/>
  <c r="AO349" i="1"/>
  <c r="AN349" i="1"/>
  <c r="AM349" i="1"/>
  <c r="AL349" i="1"/>
  <c r="AK349" i="1"/>
  <c r="AJ349" i="1"/>
  <c r="AI349" i="1"/>
  <c r="AH349" i="1"/>
  <c r="AG349" i="1"/>
  <c r="AF349" i="1"/>
  <c r="AP348" i="1"/>
  <c r="AO348" i="1"/>
  <c r="AN348" i="1"/>
  <c r="AM348" i="1"/>
  <c r="AL348" i="1"/>
  <c r="AK348" i="1"/>
  <c r="AJ348" i="1"/>
  <c r="AI348" i="1"/>
  <c r="AH348" i="1"/>
  <c r="AG348" i="1"/>
  <c r="AF348" i="1"/>
  <c r="AP347" i="1"/>
  <c r="AO347" i="1"/>
  <c r="AN347" i="1"/>
  <c r="AM347" i="1"/>
  <c r="AL347" i="1"/>
  <c r="AK347" i="1"/>
  <c r="AJ347" i="1"/>
  <c r="AI347" i="1"/>
  <c r="AH347" i="1"/>
  <c r="AG347" i="1"/>
  <c r="AF347" i="1"/>
  <c r="AP346" i="1"/>
  <c r="AO346" i="1"/>
  <c r="AN346" i="1"/>
  <c r="AM346" i="1"/>
  <c r="AL346" i="1"/>
  <c r="AK346" i="1"/>
  <c r="AJ346" i="1"/>
  <c r="AI346" i="1"/>
  <c r="AH346" i="1"/>
  <c r="AG346" i="1"/>
  <c r="AF346" i="1"/>
  <c r="AP345" i="1"/>
  <c r="AO345" i="1"/>
  <c r="AN345" i="1"/>
  <c r="AM345" i="1"/>
  <c r="AL345" i="1"/>
  <c r="AK345" i="1"/>
  <c r="AJ345" i="1"/>
  <c r="AI345" i="1"/>
  <c r="AH345" i="1"/>
  <c r="AG345" i="1"/>
  <c r="AF345" i="1"/>
  <c r="AP344" i="1"/>
  <c r="AO344" i="1"/>
  <c r="AN344" i="1"/>
  <c r="AM344" i="1"/>
  <c r="AL344" i="1"/>
  <c r="AK344" i="1"/>
  <c r="AJ344" i="1"/>
  <c r="AI344" i="1"/>
  <c r="AH344" i="1"/>
  <c r="AG344" i="1"/>
  <c r="AF344" i="1"/>
  <c r="AP343" i="1"/>
  <c r="AO343" i="1"/>
  <c r="AN343" i="1"/>
  <c r="AM343" i="1"/>
  <c r="AL343" i="1"/>
  <c r="AK343" i="1"/>
  <c r="AJ343" i="1"/>
  <c r="AI343" i="1"/>
  <c r="AH343" i="1"/>
  <c r="AG343" i="1"/>
  <c r="AF343" i="1"/>
  <c r="AP342" i="1"/>
  <c r="AO342" i="1"/>
  <c r="AN342" i="1"/>
  <c r="AM342" i="1"/>
  <c r="AL342" i="1"/>
  <c r="AK342" i="1"/>
  <c r="AJ342" i="1"/>
  <c r="AI342" i="1"/>
  <c r="AH342" i="1"/>
  <c r="AG342" i="1"/>
  <c r="AF342" i="1"/>
  <c r="AP341" i="1"/>
  <c r="AO341" i="1"/>
  <c r="AN341" i="1"/>
  <c r="AM341" i="1"/>
  <c r="AL341" i="1"/>
  <c r="AK341" i="1"/>
  <c r="AJ341" i="1"/>
  <c r="AI341" i="1"/>
  <c r="AH341" i="1"/>
  <c r="AG341" i="1"/>
  <c r="AF341" i="1"/>
  <c r="AP340" i="1"/>
  <c r="AO340" i="1"/>
  <c r="AN340" i="1"/>
  <c r="AM340" i="1"/>
  <c r="AL340" i="1"/>
  <c r="AK340" i="1"/>
  <c r="AJ340" i="1"/>
  <c r="AI340" i="1"/>
  <c r="AH340" i="1"/>
  <c r="AG340" i="1"/>
  <c r="AF340" i="1"/>
  <c r="AP339" i="1"/>
  <c r="AO339" i="1"/>
  <c r="AN339" i="1"/>
  <c r="AM339" i="1"/>
  <c r="AL339" i="1"/>
  <c r="AK339" i="1"/>
  <c r="AJ339" i="1"/>
  <c r="AI339" i="1"/>
  <c r="AH339" i="1"/>
  <c r="AG339" i="1"/>
  <c r="AF339" i="1"/>
  <c r="AP338" i="1"/>
  <c r="AO338" i="1"/>
  <c r="AN338" i="1"/>
  <c r="AM338" i="1"/>
  <c r="AL338" i="1"/>
  <c r="AK338" i="1"/>
  <c r="AJ338" i="1"/>
  <c r="AI338" i="1"/>
  <c r="AH338" i="1"/>
  <c r="AG338" i="1"/>
  <c r="AF338" i="1"/>
  <c r="AP337" i="1"/>
  <c r="AO337" i="1"/>
  <c r="AN337" i="1"/>
  <c r="AM337" i="1"/>
  <c r="AL337" i="1"/>
  <c r="AK337" i="1"/>
  <c r="AJ337" i="1"/>
  <c r="AI337" i="1"/>
  <c r="AH337" i="1"/>
  <c r="AG337" i="1"/>
  <c r="AF337" i="1"/>
  <c r="AP336" i="1"/>
  <c r="AO336" i="1"/>
  <c r="AN336" i="1"/>
  <c r="AM336" i="1"/>
  <c r="AL336" i="1"/>
  <c r="AK336" i="1"/>
  <c r="AJ336" i="1"/>
  <c r="AI336" i="1"/>
  <c r="AH336" i="1"/>
  <c r="AG336" i="1"/>
  <c r="AF336" i="1"/>
  <c r="AP335" i="1"/>
  <c r="AO335" i="1"/>
  <c r="AN335" i="1"/>
  <c r="AM335" i="1"/>
  <c r="AL335" i="1"/>
  <c r="AK335" i="1"/>
  <c r="AJ335" i="1"/>
  <c r="AI335" i="1"/>
  <c r="AH335" i="1"/>
  <c r="AG335" i="1"/>
  <c r="AF335" i="1"/>
  <c r="AP334" i="1"/>
  <c r="AO334" i="1"/>
  <c r="AN334" i="1"/>
  <c r="AM334" i="1"/>
  <c r="AL334" i="1"/>
  <c r="AK334" i="1"/>
  <c r="AJ334" i="1"/>
  <c r="AI334" i="1"/>
  <c r="AH334" i="1"/>
  <c r="AG334" i="1"/>
  <c r="AF334" i="1"/>
  <c r="AP333" i="1"/>
  <c r="AO333" i="1"/>
  <c r="AN333" i="1"/>
  <c r="AM333" i="1"/>
  <c r="AL333" i="1"/>
  <c r="AK333" i="1"/>
  <c r="AJ333" i="1"/>
  <c r="AI333" i="1"/>
  <c r="AH333" i="1"/>
  <c r="AG333" i="1"/>
  <c r="AF333" i="1"/>
  <c r="AP332" i="1"/>
  <c r="AO332" i="1"/>
  <c r="AN332" i="1"/>
  <c r="AM332" i="1"/>
  <c r="AL332" i="1"/>
  <c r="AK332" i="1"/>
  <c r="AJ332" i="1"/>
  <c r="AI332" i="1"/>
  <c r="AH332" i="1"/>
  <c r="AG332" i="1"/>
  <c r="AF332" i="1"/>
  <c r="AP331" i="1"/>
  <c r="AO331" i="1"/>
  <c r="AN331" i="1"/>
  <c r="AM331" i="1"/>
  <c r="AL331" i="1"/>
  <c r="AK331" i="1"/>
  <c r="AJ331" i="1"/>
  <c r="AI331" i="1"/>
  <c r="AH331" i="1"/>
  <c r="AG331" i="1"/>
  <c r="AF331" i="1"/>
  <c r="AP330" i="1"/>
  <c r="AO330" i="1"/>
  <c r="AN330" i="1"/>
  <c r="AM330" i="1"/>
  <c r="AL330" i="1"/>
  <c r="AK330" i="1"/>
  <c r="AJ330" i="1"/>
  <c r="AI330" i="1"/>
  <c r="AH330" i="1"/>
  <c r="AG330" i="1"/>
  <c r="AF330" i="1"/>
  <c r="AP329" i="1"/>
  <c r="AO329" i="1"/>
  <c r="AN329" i="1"/>
  <c r="AM329" i="1"/>
  <c r="AL329" i="1"/>
  <c r="AK329" i="1"/>
  <c r="AJ329" i="1"/>
  <c r="AI329" i="1"/>
  <c r="AH329" i="1"/>
  <c r="AG329" i="1"/>
  <c r="AF329" i="1"/>
  <c r="AP328" i="1"/>
  <c r="AO328" i="1"/>
  <c r="AN328" i="1"/>
  <c r="AM328" i="1"/>
  <c r="AL328" i="1"/>
  <c r="AK328" i="1"/>
  <c r="AJ328" i="1"/>
  <c r="AI328" i="1"/>
  <c r="AH328" i="1"/>
  <c r="AG328" i="1"/>
  <c r="AF328" i="1"/>
  <c r="AP327" i="1"/>
  <c r="AO327" i="1"/>
  <c r="AN327" i="1"/>
  <c r="AM327" i="1"/>
  <c r="AL327" i="1"/>
  <c r="AK327" i="1"/>
  <c r="AJ327" i="1"/>
  <c r="AI327" i="1"/>
  <c r="AH327" i="1"/>
  <c r="AG327" i="1"/>
  <c r="AF327" i="1"/>
  <c r="AP326" i="1"/>
  <c r="AO326" i="1"/>
  <c r="AN326" i="1"/>
  <c r="AM326" i="1"/>
  <c r="AL326" i="1"/>
  <c r="AK326" i="1"/>
  <c r="AJ326" i="1"/>
  <c r="AI326" i="1"/>
  <c r="AH326" i="1"/>
  <c r="AG326" i="1"/>
  <c r="AF326" i="1"/>
  <c r="AP325" i="1"/>
  <c r="AO325" i="1"/>
  <c r="AN325" i="1"/>
  <c r="AM325" i="1"/>
  <c r="AL325" i="1"/>
  <c r="AK325" i="1"/>
  <c r="AJ325" i="1"/>
  <c r="AI325" i="1"/>
  <c r="AH325" i="1"/>
  <c r="AG325" i="1"/>
  <c r="AF325" i="1"/>
  <c r="AP324" i="1"/>
  <c r="AO324" i="1"/>
  <c r="AN324" i="1"/>
  <c r="AM324" i="1"/>
  <c r="AL324" i="1"/>
  <c r="AK324" i="1"/>
  <c r="AJ324" i="1"/>
  <c r="AI324" i="1"/>
  <c r="AH324" i="1"/>
  <c r="AG324" i="1"/>
  <c r="AF324" i="1"/>
  <c r="AP323" i="1"/>
  <c r="AO323" i="1"/>
  <c r="AN323" i="1"/>
  <c r="AM323" i="1"/>
  <c r="AL323" i="1"/>
  <c r="AK323" i="1"/>
  <c r="AJ323" i="1"/>
  <c r="AI323" i="1"/>
  <c r="AH323" i="1"/>
  <c r="AG323" i="1"/>
  <c r="AF323" i="1"/>
  <c r="AP322" i="1"/>
  <c r="AO322" i="1"/>
  <c r="AN322" i="1"/>
  <c r="AM322" i="1"/>
  <c r="AL322" i="1"/>
  <c r="AK322" i="1"/>
  <c r="AJ322" i="1"/>
  <c r="AI322" i="1"/>
  <c r="AH322" i="1"/>
  <c r="AG322" i="1"/>
  <c r="AF322" i="1"/>
  <c r="AP321" i="1"/>
  <c r="AO321" i="1"/>
  <c r="AN321" i="1"/>
  <c r="AM321" i="1"/>
  <c r="AL321" i="1"/>
  <c r="AK321" i="1"/>
  <c r="AJ321" i="1"/>
  <c r="AI321" i="1"/>
  <c r="AH321" i="1"/>
  <c r="AG321" i="1"/>
  <c r="AF321" i="1"/>
  <c r="AP320" i="1"/>
  <c r="AO320" i="1"/>
  <c r="AN320" i="1"/>
  <c r="AM320" i="1"/>
  <c r="AL320" i="1"/>
  <c r="AK320" i="1"/>
  <c r="AJ320" i="1"/>
  <c r="AI320" i="1"/>
  <c r="AH320" i="1"/>
  <c r="AG320" i="1"/>
  <c r="AF320" i="1"/>
  <c r="AP319" i="1"/>
  <c r="AO319" i="1"/>
  <c r="AN319" i="1"/>
  <c r="AM319" i="1"/>
  <c r="AL319" i="1"/>
  <c r="AK319" i="1"/>
  <c r="AJ319" i="1"/>
  <c r="AI319" i="1"/>
  <c r="AH319" i="1"/>
  <c r="AG319" i="1"/>
  <c r="AF319" i="1"/>
  <c r="AP318" i="1"/>
  <c r="AO318" i="1"/>
  <c r="AN318" i="1"/>
  <c r="AM318" i="1"/>
  <c r="AL318" i="1"/>
  <c r="AK318" i="1"/>
  <c r="AJ318" i="1"/>
  <c r="AI318" i="1"/>
  <c r="AH318" i="1"/>
  <c r="AG318" i="1"/>
  <c r="AF318" i="1"/>
  <c r="AP317" i="1"/>
  <c r="AO317" i="1"/>
  <c r="AN317" i="1"/>
  <c r="AM317" i="1"/>
  <c r="AL317" i="1"/>
  <c r="AK317" i="1"/>
  <c r="AJ317" i="1"/>
  <c r="AI317" i="1"/>
  <c r="AH317" i="1"/>
  <c r="AG317" i="1"/>
  <c r="AF317" i="1"/>
  <c r="AP316" i="1"/>
  <c r="AO316" i="1"/>
  <c r="AN316" i="1"/>
  <c r="AM316" i="1"/>
  <c r="AL316" i="1"/>
  <c r="AK316" i="1"/>
  <c r="AJ316" i="1"/>
  <c r="AI316" i="1"/>
  <c r="AH316" i="1"/>
  <c r="AG316" i="1"/>
  <c r="AF316" i="1"/>
  <c r="AP315" i="1"/>
  <c r="AO315" i="1"/>
  <c r="AN315" i="1"/>
  <c r="AM315" i="1"/>
  <c r="AL315" i="1"/>
  <c r="AK315" i="1"/>
  <c r="AJ315" i="1"/>
  <c r="AI315" i="1"/>
  <c r="AH315" i="1"/>
  <c r="AG315" i="1"/>
  <c r="AF315" i="1"/>
  <c r="AP314" i="1"/>
  <c r="AO314" i="1"/>
  <c r="AN314" i="1"/>
  <c r="AM314" i="1"/>
  <c r="AL314" i="1"/>
  <c r="AK314" i="1"/>
  <c r="AJ314" i="1"/>
  <c r="AI314" i="1"/>
  <c r="AH314" i="1"/>
  <c r="AG314" i="1"/>
  <c r="AF314" i="1"/>
  <c r="AP313" i="1"/>
  <c r="AO313" i="1"/>
  <c r="AN313" i="1"/>
  <c r="AM313" i="1"/>
  <c r="AL313" i="1"/>
  <c r="AK313" i="1"/>
  <c r="AJ313" i="1"/>
  <c r="AI313" i="1"/>
  <c r="AH313" i="1"/>
  <c r="AG313" i="1"/>
  <c r="AF313" i="1"/>
  <c r="AP312" i="1"/>
  <c r="AO312" i="1"/>
  <c r="AN312" i="1"/>
  <c r="AM312" i="1"/>
  <c r="AL312" i="1"/>
  <c r="AK312" i="1"/>
  <c r="AJ312" i="1"/>
  <c r="AI312" i="1"/>
  <c r="AH312" i="1"/>
  <c r="AG312" i="1"/>
  <c r="AF312" i="1"/>
  <c r="AP311" i="1"/>
  <c r="AO311" i="1"/>
  <c r="AN311" i="1"/>
  <c r="AM311" i="1"/>
  <c r="AL311" i="1"/>
  <c r="AK311" i="1"/>
  <c r="AJ311" i="1"/>
  <c r="AI311" i="1"/>
  <c r="AH311" i="1"/>
  <c r="AG311" i="1"/>
  <c r="AF311" i="1"/>
  <c r="AP310" i="1"/>
  <c r="AO310" i="1"/>
  <c r="AN310" i="1"/>
  <c r="AM310" i="1"/>
  <c r="AL310" i="1"/>
  <c r="AK310" i="1"/>
  <c r="AJ310" i="1"/>
  <c r="AI310" i="1"/>
  <c r="AH310" i="1"/>
  <c r="AG310" i="1"/>
  <c r="AF310" i="1"/>
  <c r="AP309" i="1"/>
  <c r="AO309" i="1"/>
  <c r="AN309" i="1"/>
  <c r="AM309" i="1"/>
  <c r="AL309" i="1"/>
  <c r="AK309" i="1"/>
  <c r="AJ309" i="1"/>
  <c r="AI309" i="1"/>
  <c r="AH309" i="1"/>
  <c r="AG309" i="1"/>
  <c r="AF309" i="1"/>
  <c r="AP308" i="1"/>
  <c r="AO308" i="1"/>
  <c r="AN308" i="1"/>
  <c r="AM308" i="1"/>
  <c r="AL308" i="1"/>
  <c r="AK308" i="1"/>
  <c r="AJ308" i="1"/>
  <c r="AI308" i="1"/>
  <c r="AH308" i="1"/>
  <c r="AG308" i="1"/>
  <c r="AF308" i="1"/>
  <c r="AP307" i="1"/>
  <c r="AO307" i="1"/>
  <c r="AN307" i="1"/>
  <c r="AM307" i="1"/>
  <c r="AL307" i="1"/>
  <c r="AK307" i="1"/>
  <c r="AJ307" i="1"/>
  <c r="AI307" i="1"/>
  <c r="AH307" i="1"/>
  <c r="AG307" i="1"/>
  <c r="AF307" i="1"/>
  <c r="AP306" i="1"/>
  <c r="AO306" i="1"/>
  <c r="AN306" i="1"/>
  <c r="AM306" i="1"/>
  <c r="AL306" i="1"/>
  <c r="AK306" i="1"/>
  <c r="AJ306" i="1"/>
  <c r="AI306" i="1"/>
  <c r="AH306" i="1"/>
  <c r="AG306" i="1"/>
  <c r="AF306" i="1"/>
  <c r="AP305" i="1"/>
  <c r="AO305" i="1"/>
  <c r="AN305" i="1"/>
  <c r="AM305" i="1"/>
  <c r="AL305" i="1"/>
  <c r="AK305" i="1"/>
  <c r="AJ305" i="1"/>
  <c r="AI305" i="1"/>
  <c r="AH305" i="1"/>
  <c r="AG305" i="1"/>
  <c r="AF305" i="1"/>
  <c r="AP304" i="1"/>
  <c r="AO304" i="1"/>
  <c r="AN304" i="1"/>
  <c r="AM304" i="1"/>
  <c r="AL304" i="1"/>
  <c r="AK304" i="1"/>
  <c r="AJ304" i="1"/>
  <c r="AI304" i="1"/>
  <c r="AH304" i="1"/>
  <c r="AG304" i="1"/>
  <c r="AF304" i="1"/>
  <c r="AP303" i="1"/>
  <c r="AO303" i="1"/>
  <c r="AN303" i="1"/>
  <c r="AM303" i="1"/>
  <c r="AL303" i="1"/>
  <c r="AK303" i="1"/>
  <c r="AJ303" i="1"/>
  <c r="AI303" i="1"/>
  <c r="AH303" i="1"/>
  <c r="AG303" i="1"/>
  <c r="AF303" i="1"/>
  <c r="AP302" i="1"/>
  <c r="AO302" i="1"/>
  <c r="AN302" i="1"/>
  <c r="AM302" i="1"/>
  <c r="AL302" i="1"/>
  <c r="AK302" i="1"/>
  <c r="AJ302" i="1"/>
  <c r="AI302" i="1"/>
  <c r="AH302" i="1"/>
  <c r="AG302" i="1"/>
  <c r="AF302" i="1"/>
  <c r="AP301" i="1"/>
  <c r="AO301" i="1"/>
  <c r="AN301" i="1"/>
  <c r="AM301" i="1"/>
  <c r="AL301" i="1"/>
  <c r="AK301" i="1"/>
  <c r="AJ301" i="1"/>
  <c r="AI301" i="1"/>
  <c r="AH301" i="1"/>
  <c r="AG301" i="1"/>
  <c r="AF301" i="1"/>
  <c r="AP300" i="1"/>
  <c r="AO300" i="1"/>
  <c r="AN300" i="1"/>
  <c r="AM300" i="1"/>
  <c r="AL300" i="1"/>
  <c r="AK300" i="1"/>
  <c r="AJ300" i="1"/>
  <c r="AI300" i="1"/>
  <c r="AH300" i="1"/>
  <c r="AG300" i="1"/>
  <c r="AF300" i="1"/>
  <c r="AP299" i="1"/>
  <c r="AO299" i="1"/>
  <c r="AN299" i="1"/>
  <c r="AM299" i="1"/>
  <c r="AL299" i="1"/>
  <c r="AK299" i="1"/>
  <c r="AJ299" i="1"/>
  <c r="AI299" i="1"/>
  <c r="AH299" i="1"/>
  <c r="AG299" i="1"/>
  <c r="AF299" i="1"/>
  <c r="AP298" i="1"/>
  <c r="AO298" i="1"/>
  <c r="AN298" i="1"/>
  <c r="AM298" i="1"/>
  <c r="AL298" i="1"/>
  <c r="AK298" i="1"/>
  <c r="AJ298" i="1"/>
  <c r="AI298" i="1"/>
  <c r="AH298" i="1"/>
  <c r="AG298" i="1"/>
  <c r="AF298" i="1"/>
  <c r="AP297" i="1"/>
  <c r="AO297" i="1"/>
  <c r="AN297" i="1"/>
  <c r="AM297" i="1"/>
  <c r="AL297" i="1"/>
  <c r="AK297" i="1"/>
  <c r="AJ297" i="1"/>
  <c r="AI297" i="1"/>
  <c r="AH297" i="1"/>
  <c r="AG297" i="1"/>
  <c r="AF297" i="1"/>
  <c r="AP296" i="1"/>
  <c r="AO296" i="1"/>
  <c r="AN296" i="1"/>
  <c r="AM296" i="1"/>
  <c r="AL296" i="1"/>
  <c r="AK296" i="1"/>
  <c r="AJ296" i="1"/>
  <c r="AI296" i="1"/>
  <c r="AH296" i="1"/>
  <c r="AG296" i="1"/>
  <c r="AF296" i="1"/>
  <c r="AP295" i="1"/>
  <c r="AO295" i="1"/>
  <c r="AN295" i="1"/>
  <c r="AM295" i="1"/>
  <c r="AL295" i="1"/>
  <c r="AK295" i="1"/>
  <c r="AJ295" i="1"/>
  <c r="AI295" i="1"/>
  <c r="AH295" i="1"/>
  <c r="AG295" i="1"/>
  <c r="AF295" i="1"/>
  <c r="AP294" i="1"/>
  <c r="AO294" i="1"/>
  <c r="AN294" i="1"/>
  <c r="AM294" i="1"/>
  <c r="AL294" i="1"/>
  <c r="AK294" i="1"/>
  <c r="AJ294" i="1"/>
  <c r="AI294" i="1"/>
  <c r="AH294" i="1"/>
  <c r="AG294" i="1"/>
  <c r="AF294" i="1"/>
  <c r="AP293" i="1"/>
  <c r="AO293" i="1"/>
  <c r="AN293" i="1"/>
  <c r="AM293" i="1"/>
  <c r="AL293" i="1"/>
  <c r="AK293" i="1"/>
  <c r="AJ293" i="1"/>
  <c r="AI293" i="1"/>
  <c r="AH293" i="1"/>
  <c r="AG293" i="1"/>
  <c r="AF293" i="1"/>
  <c r="AP292" i="1"/>
  <c r="AO292" i="1"/>
  <c r="AN292" i="1"/>
  <c r="AM292" i="1"/>
  <c r="AL292" i="1"/>
  <c r="AK292" i="1"/>
  <c r="AJ292" i="1"/>
  <c r="AI292" i="1"/>
  <c r="AH292" i="1"/>
  <c r="AG292" i="1"/>
  <c r="AF292" i="1"/>
  <c r="AP291" i="1"/>
  <c r="AO291" i="1"/>
  <c r="AN291" i="1"/>
  <c r="AM291" i="1"/>
  <c r="AL291" i="1"/>
  <c r="AK291" i="1"/>
  <c r="AJ291" i="1"/>
  <c r="AI291" i="1"/>
  <c r="AH291" i="1"/>
  <c r="AG291" i="1"/>
  <c r="AF291" i="1"/>
  <c r="AP290" i="1"/>
  <c r="AO290" i="1"/>
  <c r="AN290" i="1"/>
  <c r="AM290" i="1"/>
  <c r="AL290" i="1"/>
  <c r="AK290" i="1"/>
  <c r="AJ290" i="1"/>
  <c r="AI290" i="1"/>
  <c r="AH290" i="1"/>
  <c r="AG290" i="1"/>
  <c r="AF290" i="1"/>
  <c r="AP289" i="1"/>
  <c r="AO289" i="1"/>
  <c r="AN289" i="1"/>
  <c r="AM289" i="1"/>
  <c r="AL289" i="1"/>
  <c r="AK289" i="1"/>
  <c r="AJ289" i="1"/>
  <c r="AI289" i="1"/>
  <c r="AH289" i="1"/>
  <c r="AG289" i="1"/>
  <c r="AF289" i="1"/>
  <c r="AP288" i="1"/>
  <c r="AO288" i="1"/>
  <c r="AN288" i="1"/>
  <c r="AM288" i="1"/>
  <c r="AL288" i="1"/>
  <c r="AK288" i="1"/>
  <c r="AJ288" i="1"/>
  <c r="AI288" i="1"/>
  <c r="AH288" i="1"/>
  <c r="AG288" i="1"/>
  <c r="AF288" i="1"/>
  <c r="AP287" i="1"/>
  <c r="AO287" i="1"/>
  <c r="AN287" i="1"/>
  <c r="AM287" i="1"/>
  <c r="AL287" i="1"/>
  <c r="AK287" i="1"/>
  <c r="AJ287" i="1"/>
  <c r="AI287" i="1"/>
  <c r="AH287" i="1"/>
  <c r="AG287" i="1"/>
  <c r="AF287" i="1"/>
  <c r="AP286" i="1"/>
  <c r="AO286" i="1"/>
  <c r="AN286" i="1"/>
  <c r="AM286" i="1"/>
  <c r="AL286" i="1"/>
  <c r="AK286" i="1"/>
  <c r="AJ286" i="1"/>
  <c r="AI286" i="1"/>
  <c r="AH286" i="1"/>
  <c r="AG286" i="1"/>
  <c r="AF286" i="1"/>
  <c r="AP285" i="1"/>
  <c r="AO285" i="1"/>
  <c r="AN285" i="1"/>
  <c r="AM285" i="1"/>
  <c r="AL285" i="1"/>
  <c r="AK285" i="1"/>
  <c r="AJ285" i="1"/>
  <c r="AI285" i="1"/>
  <c r="AH285" i="1"/>
  <c r="AG285" i="1"/>
  <c r="AF285" i="1"/>
  <c r="AP284" i="1"/>
  <c r="AO284" i="1"/>
  <c r="AN284" i="1"/>
  <c r="AM284" i="1"/>
  <c r="AL284" i="1"/>
  <c r="AK284" i="1"/>
  <c r="AJ284" i="1"/>
  <c r="AI284" i="1"/>
  <c r="AH284" i="1"/>
  <c r="AG284" i="1"/>
  <c r="AF284" i="1"/>
  <c r="AP283" i="1"/>
  <c r="AO283" i="1"/>
  <c r="AN283" i="1"/>
  <c r="AM283" i="1"/>
  <c r="AL283" i="1"/>
  <c r="AK283" i="1"/>
  <c r="AJ283" i="1"/>
  <c r="AI283" i="1"/>
  <c r="AH283" i="1"/>
  <c r="AG283" i="1"/>
  <c r="AF283" i="1"/>
  <c r="AP282" i="1"/>
  <c r="AO282" i="1"/>
  <c r="AN282" i="1"/>
  <c r="AM282" i="1"/>
  <c r="AL282" i="1"/>
  <c r="AK282" i="1"/>
  <c r="AJ282" i="1"/>
  <c r="AI282" i="1"/>
  <c r="AH282" i="1"/>
  <c r="AG282" i="1"/>
  <c r="AF282" i="1"/>
  <c r="AP281" i="1"/>
  <c r="AO281" i="1"/>
  <c r="AN281" i="1"/>
  <c r="AM281" i="1"/>
  <c r="AL281" i="1"/>
  <c r="AK281" i="1"/>
  <c r="AJ281" i="1"/>
  <c r="AI281" i="1"/>
  <c r="AH281" i="1"/>
  <c r="AG281" i="1"/>
  <c r="AF281" i="1"/>
  <c r="AP280" i="1"/>
  <c r="AO280" i="1"/>
  <c r="AN280" i="1"/>
  <c r="AM280" i="1"/>
  <c r="AL280" i="1"/>
  <c r="AK280" i="1"/>
  <c r="AJ280" i="1"/>
  <c r="AI280" i="1"/>
  <c r="AH280" i="1"/>
  <c r="AG280" i="1"/>
  <c r="AF280" i="1"/>
  <c r="AP279" i="1"/>
  <c r="AO279" i="1"/>
  <c r="AN279" i="1"/>
  <c r="AM279" i="1"/>
  <c r="AL279" i="1"/>
  <c r="AK279" i="1"/>
  <c r="AJ279" i="1"/>
  <c r="AI279" i="1"/>
  <c r="AH279" i="1"/>
  <c r="AG279" i="1"/>
  <c r="AF279" i="1"/>
  <c r="AP278" i="1"/>
  <c r="AO278" i="1"/>
  <c r="AN278" i="1"/>
  <c r="AM278" i="1"/>
  <c r="AL278" i="1"/>
  <c r="AK278" i="1"/>
  <c r="AJ278" i="1"/>
  <c r="AI278" i="1"/>
  <c r="AH278" i="1"/>
  <c r="AG278" i="1"/>
  <c r="AF278" i="1"/>
  <c r="AP277" i="1"/>
  <c r="AO277" i="1"/>
  <c r="AN277" i="1"/>
  <c r="AM277" i="1"/>
  <c r="AL277" i="1"/>
  <c r="AK277" i="1"/>
  <c r="AJ277" i="1"/>
  <c r="AI277" i="1"/>
  <c r="AH277" i="1"/>
  <c r="AG277" i="1"/>
  <c r="AF277" i="1"/>
  <c r="AP276" i="1"/>
  <c r="AO276" i="1"/>
  <c r="AN276" i="1"/>
  <c r="AM276" i="1"/>
  <c r="AL276" i="1"/>
  <c r="AK276" i="1"/>
  <c r="AJ276" i="1"/>
  <c r="AI276" i="1"/>
  <c r="AH276" i="1"/>
  <c r="AG276" i="1"/>
  <c r="AF276" i="1"/>
  <c r="AP275" i="1"/>
  <c r="AO275" i="1"/>
  <c r="AN275" i="1"/>
  <c r="AM275" i="1"/>
  <c r="AL275" i="1"/>
  <c r="AK275" i="1"/>
  <c r="AJ275" i="1"/>
  <c r="AI275" i="1"/>
  <c r="AH275" i="1"/>
  <c r="AG275" i="1"/>
  <c r="AF275" i="1"/>
  <c r="AP274" i="1"/>
  <c r="AO274" i="1"/>
  <c r="AN274" i="1"/>
  <c r="AM274" i="1"/>
  <c r="AL274" i="1"/>
  <c r="AK274" i="1"/>
  <c r="AJ274" i="1"/>
  <c r="AI274" i="1"/>
  <c r="AH274" i="1"/>
  <c r="AG274" i="1"/>
  <c r="AF274" i="1"/>
  <c r="AP273" i="1"/>
  <c r="AO273" i="1"/>
  <c r="AN273" i="1"/>
  <c r="AM273" i="1"/>
  <c r="AL273" i="1"/>
  <c r="AK273" i="1"/>
  <c r="AJ273" i="1"/>
  <c r="AI273" i="1"/>
  <c r="AH273" i="1"/>
  <c r="AG273" i="1"/>
  <c r="AF273" i="1"/>
  <c r="AP272" i="1"/>
  <c r="AO272" i="1"/>
  <c r="AN272" i="1"/>
  <c r="AM272" i="1"/>
  <c r="AL272" i="1"/>
  <c r="AK272" i="1"/>
  <c r="AJ272" i="1"/>
  <c r="AI272" i="1"/>
  <c r="AH272" i="1"/>
  <c r="AG272" i="1"/>
  <c r="AF272" i="1"/>
  <c r="AP271" i="1"/>
  <c r="AO271" i="1"/>
  <c r="AN271" i="1"/>
  <c r="AM271" i="1"/>
  <c r="AL271" i="1"/>
  <c r="AK271" i="1"/>
  <c r="AJ271" i="1"/>
  <c r="AI271" i="1"/>
  <c r="AH271" i="1"/>
  <c r="AG271" i="1"/>
  <c r="AF271" i="1"/>
  <c r="AP270" i="1"/>
  <c r="AO270" i="1"/>
  <c r="AN270" i="1"/>
  <c r="AM270" i="1"/>
  <c r="AL270" i="1"/>
  <c r="AK270" i="1"/>
  <c r="AJ270" i="1"/>
  <c r="AI270" i="1"/>
  <c r="AH270" i="1"/>
  <c r="AG270" i="1"/>
  <c r="AF270" i="1"/>
  <c r="AP269" i="1"/>
  <c r="AO269" i="1"/>
  <c r="AN269" i="1"/>
  <c r="AM269" i="1"/>
  <c r="AL269" i="1"/>
  <c r="AK269" i="1"/>
  <c r="AJ269" i="1"/>
  <c r="AI269" i="1"/>
  <c r="AH269" i="1"/>
  <c r="AG269" i="1"/>
  <c r="AF269" i="1"/>
  <c r="AP268" i="1"/>
  <c r="AO268" i="1"/>
  <c r="AN268" i="1"/>
  <c r="AM268" i="1"/>
  <c r="AL268" i="1"/>
  <c r="AK268" i="1"/>
  <c r="AJ268" i="1"/>
  <c r="AI268" i="1"/>
  <c r="AH268" i="1"/>
  <c r="AG268" i="1"/>
  <c r="AF268" i="1"/>
  <c r="AP267" i="1"/>
  <c r="AO267" i="1"/>
  <c r="AN267" i="1"/>
  <c r="AM267" i="1"/>
  <c r="AL267" i="1"/>
  <c r="AK267" i="1"/>
  <c r="AJ267" i="1"/>
  <c r="AI267" i="1"/>
  <c r="AH267" i="1"/>
  <c r="AG267" i="1"/>
  <c r="AF267" i="1"/>
  <c r="AP266" i="1"/>
  <c r="AO266" i="1"/>
  <c r="AN266" i="1"/>
  <c r="AM266" i="1"/>
  <c r="AL266" i="1"/>
  <c r="AK266" i="1"/>
  <c r="AJ266" i="1"/>
  <c r="AI266" i="1"/>
  <c r="AH266" i="1"/>
  <c r="AG266" i="1"/>
  <c r="AF266" i="1"/>
  <c r="AP265" i="1"/>
  <c r="AO265" i="1"/>
  <c r="AN265" i="1"/>
  <c r="AM265" i="1"/>
  <c r="AL265" i="1"/>
  <c r="AK265" i="1"/>
  <c r="AJ265" i="1"/>
  <c r="AI265" i="1"/>
  <c r="AH265" i="1"/>
  <c r="AG265" i="1"/>
  <c r="AF265" i="1"/>
  <c r="AP264" i="1"/>
  <c r="AO264" i="1"/>
  <c r="AN264" i="1"/>
  <c r="AM264" i="1"/>
  <c r="AL264" i="1"/>
  <c r="AK264" i="1"/>
  <c r="AJ264" i="1"/>
  <c r="AI264" i="1"/>
  <c r="AH264" i="1"/>
  <c r="AG264" i="1"/>
  <c r="AF264" i="1"/>
  <c r="AP263" i="1"/>
  <c r="AO263" i="1"/>
  <c r="AN263" i="1"/>
  <c r="AM263" i="1"/>
  <c r="AL263" i="1"/>
  <c r="AK263" i="1"/>
  <c r="AJ263" i="1"/>
  <c r="AI263" i="1"/>
  <c r="AH263" i="1"/>
  <c r="AG263" i="1"/>
  <c r="AF263" i="1"/>
  <c r="AP262" i="1"/>
  <c r="AO262" i="1"/>
  <c r="AN262" i="1"/>
  <c r="AM262" i="1"/>
  <c r="AL262" i="1"/>
  <c r="AK262" i="1"/>
  <c r="AJ262" i="1"/>
  <c r="AI262" i="1"/>
  <c r="AH262" i="1"/>
  <c r="AG262" i="1"/>
  <c r="AF262" i="1"/>
  <c r="AP261" i="1"/>
  <c r="AO261" i="1"/>
  <c r="AN261" i="1"/>
  <c r="AM261" i="1"/>
  <c r="AL261" i="1"/>
  <c r="AK261" i="1"/>
  <c r="AJ261" i="1"/>
  <c r="AI261" i="1"/>
  <c r="AH261" i="1"/>
  <c r="AG261" i="1"/>
  <c r="AF261" i="1"/>
  <c r="AP260" i="1"/>
  <c r="AO260" i="1"/>
  <c r="AN260" i="1"/>
  <c r="AM260" i="1"/>
  <c r="AL260" i="1"/>
  <c r="AK260" i="1"/>
  <c r="AJ260" i="1"/>
  <c r="AI260" i="1"/>
  <c r="AH260" i="1"/>
  <c r="AG260" i="1"/>
  <c r="AF260" i="1"/>
  <c r="AP259" i="1"/>
  <c r="AO259" i="1"/>
  <c r="AN259" i="1"/>
  <c r="AM259" i="1"/>
  <c r="AL259" i="1"/>
  <c r="AK259" i="1"/>
  <c r="AJ259" i="1"/>
  <c r="AI259" i="1"/>
  <c r="AH259" i="1"/>
  <c r="AG259" i="1"/>
  <c r="AF259" i="1"/>
  <c r="AP258" i="1"/>
  <c r="AO258" i="1"/>
  <c r="AN258" i="1"/>
  <c r="AM258" i="1"/>
  <c r="AL258" i="1"/>
  <c r="AK258" i="1"/>
  <c r="AJ258" i="1"/>
  <c r="AI258" i="1"/>
  <c r="AH258" i="1"/>
  <c r="AG258" i="1"/>
  <c r="AF258" i="1"/>
  <c r="AP257" i="1"/>
  <c r="AO257" i="1"/>
  <c r="AN257" i="1"/>
  <c r="AM257" i="1"/>
  <c r="AL257" i="1"/>
  <c r="AK257" i="1"/>
  <c r="AJ257" i="1"/>
  <c r="AI257" i="1"/>
  <c r="AH257" i="1"/>
  <c r="AG257" i="1"/>
  <c r="AF257" i="1"/>
  <c r="AP256" i="1"/>
  <c r="AO256" i="1"/>
  <c r="AN256" i="1"/>
  <c r="AM256" i="1"/>
  <c r="AL256" i="1"/>
  <c r="AK256" i="1"/>
  <c r="AJ256" i="1"/>
  <c r="AI256" i="1"/>
  <c r="AH256" i="1"/>
  <c r="AG256" i="1"/>
  <c r="AF256" i="1"/>
  <c r="AP255" i="1"/>
  <c r="AO255" i="1"/>
  <c r="AN255" i="1"/>
  <c r="AM255" i="1"/>
  <c r="AL255" i="1"/>
  <c r="AK255" i="1"/>
  <c r="AJ255" i="1"/>
  <c r="AI255" i="1"/>
  <c r="AH255" i="1"/>
  <c r="AG255" i="1"/>
  <c r="AF255" i="1"/>
  <c r="AP254" i="1"/>
  <c r="AO254" i="1"/>
  <c r="AN254" i="1"/>
  <c r="AM254" i="1"/>
  <c r="AL254" i="1"/>
  <c r="AK254" i="1"/>
  <c r="AJ254" i="1"/>
  <c r="AI254" i="1"/>
  <c r="AH254" i="1"/>
  <c r="AG254" i="1"/>
  <c r="AF254" i="1"/>
  <c r="AP253" i="1"/>
  <c r="AO253" i="1"/>
  <c r="AN253" i="1"/>
  <c r="AM253" i="1"/>
  <c r="AL253" i="1"/>
  <c r="AK253" i="1"/>
  <c r="AJ253" i="1"/>
  <c r="AI253" i="1"/>
  <c r="AH253" i="1"/>
  <c r="AG253" i="1"/>
  <c r="AF253" i="1"/>
  <c r="AP252" i="1"/>
  <c r="AO252" i="1"/>
  <c r="AN252" i="1"/>
  <c r="AM252" i="1"/>
  <c r="AL252" i="1"/>
  <c r="AK252" i="1"/>
  <c r="AJ252" i="1"/>
  <c r="AI252" i="1"/>
  <c r="AH252" i="1"/>
  <c r="AG252" i="1"/>
  <c r="AF252" i="1"/>
  <c r="AP251" i="1"/>
  <c r="AO251" i="1"/>
  <c r="AN251" i="1"/>
  <c r="AM251" i="1"/>
  <c r="AL251" i="1"/>
  <c r="AK251" i="1"/>
  <c r="AJ251" i="1"/>
  <c r="AI251" i="1"/>
  <c r="AH251" i="1"/>
  <c r="AG251" i="1"/>
  <c r="AF251" i="1"/>
  <c r="AP250" i="1"/>
  <c r="AO250" i="1"/>
  <c r="AN250" i="1"/>
  <c r="AM250" i="1"/>
  <c r="AL250" i="1"/>
  <c r="AK250" i="1"/>
  <c r="AJ250" i="1"/>
  <c r="AI250" i="1"/>
  <c r="AH250" i="1"/>
  <c r="AG250" i="1"/>
  <c r="AF250" i="1"/>
  <c r="AP249" i="1"/>
  <c r="AO249" i="1"/>
  <c r="AN249" i="1"/>
  <c r="AM249" i="1"/>
  <c r="AL249" i="1"/>
  <c r="AK249" i="1"/>
  <c r="AJ249" i="1"/>
  <c r="AI249" i="1"/>
  <c r="AH249" i="1"/>
  <c r="AG249" i="1"/>
  <c r="AF249" i="1"/>
  <c r="AP248" i="1"/>
  <c r="AO248" i="1"/>
  <c r="AN248" i="1"/>
  <c r="AM248" i="1"/>
  <c r="AL248" i="1"/>
  <c r="AK248" i="1"/>
  <c r="AJ248" i="1"/>
  <c r="AI248" i="1"/>
  <c r="AH248" i="1"/>
  <c r="AG248" i="1"/>
  <c r="AF248" i="1"/>
  <c r="AP247" i="1"/>
  <c r="AO247" i="1"/>
  <c r="AN247" i="1"/>
  <c r="AM247" i="1"/>
  <c r="AL247" i="1"/>
  <c r="AK247" i="1"/>
  <c r="AJ247" i="1"/>
  <c r="AI247" i="1"/>
  <c r="AH247" i="1"/>
  <c r="AG247" i="1"/>
  <c r="AF247" i="1"/>
  <c r="AP246" i="1"/>
  <c r="AO246" i="1"/>
  <c r="AN246" i="1"/>
  <c r="AM246" i="1"/>
  <c r="AL246" i="1"/>
  <c r="AK246" i="1"/>
  <c r="AJ246" i="1"/>
  <c r="AI246" i="1"/>
  <c r="AH246" i="1"/>
  <c r="AG246" i="1"/>
  <c r="AF246" i="1"/>
  <c r="AP245" i="1"/>
  <c r="AO245" i="1"/>
  <c r="AN245" i="1"/>
  <c r="AM245" i="1"/>
  <c r="AL245" i="1"/>
  <c r="AK245" i="1"/>
  <c r="AJ245" i="1"/>
  <c r="AI245" i="1"/>
  <c r="AH245" i="1"/>
  <c r="AG245" i="1"/>
  <c r="AF245" i="1"/>
  <c r="AP244" i="1"/>
  <c r="AO244" i="1"/>
  <c r="AN244" i="1"/>
  <c r="AM244" i="1"/>
  <c r="AL244" i="1"/>
  <c r="AK244" i="1"/>
  <c r="AJ244" i="1"/>
  <c r="AI244" i="1"/>
  <c r="AH244" i="1"/>
  <c r="AG244" i="1"/>
  <c r="AF244" i="1"/>
  <c r="AP243" i="1"/>
  <c r="AO243" i="1"/>
  <c r="AN243" i="1"/>
  <c r="AM243" i="1"/>
  <c r="AL243" i="1"/>
  <c r="AK243" i="1"/>
  <c r="AJ243" i="1"/>
  <c r="AI243" i="1"/>
  <c r="AH243" i="1"/>
  <c r="AG243" i="1"/>
  <c r="AF243" i="1"/>
  <c r="AP242" i="1"/>
  <c r="AO242" i="1"/>
  <c r="AN242" i="1"/>
  <c r="AM242" i="1"/>
  <c r="AL242" i="1"/>
  <c r="AK242" i="1"/>
  <c r="AJ242" i="1"/>
  <c r="AI242" i="1"/>
  <c r="AH242" i="1"/>
  <c r="AG242" i="1"/>
  <c r="AF242" i="1"/>
  <c r="AP241" i="1"/>
  <c r="AO241" i="1"/>
  <c r="AN241" i="1"/>
  <c r="AM241" i="1"/>
  <c r="AL241" i="1"/>
  <c r="AK241" i="1"/>
  <c r="AJ241" i="1"/>
  <c r="AI241" i="1"/>
  <c r="AH241" i="1"/>
  <c r="AG241" i="1"/>
  <c r="AF241" i="1"/>
  <c r="AP240" i="1"/>
  <c r="AO240" i="1"/>
  <c r="AN240" i="1"/>
  <c r="AM240" i="1"/>
  <c r="AL240" i="1"/>
  <c r="AK240" i="1"/>
  <c r="AJ240" i="1"/>
  <c r="AI240" i="1"/>
  <c r="AH240" i="1"/>
  <c r="AG240" i="1"/>
  <c r="AF240" i="1"/>
  <c r="AP239" i="1"/>
  <c r="AO239" i="1"/>
  <c r="AN239" i="1"/>
  <c r="AM239" i="1"/>
  <c r="AL239" i="1"/>
  <c r="AK239" i="1"/>
  <c r="AJ239" i="1"/>
  <c r="AI239" i="1"/>
  <c r="AH239" i="1"/>
  <c r="AG239" i="1"/>
  <c r="AF239" i="1"/>
  <c r="AP238" i="1"/>
  <c r="AO238" i="1"/>
  <c r="AN238" i="1"/>
  <c r="AM238" i="1"/>
  <c r="AL238" i="1"/>
  <c r="AK238" i="1"/>
  <c r="AJ238" i="1"/>
  <c r="AI238" i="1"/>
  <c r="AH238" i="1"/>
  <c r="AG238" i="1"/>
  <c r="AF238" i="1"/>
  <c r="AP237" i="1"/>
  <c r="AO237" i="1"/>
  <c r="AN237" i="1"/>
  <c r="AM237" i="1"/>
  <c r="AL237" i="1"/>
  <c r="AK237" i="1"/>
  <c r="AJ237" i="1"/>
  <c r="AI237" i="1"/>
  <c r="AH237" i="1"/>
  <c r="AG237" i="1"/>
  <c r="AF237" i="1"/>
  <c r="AP236" i="1"/>
  <c r="AO236" i="1"/>
  <c r="AN236" i="1"/>
  <c r="AM236" i="1"/>
  <c r="AL236" i="1"/>
  <c r="AK236" i="1"/>
  <c r="AJ236" i="1"/>
  <c r="AI236" i="1"/>
  <c r="AH236" i="1"/>
  <c r="AG236" i="1"/>
  <c r="AF236" i="1"/>
  <c r="AP235" i="1"/>
  <c r="AO235" i="1"/>
  <c r="AN235" i="1"/>
  <c r="AM235" i="1"/>
  <c r="AL235" i="1"/>
  <c r="AK235" i="1"/>
  <c r="AJ235" i="1"/>
  <c r="AI235" i="1"/>
  <c r="AH235" i="1"/>
  <c r="AG235" i="1"/>
  <c r="AF235" i="1"/>
  <c r="AP234" i="1"/>
  <c r="AO234" i="1"/>
  <c r="AN234" i="1"/>
  <c r="AM234" i="1"/>
  <c r="AL234" i="1"/>
  <c r="AK234" i="1"/>
  <c r="AJ234" i="1"/>
  <c r="AI234" i="1"/>
  <c r="AH234" i="1"/>
  <c r="AG234" i="1"/>
  <c r="AF234" i="1"/>
  <c r="AP233" i="1"/>
  <c r="AO233" i="1"/>
  <c r="AN233" i="1"/>
  <c r="AM233" i="1"/>
  <c r="AL233" i="1"/>
  <c r="AK233" i="1"/>
  <c r="AJ233" i="1"/>
  <c r="AI233" i="1"/>
  <c r="AH233" i="1"/>
  <c r="AG233" i="1"/>
  <c r="AF233" i="1"/>
  <c r="AP232" i="1"/>
  <c r="AO232" i="1"/>
  <c r="AN232" i="1"/>
  <c r="AM232" i="1"/>
  <c r="AL232" i="1"/>
  <c r="AK232" i="1"/>
  <c r="AJ232" i="1"/>
  <c r="AI232" i="1"/>
  <c r="AH232" i="1"/>
  <c r="AG232" i="1"/>
  <c r="AF232" i="1"/>
  <c r="AP231" i="1"/>
  <c r="AO231" i="1"/>
  <c r="AN231" i="1"/>
  <c r="AM231" i="1"/>
  <c r="AL231" i="1"/>
  <c r="AK231" i="1"/>
  <c r="AJ231" i="1"/>
  <c r="AI231" i="1"/>
  <c r="AH231" i="1"/>
  <c r="AG231" i="1"/>
  <c r="AF231" i="1"/>
  <c r="AP230" i="1"/>
  <c r="AO230" i="1"/>
  <c r="AN230" i="1"/>
  <c r="AM230" i="1"/>
  <c r="AL230" i="1"/>
  <c r="AK230" i="1"/>
  <c r="AJ230" i="1"/>
  <c r="AI230" i="1"/>
  <c r="AH230" i="1"/>
  <c r="AG230" i="1"/>
  <c r="AF230" i="1"/>
  <c r="AP229" i="1"/>
  <c r="AO229" i="1"/>
  <c r="AN229" i="1"/>
  <c r="AM229" i="1"/>
  <c r="AL229" i="1"/>
  <c r="AK229" i="1"/>
  <c r="AJ229" i="1"/>
  <c r="AI229" i="1"/>
  <c r="AH229" i="1"/>
  <c r="AG229" i="1"/>
  <c r="AF229" i="1"/>
  <c r="AP228" i="1"/>
  <c r="AO228" i="1"/>
  <c r="AN228" i="1"/>
  <c r="AM228" i="1"/>
  <c r="AL228" i="1"/>
  <c r="AK228" i="1"/>
  <c r="AJ228" i="1"/>
  <c r="AI228" i="1"/>
  <c r="AH228" i="1"/>
  <c r="AG228" i="1"/>
  <c r="AF228" i="1"/>
  <c r="AP227" i="1"/>
  <c r="AO227" i="1"/>
  <c r="AN227" i="1"/>
  <c r="AM227" i="1"/>
  <c r="AL227" i="1"/>
  <c r="AK227" i="1"/>
  <c r="AJ227" i="1"/>
  <c r="AI227" i="1"/>
  <c r="AH227" i="1"/>
  <c r="AG227" i="1"/>
  <c r="AF227" i="1"/>
  <c r="AP226" i="1"/>
  <c r="AO226" i="1"/>
  <c r="AN226" i="1"/>
  <c r="AM226" i="1"/>
  <c r="AL226" i="1"/>
  <c r="AK226" i="1"/>
  <c r="AJ226" i="1"/>
  <c r="AI226" i="1"/>
  <c r="AH226" i="1"/>
  <c r="AG226" i="1"/>
  <c r="AF226" i="1"/>
  <c r="AP225" i="1"/>
  <c r="AO225" i="1"/>
  <c r="AN225" i="1"/>
  <c r="AM225" i="1"/>
  <c r="AL225" i="1"/>
  <c r="AK225" i="1"/>
  <c r="AJ225" i="1"/>
  <c r="AI225" i="1"/>
  <c r="AH225" i="1"/>
  <c r="AG225" i="1"/>
  <c r="AF225" i="1"/>
  <c r="AP224" i="1"/>
  <c r="AO224" i="1"/>
  <c r="AN224" i="1"/>
  <c r="AM224" i="1"/>
  <c r="AL224" i="1"/>
  <c r="AK224" i="1"/>
  <c r="AJ224" i="1"/>
  <c r="AI224" i="1"/>
  <c r="AH224" i="1"/>
  <c r="AG224" i="1"/>
  <c r="AF224" i="1"/>
  <c r="AP223" i="1"/>
  <c r="AO223" i="1"/>
  <c r="AN223" i="1"/>
  <c r="AM223" i="1"/>
  <c r="AL223" i="1"/>
  <c r="AK223" i="1"/>
  <c r="AJ223" i="1"/>
  <c r="AI223" i="1"/>
  <c r="AH223" i="1"/>
  <c r="AG223" i="1"/>
  <c r="AF223" i="1"/>
  <c r="AP222" i="1"/>
  <c r="AO222" i="1"/>
  <c r="AN222" i="1"/>
  <c r="AM222" i="1"/>
  <c r="AL222" i="1"/>
  <c r="AK222" i="1"/>
  <c r="AJ222" i="1"/>
  <c r="AI222" i="1"/>
  <c r="AH222" i="1"/>
  <c r="AG222" i="1"/>
  <c r="AF222" i="1"/>
  <c r="AP221" i="1"/>
  <c r="AO221" i="1"/>
  <c r="AN221" i="1"/>
  <c r="AM221" i="1"/>
  <c r="AL221" i="1"/>
  <c r="AK221" i="1"/>
  <c r="AJ221" i="1"/>
  <c r="AI221" i="1"/>
  <c r="AH221" i="1"/>
  <c r="AG221" i="1"/>
  <c r="AF221" i="1"/>
  <c r="AP220" i="1"/>
  <c r="AO220" i="1"/>
  <c r="AN220" i="1"/>
  <c r="AM220" i="1"/>
  <c r="AL220" i="1"/>
  <c r="AK220" i="1"/>
  <c r="AJ220" i="1"/>
  <c r="AI220" i="1"/>
  <c r="AH220" i="1"/>
  <c r="AG220" i="1"/>
  <c r="AF220" i="1"/>
  <c r="AP219" i="1"/>
  <c r="AO219" i="1"/>
  <c r="AN219" i="1"/>
  <c r="AM219" i="1"/>
  <c r="AL219" i="1"/>
  <c r="AK219" i="1"/>
  <c r="AJ219" i="1"/>
  <c r="AI219" i="1"/>
  <c r="AH219" i="1"/>
  <c r="AG219" i="1"/>
  <c r="AF219" i="1"/>
  <c r="AP218" i="1"/>
  <c r="AO218" i="1"/>
  <c r="AN218" i="1"/>
  <c r="AM218" i="1"/>
  <c r="AL218" i="1"/>
  <c r="AK218" i="1"/>
  <c r="AJ218" i="1"/>
  <c r="AI218" i="1"/>
  <c r="AH218" i="1"/>
  <c r="AG218" i="1"/>
  <c r="AF218" i="1"/>
  <c r="AP217" i="1"/>
  <c r="AO217" i="1"/>
  <c r="AN217" i="1"/>
  <c r="AM217" i="1"/>
  <c r="AL217" i="1"/>
  <c r="AK217" i="1"/>
  <c r="AJ217" i="1"/>
  <c r="AI217" i="1"/>
  <c r="AH217" i="1"/>
  <c r="AG217" i="1"/>
  <c r="AF217" i="1"/>
  <c r="AP216" i="1"/>
  <c r="AO216" i="1"/>
  <c r="AN216" i="1"/>
  <c r="AM216" i="1"/>
  <c r="AL216" i="1"/>
  <c r="AK216" i="1"/>
  <c r="AJ216" i="1"/>
  <c r="AI216" i="1"/>
  <c r="AH216" i="1"/>
  <c r="AG216" i="1"/>
  <c r="AF216" i="1"/>
  <c r="AP215" i="1"/>
  <c r="AO215" i="1"/>
  <c r="AN215" i="1"/>
  <c r="AM215" i="1"/>
  <c r="AL215" i="1"/>
  <c r="AK215" i="1"/>
  <c r="AJ215" i="1"/>
  <c r="AI215" i="1"/>
  <c r="AH215" i="1"/>
  <c r="AG215" i="1"/>
  <c r="AF215" i="1"/>
  <c r="AP214" i="1"/>
  <c r="AO214" i="1"/>
  <c r="AN214" i="1"/>
  <c r="AM214" i="1"/>
  <c r="AL214" i="1"/>
  <c r="AK214" i="1"/>
  <c r="AJ214" i="1"/>
  <c r="AI214" i="1"/>
  <c r="AH214" i="1"/>
  <c r="AG214" i="1"/>
  <c r="AF214" i="1"/>
  <c r="AP213" i="1"/>
  <c r="AO213" i="1"/>
  <c r="AN213" i="1"/>
  <c r="AM213" i="1"/>
  <c r="AL213" i="1"/>
  <c r="AK213" i="1"/>
  <c r="AJ213" i="1"/>
  <c r="AI213" i="1"/>
  <c r="AH213" i="1"/>
  <c r="AG213" i="1"/>
  <c r="AF213" i="1"/>
  <c r="AP212" i="1"/>
  <c r="AO212" i="1"/>
  <c r="AN212" i="1"/>
  <c r="AM212" i="1"/>
  <c r="AL212" i="1"/>
  <c r="AK212" i="1"/>
  <c r="AJ212" i="1"/>
  <c r="AI212" i="1"/>
  <c r="AH212" i="1"/>
  <c r="AG212" i="1"/>
  <c r="AF212" i="1"/>
  <c r="AP211" i="1"/>
  <c r="AO211" i="1"/>
  <c r="AN211" i="1"/>
  <c r="AM211" i="1"/>
  <c r="AL211" i="1"/>
  <c r="AK211" i="1"/>
  <c r="AJ211" i="1"/>
  <c r="AI211" i="1"/>
  <c r="AH211" i="1"/>
  <c r="AG211" i="1"/>
  <c r="AF211" i="1"/>
  <c r="AP210" i="1"/>
  <c r="AO210" i="1"/>
  <c r="AN210" i="1"/>
  <c r="AM210" i="1"/>
  <c r="AL210" i="1"/>
  <c r="AK210" i="1"/>
  <c r="AJ210" i="1"/>
  <c r="AI210" i="1"/>
  <c r="AH210" i="1"/>
  <c r="AG210" i="1"/>
  <c r="AF210" i="1"/>
  <c r="AP209" i="1"/>
  <c r="AO209" i="1"/>
  <c r="AN209" i="1"/>
  <c r="AM209" i="1"/>
  <c r="AL209" i="1"/>
  <c r="AK209" i="1"/>
  <c r="AJ209" i="1"/>
  <c r="AI209" i="1"/>
  <c r="AH209" i="1"/>
  <c r="AG209" i="1"/>
  <c r="AF209" i="1"/>
  <c r="AP208" i="1"/>
  <c r="AO208" i="1"/>
  <c r="AN208" i="1"/>
  <c r="AM208" i="1"/>
  <c r="AL208" i="1"/>
  <c r="AK208" i="1"/>
  <c r="AJ208" i="1"/>
  <c r="AI208" i="1"/>
  <c r="AH208" i="1"/>
  <c r="AG208" i="1"/>
  <c r="AF208" i="1"/>
  <c r="AP207" i="1"/>
  <c r="AO207" i="1"/>
  <c r="AN207" i="1"/>
  <c r="AM207" i="1"/>
  <c r="AL207" i="1"/>
  <c r="AK207" i="1"/>
  <c r="AJ207" i="1"/>
  <c r="AI207" i="1"/>
  <c r="AH207" i="1"/>
  <c r="AG207" i="1"/>
  <c r="AF207" i="1"/>
  <c r="AP206" i="1"/>
  <c r="AO206" i="1"/>
  <c r="AN206" i="1"/>
  <c r="AM206" i="1"/>
  <c r="AL206" i="1"/>
  <c r="AK206" i="1"/>
  <c r="AJ206" i="1"/>
  <c r="AI206" i="1"/>
  <c r="AH206" i="1"/>
  <c r="AG206" i="1"/>
  <c r="AF206" i="1"/>
  <c r="AP205" i="1"/>
  <c r="AO205" i="1"/>
  <c r="AN205" i="1"/>
  <c r="AM205" i="1"/>
  <c r="AL205" i="1"/>
  <c r="AK205" i="1"/>
  <c r="AJ205" i="1"/>
  <c r="AI205" i="1"/>
  <c r="AH205" i="1"/>
  <c r="AG205" i="1"/>
  <c r="AF205" i="1"/>
  <c r="AP204" i="1"/>
  <c r="AO204" i="1"/>
  <c r="AN204" i="1"/>
  <c r="AM204" i="1"/>
  <c r="AL204" i="1"/>
  <c r="AK204" i="1"/>
  <c r="AJ204" i="1"/>
  <c r="AI204" i="1"/>
  <c r="AH204" i="1"/>
  <c r="AG204" i="1"/>
  <c r="AF204" i="1"/>
  <c r="AP203" i="1"/>
  <c r="AO203" i="1"/>
  <c r="AN203" i="1"/>
  <c r="AM203" i="1"/>
  <c r="AL203" i="1"/>
  <c r="AK203" i="1"/>
  <c r="AJ203" i="1"/>
  <c r="AI203" i="1"/>
  <c r="AH203" i="1"/>
  <c r="AG203" i="1"/>
  <c r="AF203" i="1"/>
  <c r="AP202" i="1"/>
  <c r="AO202" i="1"/>
  <c r="AN202" i="1"/>
  <c r="AM202" i="1"/>
  <c r="AL202" i="1"/>
  <c r="AK202" i="1"/>
  <c r="AJ202" i="1"/>
  <c r="AI202" i="1"/>
  <c r="AH202" i="1"/>
  <c r="AG202" i="1"/>
  <c r="AF202" i="1"/>
  <c r="AP201" i="1"/>
  <c r="AO201" i="1"/>
  <c r="AN201" i="1"/>
  <c r="AM201" i="1"/>
  <c r="AL201" i="1"/>
  <c r="AK201" i="1"/>
  <c r="AJ201" i="1"/>
  <c r="AI201" i="1"/>
  <c r="AH201" i="1"/>
  <c r="AG201" i="1"/>
  <c r="AF201" i="1"/>
  <c r="AP200" i="1"/>
  <c r="AO200" i="1"/>
  <c r="AN200" i="1"/>
  <c r="AM200" i="1"/>
  <c r="AL200" i="1"/>
  <c r="AK200" i="1"/>
  <c r="AJ200" i="1"/>
  <c r="AI200" i="1"/>
  <c r="AH200" i="1"/>
  <c r="AG200" i="1"/>
  <c r="AF200" i="1"/>
  <c r="AP199" i="1"/>
  <c r="AO199" i="1"/>
  <c r="AN199" i="1"/>
  <c r="AM199" i="1"/>
  <c r="AL199" i="1"/>
  <c r="AK199" i="1"/>
  <c r="AJ199" i="1"/>
  <c r="AI199" i="1"/>
  <c r="AH199" i="1"/>
  <c r="AG199" i="1"/>
  <c r="AF199" i="1"/>
  <c r="AP198" i="1"/>
  <c r="AO198" i="1"/>
  <c r="AN198" i="1"/>
  <c r="AM198" i="1"/>
  <c r="AL198" i="1"/>
  <c r="AK198" i="1"/>
  <c r="AJ198" i="1"/>
  <c r="AI198" i="1"/>
  <c r="AH198" i="1"/>
  <c r="AG198" i="1"/>
  <c r="AF198" i="1"/>
  <c r="AP197" i="1"/>
  <c r="AO197" i="1"/>
  <c r="AN197" i="1"/>
  <c r="AM197" i="1"/>
  <c r="AL197" i="1"/>
  <c r="AK197" i="1"/>
  <c r="AJ197" i="1"/>
  <c r="AI197" i="1"/>
  <c r="AH197" i="1"/>
  <c r="AG197" i="1"/>
  <c r="AF197" i="1"/>
  <c r="AP196" i="1"/>
  <c r="AO196" i="1"/>
  <c r="AN196" i="1"/>
  <c r="AM196" i="1"/>
  <c r="AL196" i="1"/>
  <c r="AK196" i="1"/>
  <c r="AJ196" i="1"/>
  <c r="AI196" i="1"/>
  <c r="AH196" i="1"/>
  <c r="AG196" i="1"/>
  <c r="AF196" i="1"/>
  <c r="AP195" i="1"/>
  <c r="AO195" i="1"/>
  <c r="AN195" i="1"/>
  <c r="AM195" i="1"/>
  <c r="AL195" i="1"/>
  <c r="AK195" i="1"/>
  <c r="AJ195" i="1"/>
  <c r="AI195" i="1"/>
  <c r="AH195" i="1"/>
  <c r="AG195" i="1"/>
  <c r="AF195" i="1"/>
  <c r="AP194" i="1"/>
  <c r="AO194" i="1"/>
  <c r="AN194" i="1"/>
  <c r="AM194" i="1"/>
  <c r="AL194" i="1"/>
  <c r="AK194" i="1"/>
  <c r="AJ194" i="1"/>
  <c r="AI194" i="1"/>
  <c r="AH194" i="1"/>
  <c r="AG194" i="1"/>
  <c r="AF194" i="1"/>
  <c r="AP193" i="1"/>
  <c r="AO193" i="1"/>
  <c r="AN193" i="1"/>
  <c r="AM193" i="1"/>
  <c r="AL193" i="1"/>
  <c r="AK193" i="1"/>
  <c r="AJ193" i="1"/>
  <c r="AI193" i="1"/>
  <c r="AH193" i="1"/>
  <c r="AG193" i="1"/>
  <c r="AF193" i="1"/>
  <c r="AP192" i="1"/>
  <c r="AO192" i="1"/>
  <c r="AN192" i="1"/>
  <c r="AM192" i="1"/>
  <c r="AL192" i="1"/>
  <c r="AK192" i="1"/>
  <c r="AJ192" i="1"/>
  <c r="AI192" i="1"/>
  <c r="AH192" i="1"/>
  <c r="AG192" i="1"/>
  <c r="AF192" i="1"/>
  <c r="AP191" i="1"/>
  <c r="AO191" i="1"/>
  <c r="AN191" i="1"/>
  <c r="AM191" i="1"/>
  <c r="AL191" i="1"/>
  <c r="AK191" i="1"/>
  <c r="AJ191" i="1"/>
  <c r="AI191" i="1"/>
  <c r="AH191" i="1"/>
  <c r="AG191" i="1"/>
  <c r="AF191" i="1"/>
  <c r="AP190" i="1"/>
  <c r="AO190" i="1"/>
  <c r="AN190" i="1"/>
  <c r="AM190" i="1"/>
  <c r="AL190" i="1"/>
  <c r="AK190" i="1"/>
  <c r="AJ190" i="1"/>
  <c r="AI190" i="1"/>
  <c r="AH190" i="1"/>
  <c r="AG190" i="1"/>
  <c r="AF190" i="1"/>
  <c r="AP189" i="1"/>
  <c r="AO189" i="1"/>
  <c r="AN189" i="1"/>
  <c r="AM189" i="1"/>
  <c r="AL189" i="1"/>
  <c r="AK189" i="1"/>
  <c r="AJ189" i="1"/>
  <c r="AI189" i="1"/>
  <c r="AH189" i="1"/>
  <c r="AG189" i="1"/>
  <c r="AF189" i="1"/>
  <c r="AP188" i="1"/>
  <c r="AO188" i="1"/>
  <c r="AN188" i="1"/>
  <c r="AM188" i="1"/>
  <c r="AL188" i="1"/>
  <c r="AK188" i="1"/>
  <c r="AJ188" i="1"/>
  <c r="AI188" i="1"/>
  <c r="AH188" i="1"/>
  <c r="AG188" i="1"/>
  <c r="AF188" i="1"/>
  <c r="AP187" i="1"/>
  <c r="AO187" i="1"/>
  <c r="AN187" i="1"/>
  <c r="AM187" i="1"/>
  <c r="AL187" i="1"/>
  <c r="AK187" i="1"/>
  <c r="AJ187" i="1"/>
  <c r="AI187" i="1"/>
  <c r="AH187" i="1"/>
  <c r="AG187" i="1"/>
  <c r="AF187" i="1"/>
  <c r="AP186" i="1"/>
  <c r="AO186" i="1"/>
  <c r="AN186" i="1"/>
  <c r="AM186" i="1"/>
  <c r="AL186" i="1"/>
  <c r="AK186" i="1"/>
  <c r="AJ186" i="1"/>
  <c r="AI186" i="1"/>
  <c r="AH186" i="1"/>
  <c r="AG186" i="1"/>
  <c r="AF186" i="1"/>
  <c r="AP185" i="1"/>
  <c r="AO185" i="1"/>
  <c r="AN185" i="1"/>
  <c r="AM185" i="1"/>
  <c r="AL185" i="1"/>
  <c r="AK185" i="1"/>
  <c r="AJ185" i="1"/>
  <c r="AI185" i="1"/>
  <c r="AH185" i="1"/>
  <c r="AG185" i="1"/>
  <c r="AF185" i="1"/>
  <c r="AP184" i="1"/>
  <c r="AO184" i="1"/>
  <c r="AN184" i="1"/>
  <c r="AM184" i="1"/>
  <c r="AL184" i="1"/>
  <c r="AK184" i="1"/>
  <c r="AJ184" i="1"/>
  <c r="AI184" i="1"/>
  <c r="AH184" i="1"/>
  <c r="AG184" i="1"/>
  <c r="AF184" i="1"/>
  <c r="AP183" i="1"/>
  <c r="AO183" i="1"/>
  <c r="AN183" i="1"/>
  <c r="AM183" i="1"/>
  <c r="AL183" i="1"/>
  <c r="AK183" i="1"/>
  <c r="AJ183" i="1"/>
  <c r="AI183" i="1"/>
  <c r="AH183" i="1"/>
  <c r="AG183" i="1"/>
  <c r="AF183" i="1"/>
  <c r="AP182" i="1"/>
  <c r="AO182" i="1"/>
  <c r="AN182" i="1"/>
  <c r="AM182" i="1"/>
  <c r="AL182" i="1"/>
  <c r="AK182" i="1"/>
  <c r="AJ182" i="1"/>
  <c r="AI182" i="1"/>
  <c r="AH182" i="1"/>
  <c r="AG182" i="1"/>
  <c r="AF182" i="1"/>
  <c r="AP181" i="1"/>
  <c r="AO181" i="1"/>
  <c r="AN181" i="1"/>
  <c r="AM181" i="1"/>
  <c r="AL181" i="1"/>
  <c r="AK181" i="1"/>
  <c r="AJ181" i="1"/>
  <c r="AI181" i="1"/>
  <c r="AH181" i="1"/>
  <c r="AG181" i="1"/>
  <c r="AF181" i="1"/>
  <c r="AP180" i="1"/>
  <c r="AO180" i="1"/>
  <c r="AN180" i="1"/>
  <c r="AM180" i="1"/>
  <c r="AL180" i="1"/>
  <c r="AK180" i="1"/>
  <c r="AJ180" i="1"/>
  <c r="AI180" i="1"/>
  <c r="AH180" i="1"/>
  <c r="AG180" i="1"/>
  <c r="AF180" i="1"/>
  <c r="AP179" i="1"/>
  <c r="AO179" i="1"/>
  <c r="AN179" i="1"/>
  <c r="AM179" i="1"/>
  <c r="AL179" i="1"/>
  <c r="AK179" i="1"/>
  <c r="AJ179" i="1"/>
  <c r="AI179" i="1"/>
  <c r="AH179" i="1"/>
  <c r="AG179" i="1"/>
  <c r="AF179" i="1"/>
  <c r="AP178" i="1"/>
  <c r="AO178" i="1"/>
  <c r="AN178" i="1"/>
  <c r="AM178" i="1"/>
  <c r="AL178" i="1"/>
  <c r="AK178" i="1"/>
  <c r="AJ178" i="1"/>
  <c r="AI178" i="1"/>
  <c r="AH178" i="1"/>
  <c r="AG178" i="1"/>
  <c r="AF178" i="1"/>
  <c r="AP177" i="1"/>
  <c r="AO177" i="1"/>
  <c r="AN177" i="1"/>
  <c r="AM177" i="1"/>
  <c r="AL177" i="1"/>
  <c r="AK177" i="1"/>
  <c r="AJ177" i="1"/>
  <c r="AI177" i="1"/>
  <c r="AH177" i="1"/>
  <c r="AG177" i="1"/>
  <c r="AF177" i="1"/>
  <c r="AP176" i="1"/>
  <c r="AO176" i="1"/>
  <c r="AN176" i="1"/>
  <c r="AM176" i="1"/>
  <c r="AL176" i="1"/>
  <c r="AK176" i="1"/>
  <c r="AJ176" i="1"/>
  <c r="AI176" i="1"/>
  <c r="AH176" i="1"/>
  <c r="AG176" i="1"/>
  <c r="AF176" i="1"/>
  <c r="AP175" i="1"/>
  <c r="AO175" i="1"/>
  <c r="AN175" i="1"/>
  <c r="AM175" i="1"/>
  <c r="AL175" i="1"/>
  <c r="AK175" i="1"/>
  <c r="AJ175" i="1"/>
  <c r="AI175" i="1"/>
  <c r="AH175" i="1"/>
  <c r="AG175" i="1"/>
  <c r="AF175" i="1"/>
  <c r="AP174" i="1"/>
  <c r="AO174" i="1"/>
  <c r="AN174" i="1"/>
  <c r="AM174" i="1"/>
  <c r="AL174" i="1"/>
  <c r="AK174" i="1"/>
  <c r="AJ174" i="1"/>
  <c r="AI174" i="1"/>
  <c r="AH174" i="1"/>
  <c r="AG174" i="1"/>
  <c r="AF174" i="1"/>
  <c r="AP173" i="1"/>
  <c r="AO173" i="1"/>
  <c r="AN173" i="1"/>
  <c r="AM173" i="1"/>
  <c r="AL173" i="1"/>
  <c r="AK173" i="1"/>
  <c r="AJ173" i="1"/>
  <c r="AI173" i="1"/>
  <c r="AH173" i="1"/>
  <c r="AG173" i="1"/>
  <c r="AF173" i="1"/>
  <c r="AP172" i="1"/>
  <c r="AO172" i="1"/>
  <c r="AN172" i="1"/>
  <c r="AM172" i="1"/>
  <c r="AL172" i="1"/>
  <c r="AK172" i="1"/>
  <c r="AJ172" i="1"/>
  <c r="AI172" i="1"/>
  <c r="AH172" i="1"/>
  <c r="AG172" i="1"/>
  <c r="AF172" i="1"/>
  <c r="AP171" i="1"/>
  <c r="AO171" i="1"/>
  <c r="AN171" i="1"/>
  <c r="AM171" i="1"/>
  <c r="AL171" i="1"/>
  <c r="AK171" i="1"/>
  <c r="AJ171" i="1"/>
  <c r="AI171" i="1"/>
  <c r="AH171" i="1"/>
  <c r="AG171" i="1"/>
  <c r="AF171" i="1"/>
  <c r="AP170" i="1"/>
  <c r="AO170" i="1"/>
  <c r="AN170" i="1"/>
  <c r="AM170" i="1"/>
  <c r="AL170" i="1"/>
  <c r="AK170" i="1"/>
  <c r="AJ170" i="1"/>
  <c r="AI170" i="1"/>
  <c r="AH170" i="1"/>
  <c r="AG170" i="1"/>
  <c r="AF170" i="1"/>
  <c r="AP169" i="1"/>
  <c r="AO169" i="1"/>
  <c r="AN169" i="1"/>
  <c r="AM169" i="1"/>
  <c r="AL169" i="1"/>
  <c r="AK169" i="1"/>
  <c r="AJ169" i="1"/>
  <c r="AI169" i="1"/>
  <c r="AH169" i="1"/>
  <c r="AG169" i="1"/>
  <c r="AF169" i="1"/>
  <c r="AP168" i="1"/>
  <c r="AO168" i="1"/>
  <c r="AN168" i="1"/>
  <c r="AM168" i="1"/>
  <c r="AL168" i="1"/>
  <c r="AK168" i="1"/>
  <c r="AJ168" i="1"/>
  <c r="AI168" i="1"/>
  <c r="AH168" i="1"/>
  <c r="AG168" i="1"/>
  <c r="AF168" i="1"/>
  <c r="AP167" i="1"/>
  <c r="AO167" i="1"/>
  <c r="AN167" i="1"/>
  <c r="AM167" i="1"/>
  <c r="AL167" i="1"/>
  <c r="AK167" i="1"/>
  <c r="AJ167" i="1"/>
  <c r="AI167" i="1"/>
  <c r="AH167" i="1"/>
  <c r="AG167" i="1"/>
  <c r="AF167" i="1"/>
  <c r="AP166" i="1"/>
  <c r="AO166" i="1"/>
  <c r="AN166" i="1"/>
  <c r="AM166" i="1"/>
  <c r="AL166" i="1"/>
  <c r="AK166" i="1"/>
  <c r="AJ166" i="1"/>
  <c r="AI166" i="1"/>
  <c r="AH166" i="1"/>
  <c r="AG166" i="1"/>
  <c r="AF166" i="1"/>
  <c r="AP165" i="1"/>
  <c r="AO165" i="1"/>
  <c r="AN165" i="1"/>
  <c r="AM165" i="1"/>
  <c r="AL165" i="1"/>
  <c r="AK165" i="1"/>
  <c r="AJ165" i="1"/>
  <c r="AI165" i="1"/>
  <c r="AH165" i="1"/>
  <c r="AG165" i="1"/>
  <c r="AF165" i="1"/>
  <c r="AP164" i="1"/>
  <c r="AO164" i="1"/>
  <c r="AN164" i="1"/>
  <c r="AM164" i="1"/>
  <c r="AL164" i="1"/>
  <c r="AK164" i="1"/>
  <c r="AJ164" i="1"/>
  <c r="AI164" i="1"/>
  <c r="AH164" i="1"/>
  <c r="AG164" i="1"/>
  <c r="AF164" i="1"/>
  <c r="AP163" i="1"/>
  <c r="AO163" i="1"/>
  <c r="AN163" i="1"/>
  <c r="AM163" i="1"/>
  <c r="AL163" i="1"/>
  <c r="AK163" i="1"/>
  <c r="AJ163" i="1"/>
  <c r="AI163" i="1"/>
  <c r="AH163" i="1"/>
  <c r="AG163" i="1"/>
  <c r="AF163" i="1"/>
  <c r="AP162" i="1"/>
  <c r="AO162" i="1"/>
  <c r="AN162" i="1"/>
  <c r="AM162" i="1"/>
  <c r="AL162" i="1"/>
  <c r="AK162" i="1"/>
  <c r="AJ162" i="1"/>
  <c r="AI162" i="1"/>
  <c r="AH162" i="1"/>
  <c r="AG162" i="1"/>
  <c r="AF162" i="1"/>
  <c r="AP161" i="1"/>
  <c r="AO161" i="1"/>
  <c r="AN161" i="1"/>
  <c r="AM161" i="1"/>
  <c r="AL161" i="1"/>
  <c r="AK161" i="1"/>
  <c r="AJ161" i="1"/>
  <c r="AI161" i="1"/>
  <c r="AH161" i="1"/>
  <c r="AG161" i="1"/>
  <c r="AF161" i="1"/>
  <c r="AP160" i="1"/>
  <c r="AO160" i="1"/>
  <c r="AN160" i="1"/>
  <c r="AM160" i="1"/>
  <c r="AL160" i="1"/>
  <c r="AK160" i="1"/>
  <c r="AJ160" i="1"/>
  <c r="AI160" i="1"/>
  <c r="AH160" i="1"/>
  <c r="AG160" i="1"/>
  <c r="AF160" i="1"/>
  <c r="AP159" i="1"/>
  <c r="AO159" i="1"/>
  <c r="AN159" i="1"/>
  <c r="AM159" i="1"/>
  <c r="AL159" i="1"/>
  <c r="AK159" i="1"/>
  <c r="AJ159" i="1"/>
  <c r="AI159" i="1"/>
  <c r="AH159" i="1"/>
  <c r="AG159" i="1"/>
  <c r="AF159" i="1"/>
  <c r="AP158" i="1"/>
  <c r="AO158" i="1"/>
  <c r="AN158" i="1"/>
  <c r="AM158" i="1"/>
  <c r="AL158" i="1"/>
  <c r="AK158" i="1"/>
  <c r="AJ158" i="1"/>
  <c r="AI158" i="1"/>
  <c r="AH158" i="1"/>
  <c r="AG158" i="1"/>
  <c r="AF158" i="1"/>
  <c r="AP157" i="1"/>
  <c r="AO157" i="1"/>
  <c r="AN157" i="1"/>
  <c r="AM157" i="1"/>
  <c r="AL157" i="1"/>
  <c r="AK157" i="1"/>
  <c r="AJ157" i="1"/>
  <c r="AI157" i="1"/>
  <c r="AH157" i="1"/>
  <c r="AG157" i="1"/>
  <c r="AF157" i="1"/>
  <c r="AP156" i="1"/>
  <c r="AO156" i="1"/>
  <c r="AN156" i="1"/>
  <c r="AM156" i="1"/>
  <c r="AL156" i="1"/>
  <c r="AK156" i="1"/>
  <c r="AJ156" i="1"/>
  <c r="AI156" i="1"/>
  <c r="AH156" i="1"/>
  <c r="AG156" i="1"/>
  <c r="AF156" i="1"/>
  <c r="AP155" i="1"/>
  <c r="AO155" i="1"/>
  <c r="AN155" i="1"/>
  <c r="AM155" i="1"/>
  <c r="AL155" i="1"/>
  <c r="AK155" i="1"/>
  <c r="AJ155" i="1"/>
  <c r="AI155" i="1"/>
  <c r="AH155" i="1"/>
  <c r="AG155" i="1"/>
  <c r="AF155" i="1"/>
  <c r="AP154" i="1"/>
  <c r="AO154" i="1"/>
  <c r="AN154" i="1"/>
  <c r="AM154" i="1"/>
  <c r="AL154" i="1"/>
  <c r="AK154" i="1"/>
  <c r="AJ154" i="1"/>
  <c r="AI154" i="1"/>
  <c r="AH154" i="1"/>
  <c r="AG154" i="1"/>
  <c r="AF154" i="1"/>
  <c r="AP153" i="1"/>
  <c r="AO153" i="1"/>
  <c r="AN153" i="1"/>
  <c r="AM153" i="1"/>
  <c r="AL153" i="1"/>
  <c r="AK153" i="1"/>
  <c r="AJ153" i="1"/>
  <c r="AI153" i="1"/>
  <c r="AH153" i="1"/>
  <c r="AG153" i="1"/>
  <c r="AF153" i="1"/>
  <c r="AP152" i="1"/>
  <c r="AO152" i="1"/>
  <c r="AN152" i="1"/>
  <c r="AM152" i="1"/>
  <c r="AL152" i="1"/>
  <c r="AK152" i="1"/>
  <c r="AJ152" i="1"/>
  <c r="AI152" i="1"/>
  <c r="AH152" i="1"/>
  <c r="AG152" i="1"/>
  <c r="AF152" i="1"/>
  <c r="AP151" i="1"/>
  <c r="AO151" i="1"/>
  <c r="AN151" i="1"/>
  <c r="AM151" i="1"/>
  <c r="AL151" i="1"/>
  <c r="AK151" i="1"/>
  <c r="AJ151" i="1"/>
  <c r="AI151" i="1"/>
  <c r="AH151" i="1"/>
  <c r="AG151" i="1"/>
  <c r="AF151" i="1"/>
  <c r="AP150" i="1"/>
  <c r="AO150" i="1"/>
  <c r="AN150" i="1"/>
  <c r="AM150" i="1"/>
  <c r="AL150" i="1"/>
  <c r="AK150" i="1"/>
  <c r="AJ150" i="1"/>
  <c r="AI150" i="1"/>
  <c r="AH150" i="1"/>
  <c r="AG150" i="1"/>
  <c r="AF150" i="1"/>
  <c r="AP149" i="1"/>
  <c r="AO149" i="1"/>
  <c r="AN149" i="1"/>
  <c r="AM149" i="1"/>
  <c r="AL149" i="1"/>
  <c r="AK149" i="1"/>
  <c r="AJ149" i="1"/>
  <c r="AI149" i="1"/>
  <c r="AH149" i="1"/>
  <c r="AG149" i="1"/>
  <c r="AF149" i="1"/>
  <c r="AP148" i="1"/>
  <c r="AO148" i="1"/>
  <c r="AN148" i="1"/>
  <c r="AM148" i="1"/>
  <c r="AL148" i="1"/>
  <c r="AK148" i="1"/>
  <c r="AJ148" i="1"/>
  <c r="AI148" i="1"/>
  <c r="AH148" i="1"/>
  <c r="AG148" i="1"/>
  <c r="AF148" i="1"/>
  <c r="AP147" i="1"/>
  <c r="AO147" i="1"/>
  <c r="AN147" i="1"/>
  <c r="AM147" i="1"/>
  <c r="AL147" i="1"/>
  <c r="AK147" i="1"/>
  <c r="AJ147" i="1"/>
  <c r="AI147" i="1"/>
  <c r="AH147" i="1"/>
  <c r="AG147" i="1"/>
  <c r="AF147" i="1"/>
  <c r="AP146" i="1"/>
  <c r="AO146" i="1"/>
  <c r="AN146" i="1"/>
  <c r="AM146" i="1"/>
  <c r="AL146" i="1"/>
  <c r="AK146" i="1"/>
  <c r="AJ146" i="1"/>
  <c r="AI146" i="1"/>
  <c r="AH146" i="1"/>
  <c r="AG146" i="1"/>
  <c r="AF146" i="1"/>
  <c r="AP145" i="1"/>
  <c r="AO145" i="1"/>
  <c r="AN145" i="1"/>
  <c r="AM145" i="1"/>
  <c r="AL145" i="1"/>
  <c r="AK145" i="1"/>
  <c r="AJ145" i="1"/>
  <c r="AI145" i="1"/>
  <c r="AH145" i="1"/>
  <c r="AG145" i="1"/>
  <c r="AF145" i="1"/>
  <c r="AP144" i="1"/>
  <c r="AO144" i="1"/>
  <c r="AN144" i="1"/>
  <c r="AM144" i="1"/>
  <c r="AL144" i="1"/>
  <c r="AK144" i="1"/>
  <c r="AJ144" i="1"/>
  <c r="AI144" i="1"/>
  <c r="AH144" i="1"/>
  <c r="AG144" i="1"/>
  <c r="AF144" i="1"/>
  <c r="AP143" i="1"/>
  <c r="AO143" i="1"/>
  <c r="AN143" i="1"/>
  <c r="AM143" i="1"/>
  <c r="AL143" i="1"/>
  <c r="AK143" i="1"/>
  <c r="AJ143" i="1"/>
  <c r="AI143" i="1"/>
  <c r="AH143" i="1"/>
  <c r="AG143" i="1"/>
  <c r="AF143" i="1"/>
  <c r="AP142" i="1"/>
  <c r="AO142" i="1"/>
  <c r="AN142" i="1"/>
  <c r="AM142" i="1"/>
  <c r="AL142" i="1"/>
  <c r="AK142" i="1"/>
  <c r="AJ142" i="1"/>
  <c r="AI142" i="1"/>
  <c r="AH142" i="1"/>
  <c r="AG142" i="1"/>
  <c r="AF142" i="1"/>
  <c r="AP141" i="1"/>
  <c r="AO141" i="1"/>
  <c r="AN141" i="1"/>
  <c r="AM141" i="1"/>
  <c r="AL141" i="1"/>
  <c r="AK141" i="1"/>
  <c r="AJ141" i="1"/>
  <c r="AI141" i="1"/>
  <c r="AH141" i="1"/>
  <c r="AG141" i="1"/>
  <c r="AF141" i="1"/>
  <c r="AP140" i="1"/>
  <c r="AO140" i="1"/>
  <c r="AN140" i="1"/>
  <c r="AM140" i="1"/>
  <c r="AL140" i="1"/>
  <c r="AK140" i="1"/>
  <c r="AJ140" i="1"/>
  <c r="AI140" i="1"/>
  <c r="AH140" i="1"/>
  <c r="AG140" i="1"/>
  <c r="AF140" i="1"/>
  <c r="AP139" i="1"/>
  <c r="AO139" i="1"/>
  <c r="AN139" i="1"/>
  <c r="AM139" i="1"/>
  <c r="AL139" i="1"/>
  <c r="AK139" i="1"/>
  <c r="AJ139" i="1"/>
  <c r="AI139" i="1"/>
  <c r="AH139" i="1"/>
  <c r="AG139" i="1"/>
  <c r="AF139" i="1"/>
  <c r="AP138" i="1"/>
  <c r="AO138" i="1"/>
  <c r="AN138" i="1"/>
  <c r="AM138" i="1"/>
  <c r="AL138" i="1"/>
  <c r="AK138" i="1"/>
  <c r="AJ138" i="1"/>
  <c r="AI138" i="1"/>
  <c r="AH138" i="1"/>
  <c r="AG138" i="1"/>
  <c r="AF138" i="1"/>
  <c r="AP137" i="1"/>
  <c r="AO137" i="1"/>
  <c r="AN137" i="1"/>
  <c r="AM137" i="1"/>
  <c r="AL137" i="1"/>
  <c r="AK137" i="1"/>
  <c r="AJ137" i="1"/>
  <c r="AI137" i="1"/>
  <c r="AH137" i="1"/>
  <c r="AG137" i="1"/>
  <c r="AF137" i="1"/>
  <c r="AP136" i="1"/>
  <c r="AO136" i="1"/>
  <c r="AN136" i="1"/>
  <c r="AM136" i="1"/>
  <c r="AL136" i="1"/>
  <c r="AK136" i="1"/>
  <c r="AJ136" i="1"/>
  <c r="AI136" i="1"/>
  <c r="AH136" i="1"/>
  <c r="AG136" i="1"/>
  <c r="AF136" i="1"/>
  <c r="AP135" i="1"/>
  <c r="AO135" i="1"/>
  <c r="AN135" i="1"/>
  <c r="AM135" i="1"/>
  <c r="AL135" i="1"/>
  <c r="AK135" i="1"/>
  <c r="AJ135" i="1"/>
  <c r="AI135" i="1"/>
  <c r="AH135" i="1"/>
  <c r="AG135" i="1"/>
  <c r="AF135" i="1"/>
  <c r="AP134" i="1"/>
  <c r="AO134" i="1"/>
  <c r="AN134" i="1"/>
  <c r="AM134" i="1"/>
  <c r="AL134" i="1"/>
  <c r="AK134" i="1"/>
  <c r="AJ134" i="1"/>
  <c r="AI134" i="1"/>
  <c r="AH134" i="1"/>
  <c r="AG134" i="1"/>
  <c r="AF134" i="1"/>
  <c r="AP133" i="1"/>
  <c r="AO133" i="1"/>
  <c r="AN133" i="1"/>
  <c r="AM133" i="1"/>
  <c r="AL133" i="1"/>
  <c r="AK133" i="1"/>
  <c r="AJ133" i="1"/>
  <c r="AI133" i="1"/>
  <c r="AH133" i="1"/>
  <c r="AG133" i="1"/>
  <c r="AF133" i="1"/>
  <c r="AP132" i="1"/>
  <c r="AO132" i="1"/>
  <c r="AN132" i="1"/>
  <c r="AM132" i="1"/>
  <c r="AL132" i="1"/>
  <c r="AK132" i="1"/>
  <c r="AJ132" i="1"/>
  <c r="AI132" i="1"/>
  <c r="AH132" i="1"/>
  <c r="AG132" i="1"/>
  <c r="AF132" i="1"/>
  <c r="AP131" i="1"/>
  <c r="AO131" i="1"/>
  <c r="AN131" i="1"/>
  <c r="AM131" i="1"/>
  <c r="AL131" i="1"/>
  <c r="AK131" i="1"/>
  <c r="AJ131" i="1"/>
  <c r="AI131" i="1"/>
  <c r="AH131" i="1"/>
  <c r="AG131" i="1"/>
  <c r="AF131" i="1"/>
  <c r="AP130" i="1"/>
  <c r="AO130" i="1"/>
  <c r="AN130" i="1"/>
  <c r="AM130" i="1"/>
  <c r="AL130" i="1"/>
  <c r="AK130" i="1"/>
  <c r="AJ130" i="1"/>
  <c r="AI130" i="1"/>
  <c r="AH130" i="1"/>
  <c r="AG130" i="1"/>
  <c r="AF130" i="1"/>
  <c r="AP129" i="1"/>
  <c r="AO129" i="1"/>
  <c r="AN129" i="1"/>
  <c r="AM129" i="1"/>
  <c r="AL129" i="1"/>
  <c r="AK129" i="1"/>
  <c r="AJ129" i="1"/>
  <c r="AI129" i="1"/>
  <c r="AH129" i="1"/>
  <c r="AG129" i="1"/>
  <c r="AF129" i="1"/>
  <c r="AP128" i="1"/>
  <c r="AO128" i="1"/>
  <c r="AN128" i="1"/>
  <c r="AM128" i="1"/>
  <c r="AL128" i="1"/>
  <c r="AK128" i="1"/>
  <c r="AJ128" i="1"/>
  <c r="AI128" i="1"/>
  <c r="AH128" i="1"/>
  <c r="AG128" i="1"/>
  <c r="AF128" i="1"/>
  <c r="AP127" i="1"/>
  <c r="AO127" i="1"/>
  <c r="AN127" i="1"/>
  <c r="AM127" i="1"/>
  <c r="AL127" i="1"/>
  <c r="AK127" i="1"/>
  <c r="AJ127" i="1"/>
  <c r="AI127" i="1"/>
  <c r="AH127" i="1"/>
  <c r="AG127" i="1"/>
  <c r="AF127" i="1"/>
  <c r="AP126" i="1"/>
  <c r="AO126" i="1"/>
  <c r="AN126" i="1"/>
  <c r="AM126" i="1"/>
  <c r="AL126" i="1"/>
  <c r="AK126" i="1"/>
  <c r="AJ126" i="1"/>
  <c r="AI126" i="1"/>
  <c r="AH126" i="1"/>
  <c r="AG126" i="1"/>
  <c r="AF126" i="1"/>
  <c r="AP125" i="1"/>
  <c r="AO125" i="1"/>
  <c r="AN125" i="1"/>
  <c r="AM125" i="1"/>
  <c r="AL125" i="1"/>
  <c r="AK125" i="1"/>
  <c r="AJ125" i="1"/>
  <c r="AI125" i="1"/>
  <c r="AH125" i="1"/>
  <c r="AG125" i="1"/>
  <c r="AF125" i="1"/>
  <c r="AP124" i="1"/>
  <c r="AO124" i="1"/>
  <c r="AN124" i="1"/>
  <c r="AM124" i="1"/>
  <c r="AL124" i="1"/>
  <c r="AK124" i="1"/>
  <c r="AJ124" i="1"/>
  <c r="AI124" i="1"/>
  <c r="AH124" i="1"/>
  <c r="AG124" i="1"/>
  <c r="AF124" i="1"/>
  <c r="AP123" i="1"/>
  <c r="AO123" i="1"/>
  <c r="AN123" i="1"/>
  <c r="AM123" i="1"/>
  <c r="AL123" i="1"/>
  <c r="AK123" i="1"/>
  <c r="AJ123" i="1"/>
  <c r="AI123" i="1"/>
  <c r="AH123" i="1"/>
  <c r="AG123" i="1"/>
  <c r="AF123" i="1"/>
  <c r="AP122" i="1"/>
  <c r="AO122" i="1"/>
  <c r="AN122" i="1"/>
  <c r="AM122" i="1"/>
  <c r="AL122" i="1"/>
  <c r="AK122" i="1"/>
  <c r="AJ122" i="1"/>
  <c r="AI122" i="1"/>
  <c r="AH122" i="1"/>
  <c r="AG122" i="1"/>
  <c r="AF122" i="1"/>
  <c r="AP121" i="1"/>
  <c r="AO121" i="1"/>
  <c r="AN121" i="1"/>
  <c r="AM121" i="1"/>
  <c r="AL121" i="1"/>
  <c r="AK121" i="1"/>
  <c r="AJ121" i="1"/>
  <c r="AI121" i="1"/>
  <c r="AH121" i="1"/>
  <c r="AG121" i="1"/>
  <c r="AF121" i="1"/>
  <c r="AP120" i="1"/>
  <c r="AO120" i="1"/>
  <c r="AN120" i="1"/>
  <c r="AM120" i="1"/>
  <c r="AL120" i="1"/>
  <c r="AK120" i="1"/>
  <c r="AJ120" i="1"/>
  <c r="AI120" i="1"/>
  <c r="AH120" i="1"/>
  <c r="AG120" i="1"/>
  <c r="AF120" i="1"/>
  <c r="AP119" i="1"/>
  <c r="AO119" i="1"/>
  <c r="AN119" i="1"/>
  <c r="AM119" i="1"/>
  <c r="AL119" i="1"/>
  <c r="AK119" i="1"/>
  <c r="AJ119" i="1"/>
  <c r="AI119" i="1"/>
  <c r="AH119" i="1"/>
  <c r="AG119" i="1"/>
  <c r="AF119" i="1"/>
  <c r="AP118" i="1"/>
  <c r="AO118" i="1"/>
  <c r="AN118" i="1"/>
  <c r="AM118" i="1"/>
  <c r="AL118" i="1"/>
  <c r="AK118" i="1"/>
  <c r="AJ118" i="1"/>
  <c r="AI118" i="1"/>
  <c r="AH118" i="1"/>
  <c r="AG118" i="1"/>
  <c r="AF118" i="1"/>
  <c r="AP117" i="1"/>
  <c r="AO117" i="1"/>
  <c r="AN117" i="1"/>
  <c r="AM117" i="1"/>
  <c r="AL117" i="1"/>
  <c r="AK117" i="1"/>
  <c r="AJ117" i="1"/>
  <c r="AI117" i="1"/>
  <c r="AH117" i="1"/>
  <c r="AG117" i="1"/>
  <c r="AF117" i="1"/>
  <c r="AP116" i="1"/>
  <c r="AO116" i="1"/>
  <c r="AN116" i="1"/>
  <c r="AM116" i="1"/>
  <c r="AL116" i="1"/>
  <c r="AK116" i="1"/>
  <c r="AJ116" i="1"/>
  <c r="AI116" i="1"/>
  <c r="AH116" i="1"/>
  <c r="AG116" i="1"/>
  <c r="AF116" i="1"/>
  <c r="AP115" i="1"/>
  <c r="AO115" i="1"/>
  <c r="AN115" i="1"/>
  <c r="AM115" i="1"/>
  <c r="AL115" i="1"/>
  <c r="AK115" i="1"/>
  <c r="AJ115" i="1"/>
  <c r="AI115" i="1"/>
  <c r="AH115" i="1"/>
  <c r="AG115" i="1"/>
  <c r="AF115" i="1"/>
  <c r="AP114" i="1"/>
  <c r="AO114" i="1"/>
  <c r="AN114" i="1"/>
  <c r="AM114" i="1"/>
  <c r="AL114" i="1"/>
  <c r="AK114" i="1"/>
  <c r="AJ114" i="1"/>
  <c r="AI114" i="1"/>
  <c r="AH114" i="1"/>
  <c r="AG114" i="1"/>
  <c r="AF114" i="1"/>
  <c r="AP113" i="1"/>
  <c r="AO113" i="1"/>
  <c r="AN113" i="1"/>
  <c r="AM113" i="1"/>
  <c r="AL113" i="1"/>
  <c r="AK113" i="1"/>
  <c r="AJ113" i="1"/>
  <c r="AI113" i="1"/>
  <c r="AH113" i="1"/>
  <c r="AG113" i="1"/>
  <c r="AF113" i="1"/>
  <c r="AP112" i="1"/>
  <c r="AO112" i="1"/>
  <c r="AN112" i="1"/>
  <c r="AM112" i="1"/>
  <c r="AL112" i="1"/>
  <c r="AK112" i="1"/>
  <c r="AJ112" i="1"/>
  <c r="AI112" i="1"/>
  <c r="AH112" i="1"/>
  <c r="AG112" i="1"/>
  <c r="AF112" i="1"/>
  <c r="AP111" i="1"/>
  <c r="AO111" i="1"/>
  <c r="AN111" i="1"/>
  <c r="AM111" i="1"/>
  <c r="AL111" i="1"/>
  <c r="AK111" i="1"/>
  <c r="AJ111" i="1"/>
  <c r="AI111" i="1"/>
  <c r="AH111" i="1"/>
  <c r="AG111" i="1"/>
  <c r="AF111" i="1"/>
  <c r="AP110" i="1"/>
  <c r="AO110" i="1"/>
  <c r="AN110" i="1"/>
  <c r="AM110" i="1"/>
  <c r="AL110" i="1"/>
  <c r="AK110" i="1"/>
  <c r="AJ110" i="1"/>
  <c r="AI110" i="1"/>
  <c r="AH110" i="1"/>
  <c r="AG110" i="1"/>
  <c r="AF110" i="1"/>
  <c r="AP109" i="1"/>
  <c r="AO109" i="1"/>
  <c r="AN109" i="1"/>
  <c r="AM109" i="1"/>
  <c r="AL109" i="1"/>
  <c r="AK109" i="1"/>
  <c r="AJ109" i="1"/>
  <c r="AI109" i="1"/>
  <c r="AH109" i="1"/>
  <c r="AG109" i="1"/>
  <c r="AF109" i="1"/>
  <c r="AP108" i="1"/>
  <c r="AO108" i="1"/>
  <c r="AN108" i="1"/>
  <c r="AM108" i="1"/>
  <c r="AL108" i="1"/>
  <c r="AK108" i="1"/>
  <c r="AJ108" i="1"/>
  <c r="AI108" i="1"/>
  <c r="AH108" i="1"/>
  <c r="AG108" i="1"/>
  <c r="AF108" i="1"/>
  <c r="AP107" i="1"/>
  <c r="AO107" i="1"/>
  <c r="AN107" i="1"/>
  <c r="AM107" i="1"/>
  <c r="AL107" i="1"/>
  <c r="AK107" i="1"/>
  <c r="AJ107" i="1"/>
  <c r="AI107" i="1"/>
  <c r="AH107" i="1"/>
  <c r="AG107" i="1"/>
  <c r="AF107" i="1"/>
  <c r="AP106" i="1"/>
  <c r="AO106" i="1"/>
  <c r="AN106" i="1"/>
  <c r="AM106" i="1"/>
  <c r="AL106" i="1"/>
  <c r="AK106" i="1"/>
  <c r="AJ106" i="1"/>
  <c r="AI106" i="1"/>
  <c r="AH106" i="1"/>
  <c r="AG106" i="1"/>
  <c r="AF106" i="1"/>
  <c r="AP105" i="1"/>
  <c r="AO105" i="1"/>
  <c r="AN105" i="1"/>
  <c r="AM105" i="1"/>
  <c r="AL105" i="1"/>
  <c r="AK105" i="1"/>
  <c r="AJ105" i="1"/>
  <c r="AI105" i="1"/>
  <c r="AH105" i="1"/>
  <c r="AG105" i="1"/>
  <c r="AF105" i="1"/>
  <c r="AP104" i="1"/>
  <c r="AO104" i="1"/>
  <c r="AN104" i="1"/>
  <c r="AM104" i="1"/>
  <c r="AL104" i="1"/>
  <c r="AK104" i="1"/>
  <c r="AJ104" i="1"/>
  <c r="AI104" i="1"/>
  <c r="AH104" i="1"/>
  <c r="AG104" i="1"/>
  <c r="AF104" i="1"/>
  <c r="AP103" i="1"/>
  <c r="AO103" i="1"/>
  <c r="AN103" i="1"/>
  <c r="AM103" i="1"/>
  <c r="AL103" i="1"/>
  <c r="AK103" i="1"/>
  <c r="AJ103" i="1"/>
  <c r="AI103" i="1"/>
  <c r="AH103" i="1"/>
  <c r="AG103" i="1"/>
  <c r="AF103" i="1"/>
  <c r="AP102" i="1"/>
  <c r="AO102" i="1"/>
  <c r="AN102" i="1"/>
  <c r="AM102" i="1"/>
  <c r="AL102" i="1"/>
  <c r="AK102" i="1"/>
  <c r="AJ102" i="1"/>
  <c r="AI102" i="1"/>
  <c r="AH102" i="1"/>
  <c r="AG102" i="1"/>
  <c r="AF102" i="1"/>
  <c r="AP101" i="1"/>
  <c r="AO101" i="1"/>
  <c r="AN101" i="1"/>
  <c r="AM101" i="1"/>
  <c r="AL101" i="1"/>
  <c r="AK101" i="1"/>
  <c r="AJ101" i="1"/>
  <c r="AI101" i="1"/>
  <c r="AH101" i="1"/>
  <c r="AG101" i="1"/>
  <c r="AF101" i="1"/>
  <c r="AP100" i="1"/>
  <c r="AO100" i="1"/>
  <c r="AN100" i="1"/>
  <c r="AM100" i="1"/>
  <c r="AL100" i="1"/>
  <c r="AK100" i="1"/>
  <c r="AJ100" i="1"/>
  <c r="AI100" i="1"/>
  <c r="AH100" i="1"/>
  <c r="AG100" i="1"/>
  <c r="AF100" i="1"/>
  <c r="AP99" i="1"/>
  <c r="AO99" i="1"/>
  <c r="AN99" i="1"/>
  <c r="AM99" i="1"/>
  <c r="AL99" i="1"/>
  <c r="AK99" i="1"/>
  <c r="AJ99" i="1"/>
  <c r="AI99" i="1"/>
  <c r="AH99" i="1"/>
  <c r="AG99" i="1"/>
  <c r="AF99" i="1"/>
  <c r="AP98" i="1"/>
  <c r="AO98" i="1"/>
  <c r="AN98" i="1"/>
  <c r="AM98" i="1"/>
  <c r="AL98" i="1"/>
  <c r="AK98" i="1"/>
  <c r="AJ98" i="1"/>
  <c r="AI98" i="1"/>
  <c r="AH98" i="1"/>
  <c r="AG98" i="1"/>
  <c r="AF98" i="1"/>
  <c r="AP97" i="1"/>
  <c r="AO97" i="1"/>
  <c r="AN97" i="1"/>
  <c r="AM97" i="1"/>
  <c r="AL97" i="1"/>
  <c r="AK97" i="1"/>
  <c r="AJ97" i="1"/>
  <c r="AI97" i="1"/>
  <c r="AH97" i="1"/>
  <c r="AG97" i="1"/>
  <c r="AF97" i="1"/>
  <c r="AP96" i="1"/>
  <c r="AO96" i="1"/>
  <c r="AN96" i="1"/>
  <c r="AM96" i="1"/>
  <c r="AL96" i="1"/>
  <c r="AK96" i="1"/>
  <c r="AJ96" i="1"/>
  <c r="AI96" i="1"/>
  <c r="AH96" i="1"/>
  <c r="AG96" i="1"/>
  <c r="AF96" i="1"/>
  <c r="AP95" i="1"/>
  <c r="AO95" i="1"/>
  <c r="AN95" i="1"/>
  <c r="AM95" i="1"/>
  <c r="AL95" i="1"/>
  <c r="AK95" i="1"/>
  <c r="AJ95" i="1"/>
  <c r="AI95" i="1"/>
  <c r="AH95" i="1"/>
  <c r="AG95" i="1"/>
  <c r="AF95" i="1"/>
  <c r="AP94" i="1"/>
  <c r="AO94" i="1"/>
  <c r="AN94" i="1"/>
  <c r="AM94" i="1"/>
  <c r="AL94" i="1"/>
  <c r="AK94" i="1"/>
  <c r="AJ94" i="1"/>
  <c r="AI94" i="1"/>
  <c r="AH94" i="1"/>
  <c r="AG94" i="1"/>
  <c r="AF94" i="1"/>
  <c r="AP93" i="1"/>
  <c r="AN93" i="1"/>
  <c r="AO93" i="1" s="1"/>
  <c r="AM93" i="1"/>
  <c r="AK93" i="1"/>
  <c r="AJ93" i="1"/>
  <c r="AH93" i="1"/>
  <c r="AI93" i="1" s="1"/>
  <c r="AF93" i="1"/>
  <c r="AG93" i="1" s="1"/>
  <c r="AP92" i="1"/>
  <c r="AN92" i="1"/>
  <c r="AO92" i="1" s="1"/>
  <c r="AM92" i="1"/>
  <c r="AK92" i="1"/>
  <c r="AJ92" i="1"/>
  <c r="AH92" i="1"/>
  <c r="AI92" i="1" s="1"/>
  <c r="AF92" i="1"/>
  <c r="AG92" i="1" s="1"/>
  <c r="AP91" i="1"/>
  <c r="AN91" i="1"/>
  <c r="AO91" i="1" s="1"/>
  <c r="AM91" i="1"/>
  <c r="AK91" i="1"/>
  <c r="AJ91" i="1"/>
  <c r="AI91" i="1"/>
  <c r="AH91" i="1"/>
  <c r="AF91" i="1"/>
  <c r="AG91" i="1" s="1"/>
  <c r="AL91" i="1" s="1"/>
  <c r="AP90" i="1"/>
  <c r="AO90" i="1"/>
  <c r="AN90" i="1"/>
  <c r="AM90" i="1"/>
  <c r="AK90" i="1"/>
  <c r="AJ90" i="1"/>
  <c r="AH90" i="1"/>
  <c r="AI90" i="1" s="1"/>
  <c r="AF90" i="1"/>
  <c r="AG90" i="1" s="1"/>
  <c r="AP89" i="1"/>
  <c r="AN89" i="1"/>
  <c r="AO89" i="1" s="1"/>
  <c r="AM89" i="1"/>
  <c r="AK89" i="1"/>
  <c r="AJ89" i="1"/>
  <c r="AI89" i="1"/>
  <c r="AH89" i="1"/>
  <c r="AF89" i="1"/>
  <c r="AG89" i="1" s="1"/>
  <c r="AL89" i="1" s="1"/>
  <c r="AP88" i="1"/>
  <c r="AN88" i="1"/>
  <c r="AO88" i="1" s="1"/>
  <c r="AM88" i="1"/>
  <c r="AK88" i="1"/>
  <c r="AJ88" i="1"/>
  <c r="AI88" i="1"/>
  <c r="AH88" i="1"/>
  <c r="AF88" i="1"/>
  <c r="AG88" i="1" s="1"/>
  <c r="AL88" i="1" s="1"/>
  <c r="AP87" i="1"/>
  <c r="AO87" i="1"/>
  <c r="AN87" i="1"/>
  <c r="AM87" i="1"/>
  <c r="AK87" i="1"/>
  <c r="AJ87" i="1"/>
  <c r="AH87" i="1"/>
  <c r="AI87" i="1" s="1"/>
  <c r="AL87" i="1" s="1"/>
  <c r="AG87" i="1"/>
  <c r="AF87" i="1"/>
  <c r="AP86" i="1"/>
  <c r="AO86" i="1"/>
  <c r="AN86" i="1"/>
  <c r="AM86" i="1"/>
  <c r="AK86" i="1"/>
  <c r="AL86" i="1" s="1"/>
  <c r="AJ86" i="1"/>
  <c r="AI86" i="1"/>
  <c r="AH86" i="1"/>
  <c r="AG86" i="1"/>
  <c r="AF86" i="1"/>
  <c r="AP85" i="1"/>
  <c r="AN85" i="1"/>
  <c r="AO85" i="1" s="1"/>
  <c r="AM85" i="1"/>
  <c r="AK85" i="1"/>
  <c r="AJ85" i="1"/>
  <c r="AI85" i="1"/>
  <c r="AH85" i="1"/>
  <c r="AF85" i="1"/>
  <c r="AG85" i="1" s="1"/>
  <c r="AL85" i="1" s="1"/>
  <c r="AP84" i="1"/>
  <c r="AO84" i="1"/>
  <c r="AN84" i="1"/>
  <c r="AM84" i="1"/>
  <c r="AK84" i="1"/>
  <c r="AJ84" i="1"/>
  <c r="AI84" i="1"/>
  <c r="AL84" i="1" s="1"/>
  <c r="AH84" i="1"/>
  <c r="AG84" i="1"/>
  <c r="AF84" i="1"/>
  <c r="AP83" i="1"/>
  <c r="AO83" i="1"/>
  <c r="AN83" i="1"/>
  <c r="AM83" i="1"/>
  <c r="AK83" i="1"/>
  <c r="AJ83" i="1"/>
  <c r="AH83" i="1"/>
  <c r="AI83" i="1" s="1"/>
  <c r="AL83" i="1" s="1"/>
  <c r="AG83" i="1"/>
  <c r="AF83" i="1"/>
  <c r="AP82" i="1"/>
  <c r="AO82" i="1"/>
  <c r="AN82" i="1"/>
  <c r="AM82" i="1"/>
  <c r="AK82" i="1"/>
  <c r="AJ82" i="1"/>
  <c r="AH82" i="1"/>
  <c r="AI82" i="1" s="1"/>
  <c r="AG82" i="1"/>
  <c r="AL82" i="1" s="1"/>
  <c r="AF82" i="1"/>
  <c r="AP81" i="1"/>
  <c r="AN81" i="1"/>
  <c r="AO81" i="1" s="1"/>
  <c r="AM81" i="1"/>
  <c r="AK81" i="1"/>
  <c r="AJ81" i="1"/>
  <c r="AI81" i="1"/>
  <c r="AH81" i="1"/>
  <c r="AF81" i="1"/>
  <c r="AG81" i="1" s="1"/>
  <c r="AL81" i="1" s="1"/>
  <c r="AP80" i="1"/>
  <c r="AN80" i="1"/>
  <c r="AO80" i="1" s="1"/>
  <c r="AM80" i="1"/>
  <c r="AK80" i="1"/>
  <c r="AJ80" i="1"/>
  <c r="AI80" i="1"/>
  <c r="AH80" i="1"/>
  <c r="AF80" i="1"/>
  <c r="AG80" i="1" s="1"/>
  <c r="AL80" i="1" s="1"/>
  <c r="AP79" i="1"/>
  <c r="AO79" i="1"/>
  <c r="AN79" i="1"/>
  <c r="AM79" i="1"/>
  <c r="AK79" i="1"/>
  <c r="AJ79" i="1"/>
  <c r="AH79" i="1"/>
  <c r="AI79" i="1" s="1"/>
  <c r="AL79" i="1" s="1"/>
  <c r="AG79" i="1"/>
  <c r="AF79" i="1"/>
  <c r="AP78" i="1"/>
  <c r="AO78" i="1"/>
  <c r="AN78" i="1"/>
  <c r="AM78" i="1"/>
  <c r="AK78" i="1"/>
  <c r="AL78" i="1" s="1"/>
  <c r="AJ78" i="1"/>
  <c r="AI78" i="1"/>
  <c r="AH78" i="1"/>
  <c r="AG78" i="1"/>
  <c r="AF78" i="1"/>
  <c r="AP77" i="1"/>
  <c r="AN77" i="1"/>
  <c r="AO77" i="1" s="1"/>
  <c r="AM77" i="1"/>
  <c r="AK77" i="1"/>
  <c r="AJ77" i="1"/>
  <c r="AI77" i="1"/>
  <c r="AH77" i="1"/>
  <c r="AF77" i="1"/>
  <c r="AG77" i="1" s="1"/>
  <c r="AL77" i="1" s="1"/>
  <c r="AP76" i="1"/>
  <c r="AO76" i="1"/>
  <c r="AN76" i="1"/>
  <c r="AM76" i="1"/>
  <c r="AK76" i="1"/>
  <c r="AJ76" i="1"/>
  <c r="AI76" i="1"/>
  <c r="AL76" i="1" s="1"/>
  <c r="AH76" i="1"/>
  <c r="AG76" i="1"/>
  <c r="AF76" i="1"/>
  <c r="AP75" i="1"/>
  <c r="AO75" i="1"/>
  <c r="AN75" i="1"/>
  <c r="AM75" i="1"/>
  <c r="AK75" i="1"/>
  <c r="AJ75" i="1"/>
  <c r="AH75" i="1"/>
  <c r="AI75" i="1" s="1"/>
  <c r="AL75" i="1" s="1"/>
  <c r="AG75" i="1"/>
  <c r="AF75" i="1"/>
  <c r="AP74" i="1"/>
  <c r="AO74" i="1"/>
  <c r="AN74" i="1"/>
  <c r="AM74" i="1"/>
  <c r="AK74" i="1"/>
  <c r="AJ74" i="1"/>
  <c r="AH74" i="1"/>
  <c r="AI74" i="1" s="1"/>
  <c r="AG74" i="1"/>
  <c r="AF74" i="1"/>
  <c r="AP73" i="1"/>
  <c r="AN73" i="1"/>
  <c r="AO73" i="1" s="1"/>
  <c r="AM73" i="1"/>
  <c r="AK73" i="1"/>
  <c r="AJ73" i="1"/>
  <c r="AI73" i="1"/>
  <c r="AH73" i="1"/>
  <c r="AF73" i="1"/>
  <c r="AG73" i="1" s="1"/>
  <c r="AL73" i="1" s="1"/>
  <c r="AP72" i="1"/>
  <c r="AN72" i="1"/>
  <c r="AO72" i="1" s="1"/>
  <c r="AM72" i="1"/>
  <c r="AK72" i="1"/>
  <c r="AJ72" i="1"/>
  <c r="AI72" i="1"/>
  <c r="AH72" i="1"/>
  <c r="AF72" i="1"/>
  <c r="AG72" i="1" s="1"/>
  <c r="AL72" i="1" s="1"/>
  <c r="AP71" i="1"/>
  <c r="AO71" i="1"/>
  <c r="AN71" i="1"/>
  <c r="AM71" i="1"/>
  <c r="AK71" i="1"/>
  <c r="AJ71" i="1"/>
  <c r="AH71" i="1"/>
  <c r="AI71" i="1" s="1"/>
  <c r="AL71" i="1" s="1"/>
  <c r="AG71" i="1"/>
  <c r="AF71" i="1"/>
  <c r="AP70" i="1"/>
  <c r="AO70" i="1"/>
  <c r="AN70" i="1"/>
  <c r="AM70" i="1"/>
  <c r="AK70" i="1"/>
  <c r="AL70" i="1" s="1"/>
  <c r="AJ70" i="1"/>
  <c r="AI70" i="1"/>
  <c r="AH70" i="1"/>
  <c r="AG70" i="1"/>
  <c r="AF70" i="1"/>
  <c r="AP69" i="1"/>
  <c r="AN69" i="1"/>
  <c r="AO69" i="1" s="1"/>
  <c r="AM69" i="1"/>
  <c r="AK69" i="1"/>
  <c r="AJ69" i="1"/>
  <c r="AI69" i="1"/>
  <c r="AH69" i="1"/>
  <c r="AF69" i="1"/>
  <c r="AG69" i="1" s="1"/>
  <c r="AL69" i="1" s="1"/>
  <c r="AP68" i="1"/>
  <c r="AO68" i="1"/>
  <c r="AN68" i="1"/>
  <c r="AM68" i="1"/>
  <c r="AK68" i="1"/>
  <c r="AJ68" i="1"/>
  <c r="AI68" i="1"/>
  <c r="AL68" i="1" s="1"/>
  <c r="AH68" i="1"/>
  <c r="AG68" i="1"/>
  <c r="AF68" i="1"/>
  <c r="AP67" i="1"/>
  <c r="AO67" i="1"/>
  <c r="AN67" i="1"/>
  <c r="AM67" i="1"/>
  <c r="AK67" i="1"/>
  <c r="AJ67" i="1"/>
  <c r="AH67" i="1"/>
  <c r="AI67" i="1" s="1"/>
  <c r="AL67" i="1" s="1"/>
  <c r="AG67" i="1"/>
  <c r="AF67" i="1"/>
  <c r="AP66" i="1"/>
  <c r="AO66" i="1"/>
  <c r="AN66" i="1"/>
  <c r="AM66" i="1"/>
  <c r="AK66" i="1"/>
  <c r="AJ66" i="1"/>
  <c r="AH66" i="1"/>
  <c r="AI66" i="1" s="1"/>
  <c r="AG66" i="1"/>
  <c r="AF66" i="1"/>
  <c r="AP65" i="1"/>
  <c r="AN65" i="1"/>
  <c r="AO65" i="1" s="1"/>
  <c r="AM65" i="1"/>
  <c r="AK65" i="1"/>
  <c r="AJ65" i="1"/>
  <c r="AI65" i="1"/>
  <c r="AH65" i="1"/>
  <c r="AF65" i="1"/>
  <c r="AG65" i="1" s="1"/>
  <c r="AL65" i="1" s="1"/>
  <c r="AP64" i="1"/>
  <c r="AN64" i="1"/>
  <c r="AO64" i="1" s="1"/>
  <c r="AM64" i="1"/>
  <c r="AK64" i="1"/>
  <c r="AJ64" i="1"/>
  <c r="AI64" i="1"/>
  <c r="AH64" i="1"/>
  <c r="AF64" i="1"/>
  <c r="AG64" i="1" s="1"/>
  <c r="AL64" i="1" s="1"/>
  <c r="AP63" i="1"/>
  <c r="AO63" i="1"/>
  <c r="AN63" i="1"/>
  <c r="AM63" i="1"/>
  <c r="AK63" i="1"/>
  <c r="AJ63" i="1"/>
  <c r="AH63" i="1"/>
  <c r="AI63" i="1" s="1"/>
  <c r="AL63" i="1" s="1"/>
  <c r="AG63" i="1"/>
  <c r="AF63" i="1"/>
  <c r="AP62" i="1"/>
  <c r="AO62" i="1"/>
  <c r="AN62" i="1"/>
  <c r="AM62" i="1"/>
  <c r="AK62" i="1"/>
  <c r="AJ62" i="1"/>
  <c r="AH62" i="1"/>
  <c r="AI62" i="1" s="1"/>
  <c r="AL62" i="1" s="1"/>
  <c r="AG62" i="1"/>
  <c r="AF62" i="1"/>
  <c r="AP61" i="1"/>
  <c r="AN61" i="1"/>
  <c r="AO61" i="1" s="1"/>
  <c r="AM61" i="1"/>
  <c r="AK61" i="1"/>
  <c r="AJ61" i="1"/>
  <c r="AH61" i="1"/>
  <c r="AI61" i="1" s="1"/>
  <c r="AF61" i="1"/>
  <c r="AG61" i="1" s="1"/>
  <c r="AL61" i="1" s="1"/>
  <c r="AP60" i="1"/>
  <c r="AN60" i="1"/>
  <c r="AO60" i="1" s="1"/>
  <c r="AM60" i="1"/>
  <c r="AK60" i="1"/>
  <c r="AJ60" i="1"/>
  <c r="AI60" i="1"/>
  <c r="AH60" i="1"/>
  <c r="AF60" i="1"/>
  <c r="AG60" i="1" s="1"/>
  <c r="AL60" i="1" s="1"/>
  <c r="AP59" i="1"/>
  <c r="AN59" i="1"/>
  <c r="AO59" i="1" s="1"/>
  <c r="AM59" i="1"/>
  <c r="AK59" i="1"/>
  <c r="AJ59" i="1"/>
  <c r="AI59" i="1"/>
  <c r="AH59" i="1"/>
  <c r="AF59" i="1"/>
  <c r="AG59" i="1" s="1"/>
  <c r="AL59" i="1" s="1"/>
  <c r="AP58" i="1"/>
  <c r="AO58" i="1"/>
  <c r="AN58" i="1"/>
  <c r="AM58" i="1"/>
  <c r="AK58" i="1"/>
  <c r="AJ58" i="1"/>
  <c r="AH58" i="1"/>
  <c r="AI58" i="1" s="1"/>
  <c r="AG58" i="1"/>
  <c r="AL58" i="1" s="1"/>
  <c r="AF58" i="1"/>
  <c r="AP57" i="1"/>
  <c r="AO57" i="1"/>
  <c r="AN57" i="1"/>
  <c r="AM57" i="1"/>
  <c r="AK57" i="1"/>
  <c r="AJ57" i="1"/>
  <c r="AI57" i="1"/>
  <c r="AH57" i="1"/>
  <c r="AG57" i="1"/>
  <c r="AL57" i="1" s="1"/>
  <c r="AF57" i="1"/>
  <c r="AP56" i="1"/>
  <c r="AN56" i="1"/>
  <c r="AO56" i="1" s="1"/>
  <c r="AM56" i="1"/>
  <c r="AK56" i="1"/>
  <c r="AJ56" i="1"/>
  <c r="AI56" i="1"/>
  <c r="AH56" i="1"/>
  <c r="AF56" i="1"/>
  <c r="AG56" i="1" s="1"/>
  <c r="AL56" i="1" s="1"/>
  <c r="AP55" i="1"/>
  <c r="AN55" i="1"/>
  <c r="AO55" i="1" s="1"/>
  <c r="AM55" i="1"/>
  <c r="AK55" i="1"/>
  <c r="AJ55" i="1"/>
  <c r="AH55" i="1"/>
  <c r="AI55" i="1" s="1"/>
  <c r="AF55" i="1"/>
  <c r="AG55" i="1" s="1"/>
  <c r="AL55" i="1" s="1"/>
  <c r="AP54" i="1"/>
  <c r="AO54" i="1"/>
  <c r="AN54" i="1"/>
  <c r="AM54" i="1"/>
  <c r="AK54" i="1"/>
  <c r="AJ54" i="1"/>
  <c r="AH54" i="1"/>
  <c r="AI54" i="1" s="1"/>
  <c r="AF54" i="1"/>
  <c r="AG54" i="1" s="1"/>
  <c r="AL54" i="1" s="1"/>
  <c r="AP53" i="1"/>
  <c r="AN53" i="1"/>
  <c r="AO53" i="1" s="1"/>
  <c r="AM53" i="1"/>
  <c r="AK53" i="1"/>
  <c r="AJ53" i="1"/>
  <c r="AH53" i="1"/>
  <c r="AI53" i="1" s="1"/>
  <c r="AF53" i="1"/>
  <c r="AG53" i="1" s="1"/>
  <c r="AP52" i="1"/>
  <c r="AN52" i="1"/>
  <c r="AO52" i="1" s="1"/>
  <c r="AM52" i="1"/>
  <c r="AK52" i="1"/>
  <c r="AJ52" i="1"/>
  <c r="AI52" i="1"/>
  <c r="AH52" i="1"/>
  <c r="AF52" i="1"/>
  <c r="AG52" i="1" s="1"/>
  <c r="AL52" i="1" s="1"/>
  <c r="AP51" i="1"/>
  <c r="AN51" i="1"/>
  <c r="AO51" i="1" s="1"/>
  <c r="AM51" i="1"/>
  <c r="AK51" i="1"/>
  <c r="AJ51" i="1"/>
  <c r="AI51" i="1"/>
  <c r="AH51" i="1"/>
  <c r="AF51" i="1"/>
  <c r="AG51" i="1" s="1"/>
  <c r="AL51" i="1" s="1"/>
  <c r="AP50" i="1"/>
  <c r="AO50" i="1"/>
  <c r="AN50" i="1"/>
  <c r="AM50" i="1"/>
  <c r="AK50" i="1"/>
  <c r="AJ50" i="1"/>
  <c r="AH50" i="1"/>
  <c r="AI50" i="1" s="1"/>
  <c r="AG50" i="1"/>
  <c r="AF50" i="1"/>
  <c r="AP49" i="1"/>
  <c r="AO49" i="1"/>
  <c r="AN49" i="1"/>
  <c r="AM49" i="1"/>
  <c r="AK49" i="1"/>
  <c r="AJ49" i="1"/>
  <c r="AI49" i="1"/>
  <c r="AH49" i="1"/>
  <c r="AG49" i="1"/>
  <c r="AL49" i="1" s="1"/>
  <c r="AF49" i="1"/>
  <c r="AP48" i="1"/>
  <c r="AN48" i="1"/>
  <c r="AO48" i="1" s="1"/>
  <c r="AM48" i="1"/>
  <c r="AK48" i="1"/>
  <c r="AJ48" i="1"/>
  <c r="AI48" i="1"/>
  <c r="AH48" i="1"/>
  <c r="AF48" i="1"/>
  <c r="AG48" i="1" s="1"/>
  <c r="AL48" i="1" s="1"/>
  <c r="AP47" i="1"/>
  <c r="AN47" i="1"/>
  <c r="AO47" i="1" s="1"/>
  <c r="AM47" i="1"/>
  <c r="AK47" i="1"/>
  <c r="AJ47" i="1"/>
  <c r="AH47" i="1"/>
  <c r="AI47" i="1" s="1"/>
  <c r="AF47" i="1"/>
  <c r="AG47" i="1" s="1"/>
  <c r="AL47" i="1" s="1"/>
  <c r="AP46" i="1"/>
  <c r="AN46" i="1"/>
  <c r="AO46" i="1" s="1"/>
  <c r="AM46" i="1"/>
  <c r="AK46" i="1"/>
  <c r="AJ46" i="1"/>
  <c r="AH46" i="1"/>
  <c r="AI46" i="1" s="1"/>
  <c r="AF46" i="1"/>
  <c r="AG46" i="1" s="1"/>
  <c r="AP45" i="1"/>
  <c r="AN45" i="1"/>
  <c r="AO45" i="1" s="1"/>
  <c r="AM45" i="1"/>
  <c r="AK45" i="1"/>
  <c r="AJ45" i="1"/>
  <c r="AH45" i="1"/>
  <c r="AI45" i="1" s="1"/>
  <c r="AF45" i="1"/>
  <c r="AG45" i="1" s="1"/>
  <c r="AP44" i="1"/>
  <c r="AN44" i="1"/>
  <c r="AO44" i="1" s="1"/>
  <c r="AM44" i="1"/>
  <c r="AK44" i="1"/>
  <c r="AJ44" i="1"/>
  <c r="AI44" i="1"/>
  <c r="AH44" i="1"/>
  <c r="AF44" i="1"/>
  <c r="AG44" i="1" s="1"/>
  <c r="AL44" i="1" s="1"/>
  <c r="AP43" i="1"/>
  <c r="AN43" i="1"/>
  <c r="AO43" i="1" s="1"/>
  <c r="AM43" i="1"/>
  <c r="AK43" i="1"/>
  <c r="AJ43" i="1"/>
  <c r="AI43" i="1"/>
  <c r="AH43" i="1"/>
  <c r="AF43" i="1"/>
  <c r="AG43" i="1" s="1"/>
  <c r="AL43" i="1" s="1"/>
  <c r="AP42" i="1"/>
  <c r="AO42" i="1"/>
  <c r="AN42" i="1"/>
  <c r="AM42" i="1"/>
  <c r="AK42" i="1"/>
  <c r="AJ42" i="1"/>
  <c r="AH42" i="1"/>
  <c r="AI42" i="1" s="1"/>
  <c r="AG42" i="1"/>
  <c r="AF42" i="1"/>
  <c r="AP41" i="1"/>
  <c r="AO41" i="1"/>
  <c r="AN41" i="1"/>
  <c r="AM41" i="1"/>
  <c r="AK41" i="1"/>
  <c r="AJ41" i="1"/>
  <c r="AI41" i="1"/>
  <c r="AH41" i="1"/>
  <c r="AG41" i="1"/>
  <c r="AL41" i="1" s="1"/>
  <c r="AF41" i="1"/>
  <c r="AP40" i="1"/>
  <c r="AN40" i="1"/>
  <c r="AO40" i="1" s="1"/>
  <c r="AM40" i="1"/>
  <c r="AK40" i="1"/>
  <c r="AJ40" i="1"/>
  <c r="AI40" i="1"/>
  <c r="AH40" i="1"/>
  <c r="AF40" i="1"/>
  <c r="AG40" i="1" s="1"/>
  <c r="AL40" i="1" s="1"/>
  <c r="AP39" i="1"/>
  <c r="AN39" i="1"/>
  <c r="AO39" i="1" s="1"/>
  <c r="AM39" i="1"/>
  <c r="AK39" i="1"/>
  <c r="AJ39" i="1"/>
  <c r="AH39" i="1"/>
  <c r="AI39" i="1" s="1"/>
  <c r="AF39" i="1"/>
  <c r="AG39" i="1" s="1"/>
  <c r="AL39" i="1" s="1"/>
  <c r="AP38" i="1"/>
  <c r="AN38" i="1"/>
  <c r="AO38" i="1" s="1"/>
  <c r="AM38" i="1"/>
  <c r="AK38" i="1"/>
  <c r="AJ38" i="1"/>
  <c r="AH38" i="1"/>
  <c r="AI38" i="1" s="1"/>
  <c r="AF38" i="1"/>
  <c r="AG38" i="1" s="1"/>
  <c r="AP37" i="1"/>
  <c r="AN37" i="1"/>
  <c r="AO37" i="1" s="1"/>
  <c r="AM37" i="1"/>
  <c r="AK37" i="1"/>
  <c r="AJ37" i="1"/>
  <c r="AH37" i="1"/>
  <c r="AI37" i="1" s="1"/>
  <c r="AF37" i="1"/>
  <c r="AG37" i="1" s="1"/>
  <c r="AP36" i="1"/>
  <c r="AN36" i="1"/>
  <c r="AO36" i="1" s="1"/>
  <c r="AM36" i="1"/>
  <c r="AK36" i="1"/>
  <c r="AJ36" i="1"/>
  <c r="AI36" i="1"/>
  <c r="AH36" i="1"/>
  <c r="AF36" i="1"/>
  <c r="AG36" i="1" s="1"/>
  <c r="AL36" i="1" s="1"/>
  <c r="AP35" i="1"/>
  <c r="AN35" i="1"/>
  <c r="AO35" i="1" s="1"/>
  <c r="AM35" i="1"/>
  <c r="AK35" i="1"/>
  <c r="AJ35" i="1"/>
  <c r="AI35" i="1"/>
  <c r="AH35" i="1"/>
  <c r="AF35" i="1"/>
  <c r="AG35" i="1" s="1"/>
  <c r="AL35" i="1" s="1"/>
  <c r="AP34" i="1"/>
  <c r="AO34" i="1"/>
  <c r="AN34" i="1"/>
  <c r="AM34" i="1"/>
  <c r="AK34" i="1"/>
  <c r="AJ34" i="1"/>
  <c r="AH34" i="1"/>
  <c r="AI34" i="1" s="1"/>
  <c r="AG34" i="1"/>
  <c r="AF34" i="1"/>
  <c r="AP33" i="1"/>
  <c r="AO33" i="1"/>
  <c r="AN33" i="1"/>
  <c r="AM33" i="1"/>
  <c r="AK33" i="1"/>
  <c r="AJ33" i="1"/>
  <c r="AI33" i="1"/>
  <c r="AH33" i="1"/>
  <c r="AG33" i="1"/>
  <c r="AL33" i="1" s="1"/>
  <c r="AF33" i="1"/>
  <c r="AP32" i="1"/>
  <c r="AN32" i="1"/>
  <c r="AO32" i="1" s="1"/>
  <c r="AM32" i="1"/>
  <c r="AK32" i="1"/>
  <c r="AJ32" i="1"/>
  <c r="AI32" i="1"/>
  <c r="AH32" i="1"/>
  <c r="AF32" i="1"/>
  <c r="AG32" i="1" s="1"/>
  <c r="AL32" i="1" s="1"/>
  <c r="AP31" i="1"/>
  <c r="AN31" i="1"/>
  <c r="AO31" i="1" s="1"/>
  <c r="AM31" i="1"/>
  <c r="AK31" i="1"/>
  <c r="AJ31" i="1"/>
  <c r="AH31" i="1"/>
  <c r="AI31" i="1" s="1"/>
  <c r="AF31" i="1"/>
  <c r="AG31" i="1" s="1"/>
  <c r="AL31" i="1" s="1"/>
  <c r="AP30" i="1"/>
  <c r="AN30" i="1"/>
  <c r="AO30" i="1" s="1"/>
  <c r="AM30" i="1"/>
  <c r="AK30" i="1"/>
  <c r="AJ30" i="1"/>
  <c r="AH30" i="1"/>
  <c r="AI30" i="1" s="1"/>
  <c r="AF30" i="1"/>
  <c r="AG30" i="1" s="1"/>
  <c r="AP29" i="1"/>
  <c r="AN29" i="1"/>
  <c r="AO29" i="1" s="1"/>
  <c r="AM29" i="1"/>
  <c r="AK29" i="1"/>
  <c r="AJ29" i="1"/>
  <c r="AH29" i="1"/>
  <c r="AI29" i="1" s="1"/>
  <c r="AF29" i="1"/>
  <c r="AG29" i="1" s="1"/>
  <c r="AL29" i="1" s="1"/>
  <c r="AP28" i="1"/>
  <c r="AN28" i="1"/>
  <c r="AO28" i="1" s="1"/>
  <c r="AM28" i="1"/>
  <c r="AK28" i="1"/>
  <c r="AJ28" i="1"/>
  <c r="AI28" i="1"/>
  <c r="AH28" i="1"/>
  <c r="AF28" i="1"/>
  <c r="AG28" i="1" s="1"/>
  <c r="AL28" i="1" s="1"/>
  <c r="AP27" i="1"/>
  <c r="AN27" i="1"/>
  <c r="AO27" i="1" s="1"/>
  <c r="AM27" i="1"/>
  <c r="AK27" i="1"/>
  <c r="AJ27" i="1"/>
  <c r="AI27" i="1"/>
  <c r="AH27" i="1"/>
  <c r="AF27" i="1"/>
  <c r="AG27" i="1" s="1"/>
  <c r="AL27" i="1" s="1"/>
  <c r="AP26" i="1"/>
  <c r="AO26" i="1"/>
  <c r="AN26" i="1"/>
  <c r="AM26" i="1"/>
  <c r="AK26" i="1"/>
  <c r="AJ26" i="1"/>
  <c r="AH26" i="1"/>
  <c r="AI26" i="1" s="1"/>
  <c r="AG26" i="1"/>
  <c r="AL26" i="1" s="1"/>
  <c r="AF26" i="1"/>
  <c r="AP25" i="1"/>
  <c r="AO25" i="1"/>
  <c r="AN25" i="1"/>
  <c r="AM25" i="1"/>
  <c r="AK25" i="1"/>
  <c r="AJ25" i="1"/>
  <c r="AH25" i="1"/>
  <c r="AI25" i="1" s="1"/>
  <c r="AG25" i="1"/>
  <c r="AF25" i="1"/>
  <c r="AP24" i="1"/>
  <c r="AN24" i="1"/>
  <c r="AO24" i="1" s="1"/>
  <c r="AM24" i="1"/>
  <c r="AK24" i="1"/>
  <c r="AJ24" i="1"/>
  <c r="AI24" i="1"/>
  <c r="AH24" i="1"/>
  <c r="AF24" i="1"/>
  <c r="AG24" i="1" s="1"/>
  <c r="AL24" i="1" s="1"/>
  <c r="AP23" i="1"/>
  <c r="AN23" i="1"/>
  <c r="AO23" i="1" s="1"/>
  <c r="AM23" i="1"/>
  <c r="AK23" i="1"/>
  <c r="AJ23" i="1"/>
  <c r="AH23" i="1"/>
  <c r="AI23" i="1" s="1"/>
  <c r="AF23" i="1"/>
  <c r="AG23" i="1" s="1"/>
  <c r="AP22" i="1"/>
  <c r="AN22" i="1"/>
  <c r="AO22" i="1" s="1"/>
  <c r="AM22" i="1"/>
  <c r="AK22" i="1"/>
  <c r="AJ22" i="1"/>
  <c r="AH22" i="1"/>
  <c r="AI22" i="1" s="1"/>
  <c r="AF22" i="1"/>
  <c r="AG22" i="1" s="1"/>
  <c r="AL22" i="1" s="1"/>
  <c r="AP21" i="1"/>
  <c r="AN21" i="1"/>
  <c r="AO21" i="1" s="1"/>
  <c r="AM21" i="1"/>
  <c r="AK21" i="1"/>
  <c r="AJ21" i="1"/>
  <c r="AH21" i="1"/>
  <c r="AI21" i="1" s="1"/>
  <c r="AF21" i="1"/>
  <c r="AG21" i="1" s="1"/>
  <c r="AL21" i="1" s="1"/>
  <c r="AP20" i="1"/>
  <c r="AN20" i="1"/>
  <c r="AO20" i="1" s="1"/>
  <c r="AM20" i="1"/>
  <c r="AK20" i="1"/>
  <c r="AJ20" i="1"/>
  <c r="AI20" i="1"/>
  <c r="AH20" i="1"/>
  <c r="AF20" i="1"/>
  <c r="AG20" i="1" s="1"/>
  <c r="AL20" i="1" s="1"/>
  <c r="AP19" i="1"/>
  <c r="AN19" i="1"/>
  <c r="AO19" i="1" s="1"/>
  <c r="AM19" i="1"/>
  <c r="AK19" i="1"/>
  <c r="AJ19" i="1"/>
  <c r="AI19" i="1"/>
  <c r="AH19" i="1"/>
  <c r="AF19" i="1"/>
  <c r="AG19" i="1" s="1"/>
  <c r="AL19" i="1" s="1"/>
  <c r="AP18" i="1"/>
  <c r="AO18" i="1"/>
  <c r="AN18" i="1"/>
  <c r="AM18" i="1"/>
  <c r="AK18" i="1"/>
  <c r="AJ18" i="1"/>
  <c r="AH18" i="1"/>
  <c r="AI18" i="1" s="1"/>
  <c r="AG18" i="1"/>
  <c r="AL18" i="1" s="1"/>
  <c r="AF18" i="1"/>
  <c r="AP17" i="1"/>
  <c r="AO17" i="1"/>
  <c r="AN17" i="1"/>
  <c r="AM17" i="1"/>
  <c r="AK17" i="1"/>
  <c r="AJ17" i="1"/>
  <c r="AH17" i="1"/>
  <c r="AI17" i="1" s="1"/>
  <c r="AG17" i="1"/>
  <c r="AL17" i="1" s="1"/>
  <c r="AF17" i="1"/>
  <c r="AP16" i="1"/>
  <c r="AN16" i="1"/>
  <c r="AO16" i="1" s="1"/>
  <c r="AM16" i="1"/>
  <c r="AK16" i="1"/>
  <c r="AJ16" i="1"/>
  <c r="AI16" i="1"/>
  <c r="AH16" i="1"/>
  <c r="AF16" i="1"/>
  <c r="AG16" i="1" s="1"/>
  <c r="AL16" i="1" s="1"/>
  <c r="AP15" i="1"/>
  <c r="AN15" i="1"/>
  <c r="AO15" i="1" s="1"/>
  <c r="AM15" i="1"/>
  <c r="AK15" i="1"/>
  <c r="AJ15" i="1"/>
  <c r="AH15" i="1"/>
  <c r="AI15" i="1" s="1"/>
  <c r="AF15" i="1"/>
  <c r="AG15" i="1" s="1"/>
  <c r="AL15" i="1" s="1"/>
  <c r="AP14" i="1"/>
  <c r="AN14" i="1"/>
  <c r="AO14" i="1" s="1"/>
  <c r="AM14" i="1"/>
  <c r="AK14" i="1"/>
  <c r="AJ14" i="1"/>
  <c r="AH14" i="1"/>
  <c r="AI14" i="1" s="1"/>
  <c r="AF14" i="1"/>
  <c r="AG14" i="1" s="1"/>
  <c r="AL14" i="1" s="1"/>
  <c r="AP13" i="1"/>
  <c r="AN13" i="1"/>
  <c r="AO13" i="1" s="1"/>
  <c r="AM13" i="1"/>
  <c r="AK13" i="1"/>
  <c r="AJ13" i="1"/>
  <c r="AH13" i="1"/>
  <c r="AI13" i="1" s="1"/>
  <c r="AF13" i="1"/>
  <c r="AG13" i="1" s="1"/>
  <c r="AP12" i="1"/>
  <c r="AN12" i="1"/>
  <c r="AO12" i="1" s="1"/>
  <c r="AM12" i="1"/>
  <c r="AK12" i="1"/>
  <c r="AJ12" i="1"/>
  <c r="AI12" i="1"/>
  <c r="AH12" i="1"/>
  <c r="AF12" i="1"/>
  <c r="AG12" i="1" s="1"/>
  <c r="AL12" i="1" s="1"/>
  <c r="AP11" i="1"/>
  <c r="AN11" i="1"/>
  <c r="AO11" i="1" s="1"/>
  <c r="AM11" i="1"/>
  <c r="AK11" i="1"/>
  <c r="AJ11" i="1"/>
  <c r="AI11" i="1"/>
  <c r="AH11" i="1"/>
  <c r="AF11" i="1"/>
  <c r="AG11" i="1" s="1"/>
  <c r="AL11" i="1" s="1"/>
  <c r="AP10" i="1"/>
  <c r="AO10" i="1"/>
  <c r="AN10" i="1"/>
  <c r="AM10" i="1"/>
  <c r="AK10" i="1"/>
  <c r="AJ10" i="1"/>
  <c r="AH10" i="1"/>
  <c r="AI10" i="1" s="1"/>
  <c r="AG10" i="1"/>
  <c r="AL10" i="1" s="1"/>
  <c r="AF10" i="1"/>
  <c r="AP9" i="1"/>
  <c r="AO9" i="1"/>
  <c r="AN9" i="1"/>
  <c r="AM9" i="1"/>
  <c r="AK9" i="1"/>
  <c r="AJ9" i="1"/>
  <c r="AH9" i="1"/>
  <c r="AI9" i="1" s="1"/>
  <c r="AG9" i="1"/>
  <c r="AL9" i="1" s="1"/>
  <c r="AF9" i="1"/>
  <c r="AP8" i="1"/>
  <c r="AN8" i="1"/>
  <c r="AO8" i="1" s="1"/>
  <c r="AM8" i="1"/>
  <c r="AK8" i="1"/>
  <c r="AJ8" i="1"/>
  <c r="AI8" i="1"/>
  <c r="AH8" i="1"/>
  <c r="AF8" i="1"/>
  <c r="AG8" i="1" s="1"/>
  <c r="AL8" i="1" s="1"/>
  <c r="AP7" i="1"/>
  <c r="AN7" i="1"/>
  <c r="AO7" i="1" s="1"/>
  <c r="AM7" i="1"/>
  <c r="AK7" i="1"/>
  <c r="AJ7" i="1"/>
  <c r="AH7" i="1"/>
  <c r="AI7" i="1" s="1"/>
  <c r="AF7" i="1"/>
  <c r="AG7" i="1" s="1"/>
  <c r="AL7" i="1" s="1"/>
  <c r="AP6" i="1"/>
  <c r="AO6" i="1"/>
  <c r="AN6" i="1"/>
  <c r="AM6" i="1"/>
  <c r="AK6" i="1"/>
  <c r="AJ6" i="1"/>
  <c r="AH6" i="1"/>
  <c r="AI6" i="1" s="1"/>
  <c r="AL6" i="1" s="1"/>
  <c r="AG6" i="1"/>
  <c r="AF6" i="1"/>
  <c r="AP5" i="1"/>
  <c r="AN5" i="1"/>
  <c r="AO5" i="1" s="1"/>
  <c r="AM5" i="1"/>
  <c r="AK5" i="1"/>
  <c r="AJ5" i="1"/>
  <c r="AH5" i="1"/>
  <c r="AI5" i="1" s="1"/>
  <c r="AF5" i="1"/>
  <c r="AG5" i="1" s="1"/>
  <c r="AL5" i="1" s="1"/>
  <c r="AP4" i="1"/>
  <c r="AN4" i="1"/>
  <c r="AO4" i="1" s="1"/>
  <c r="AM4" i="1"/>
  <c r="AK4" i="1"/>
  <c r="AJ4" i="1"/>
  <c r="AI4" i="1"/>
  <c r="AH4" i="1"/>
  <c r="AF4" i="1"/>
  <c r="AG4" i="1" s="1"/>
  <c r="AL4" i="1" s="1"/>
  <c r="AP3" i="1"/>
  <c r="AN3" i="1"/>
  <c r="AO3" i="1" s="1"/>
  <c r="AM3" i="1"/>
  <c r="AK3" i="1"/>
  <c r="AJ3" i="1"/>
  <c r="AI3" i="1"/>
  <c r="AH3" i="1"/>
  <c r="AF3" i="1"/>
  <c r="AG3" i="1" s="1"/>
  <c r="AL3" i="1" s="1"/>
  <c r="AP2" i="1"/>
  <c r="AO2" i="1"/>
  <c r="AN2" i="1"/>
  <c r="AM2" i="1"/>
  <c r="AK2" i="1"/>
  <c r="AJ2" i="1"/>
  <c r="AH2" i="1"/>
  <c r="AI2" i="1" s="1"/>
  <c r="AG2" i="1"/>
  <c r="AL2" i="1" s="1"/>
  <c r="AF2" i="1"/>
  <c r="AL93" i="1" l="1"/>
  <c r="AL92" i="1"/>
  <c r="AL23" i="1"/>
  <c r="AL25" i="1"/>
  <c r="AL30" i="1"/>
  <c r="AL38" i="1"/>
  <c r="AL46" i="1"/>
  <c r="AL34" i="1"/>
  <c r="AL37" i="1"/>
  <c r="AL42" i="1"/>
  <c r="AL45" i="1"/>
  <c r="AL50" i="1"/>
  <c r="AL53" i="1"/>
  <c r="AL90" i="1"/>
  <c r="AL13" i="1"/>
  <c r="AL74" i="1"/>
  <c r="AL66" i="1"/>
</calcChain>
</file>

<file path=xl/sharedStrings.xml><?xml version="1.0" encoding="utf-8"?>
<sst xmlns="http://schemas.openxmlformats.org/spreadsheetml/2006/main" count="1835" uniqueCount="589">
  <si>
    <t>Zona</t>
  </si>
  <si>
    <t>Ciudad</t>
  </si>
  <si>
    <t>Nombre de enlace</t>
  </si>
  <si>
    <t>Nodo Origen</t>
  </si>
  <si>
    <t>Equipo Origen</t>
  </si>
  <si>
    <t>IP Origen</t>
  </si>
  <si>
    <t>Tipo de enlace Origen</t>
  </si>
  <si>
    <t>Puerto Origen</t>
  </si>
  <si>
    <t>SFP Origen</t>
  </si>
  <si>
    <t>TX Origen (dBm)</t>
  </si>
  <si>
    <t>RX Origen (dBm)</t>
  </si>
  <si>
    <t>RX Threshold Origen (dBm)</t>
  </si>
  <si>
    <t>CRC/Errors Origen</t>
  </si>
  <si>
    <t>Conector</t>
  </si>
  <si>
    <t>Puerto ODF</t>
  </si>
  <si>
    <t>Distancia Patchcord</t>
  </si>
  <si>
    <t>Distancia fibra Origen (mts)</t>
  </si>
  <si>
    <t>Nodo Destino</t>
  </si>
  <si>
    <t>Equipo Destino</t>
  </si>
  <si>
    <t>IP Destino</t>
  </si>
  <si>
    <t>Tipo de enlace Destino</t>
  </si>
  <si>
    <t>Puerto Destino</t>
  </si>
  <si>
    <t>SFP Destino</t>
  </si>
  <si>
    <t>TX Destino (dBm)</t>
  </si>
  <si>
    <t>RX Destino (dBm)</t>
  </si>
  <si>
    <t>RX Threshold Destino (dBm)</t>
  </si>
  <si>
    <t>CRC/Errors Destino</t>
  </si>
  <si>
    <t>Distancia fibra Destino (mts)</t>
  </si>
  <si>
    <t>Margen RX Origen (dB)</t>
  </si>
  <si>
    <t>Estado RX Origen</t>
  </si>
  <si>
    <t>Margen RX Destino (dB)</t>
  </si>
  <si>
    <t>Estado RX Destino</t>
  </si>
  <si>
    <t>Estado CRC Origen</t>
  </si>
  <si>
    <t>Estado CRC Destino</t>
  </si>
  <si>
    <t>Estado General</t>
  </si>
  <si>
    <t>Distancia (mts)</t>
  </si>
  <si>
    <t>Ocurrencia</t>
  </si>
  <si>
    <t>Clave (uso interno)</t>
  </si>
  <si>
    <t>Coincide Filtro (uso interno)</t>
  </si>
  <si>
    <t>INSTRUCCIONES</t>
  </si>
  <si>
    <t>Norte del Valle</t>
  </si>
  <si>
    <t>Cali</t>
  </si>
  <si>
    <t>Vipasa - Tulua 10G CH59 UFINET</t>
  </si>
  <si>
    <t>Vipasa</t>
  </si>
  <si>
    <t>NPT1300</t>
  </si>
  <si>
    <t>172.31.195.42</t>
  </si>
  <si>
    <t>Doble Hilo</t>
  </si>
  <si>
    <t>TS1-2</t>
  </si>
  <si>
    <t>OTP10T_ALLN-80KM</t>
  </si>
  <si>
    <t>Tulua</t>
  </si>
  <si>
    <t>172.31.195.50</t>
  </si>
  <si>
    <t>XSB-4</t>
  </si>
  <si>
    <t>ALLM-80KM</t>
  </si>
  <si>
    <t xml:space="preserve">E2000/PC- SC/PC </t>
  </si>
  <si>
    <t xml:space="preserve">1 ODF  UFINTE #1 </t>
  </si>
  <si>
    <t>1. Agrega cada tramo nuevo en una fila debajo de los datos existentes (columnas A-Y).</t>
  </si>
  <si>
    <t>Vipasa - Tulua 10G CH22 UFINET</t>
  </si>
  <si>
    <t>XSA-1</t>
  </si>
  <si>
    <t>XSB-1</t>
  </si>
  <si>
    <t>OTP10T__17_ALLN-80KM</t>
  </si>
  <si>
    <t xml:space="preserve">2 ODF  UFINTE #1 </t>
  </si>
  <si>
    <t>2. Las columnas Z-AJ (Margen, Estado RX, Estado CRC, Estado General, Distancia, Ocurrencia, Clave, Coincide Filtro) ya tienen formulas listas hasta la fila 1500 - no las edites, se calculan solas.</t>
  </si>
  <si>
    <t>OTP10T_17_ALLN-80KM</t>
  </si>
  <si>
    <t>XSA-2</t>
  </si>
  <si>
    <t xml:space="preserve">SIN PATCH CORD </t>
  </si>
  <si>
    <t xml:space="preserve">3 ODF  UFINTE #1 </t>
  </si>
  <si>
    <t>3. El Dashboard y la hoja Consulta se actualizan automaticamente porque sus formulas leen el rango A2:AJ1500.</t>
  </si>
  <si>
    <t>Vipasa - Tulua 10G CH60 UFINET</t>
  </si>
  <si>
    <t>XSB-3</t>
  </si>
  <si>
    <t>OTP10T_ALLM-80KM</t>
  </si>
  <si>
    <t>SIN PATCH CORD</t>
  </si>
  <si>
    <t xml:space="preserve">4 ODF  UFINTE #1 </t>
  </si>
  <si>
    <t>4. Si agregas una Zona, Ciudad, Tipo de enlace o Nodo NUEVO (que no exista aun), agrega tambien una fila/valor en las tablas de apoyo de la hoja Dashboard y en las listas desplegables de la hoja Consulta para que aparezca en graficos y filtros.</t>
  </si>
  <si>
    <t>Vipasa - Candelaria 10G ANILLO GRIS</t>
  </si>
  <si>
    <t>TS1-1</t>
  </si>
  <si>
    <t>Candelaria</t>
  </si>
  <si>
    <t>NPT1200</t>
  </si>
  <si>
    <t>172.31.195.44</t>
  </si>
  <si>
    <t>TS3-1</t>
  </si>
  <si>
    <t xml:space="preserve">37-41 ODF #1 </t>
  </si>
  <si>
    <t>5. En la hoja Consulta, Seccion 1 busca UN tramo puntual por nombre. Seccion 2 filtra VARIOS tramos por Zona/Ciudad/Nodo a la vez (deja en blanco lo que no quieras filtrar).</t>
  </si>
  <si>
    <t>Vipasa - Cavasa 10G ANILLO GRIS</t>
  </si>
  <si>
    <t>TS5-2</t>
  </si>
  <si>
    <t>OTPT10_L33BD-60KM</t>
  </si>
  <si>
    <t>Cavasa</t>
  </si>
  <si>
    <t>172.31.195.43</t>
  </si>
  <si>
    <t>OTPT10_L27BD-60KM</t>
  </si>
  <si>
    <t>6. Si superas la fila 1500, avisa para ampliar el rango de formulas.</t>
  </si>
  <si>
    <t>OTPT10_L27BD-40KM</t>
  </si>
  <si>
    <t>XSB-2</t>
  </si>
  <si>
    <t>Vipasa - Cavasa 100G ANILLO SWITCH</t>
  </si>
  <si>
    <t>RAX721-C</t>
  </si>
  <si>
    <t>172.20.6.21</t>
  </si>
  <si>
    <t>he 1/1/3</t>
  </si>
  <si>
    <t>QSFP28 100G ER4 1310NM 40KM DOM LC SMF</t>
  </si>
  <si>
    <t>-20.0</t>
  </si>
  <si>
    <t>LC/PC-SC/PC</t>
  </si>
  <si>
    <t>80 - 81 ODF#3</t>
  </si>
  <si>
    <t>DM4380</t>
  </si>
  <si>
    <t>172.20.87.49</t>
  </si>
  <si>
    <t>27-36 ODF#2</t>
  </si>
  <si>
    <t>Cavasa - Candelaria 100G ANILLO SWITCH</t>
  </si>
  <si>
    <t>he 1/1/2</t>
  </si>
  <si>
    <t>33-35 ODF#1</t>
  </si>
  <si>
    <t>172.20.87.18</t>
  </si>
  <si>
    <t>42-46 ODF#1</t>
  </si>
  <si>
    <t>Cavasa - Candelaria 10G ANILLO GRIS</t>
  </si>
  <si>
    <t>OTPT10_L33BD-40KM</t>
  </si>
  <si>
    <t>XSA-3</t>
  </si>
  <si>
    <t>40 ODF #1</t>
  </si>
  <si>
    <t xml:space="preserve">22 ODF #1  </t>
  </si>
  <si>
    <t>Candelaria - Tulua 10G ANILLO GRIS</t>
  </si>
  <si>
    <t>TS3-2</t>
  </si>
  <si>
    <t xml:space="preserve">15- 21 </t>
  </si>
  <si>
    <t>TS5-4</t>
  </si>
  <si>
    <t xml:space="preserve">E200/PC- SC/APC </t>
  </si>
  <si>
    <t xml:space="preserve">19-20 ODF BRINKS </t>
  </si>
  <si>
    <t>Candelaria - Palmira Centro 10G ANILLO GRIS</t>
  </si>
  <si>
    <t>Palmira Centro</t>
  </si>
  <si>
    <t>172.31.195.45</t>
  </si>
  <si>
    <t>1 ODF#2( 3DIAMANTES)</t>
  </si>
  <si>
    <t>10ODF#2( 3DIAMANTES)</t>
  </si>
  <si>
    <t>Palmira</t>
  </si>
  <si>
    <t>Palmira Centro - Palmira Samanes 10G ANILLO GRIS</t>
  </si>
  <si>
    <t>TS4-1</t>
  </si>
  <si>
    <t>22(ODF#1 MILAGROSA)</t>
  </si>
  <si>
    <t>Palmira Samanes</t>
  </si>
  <si>
    <t>NPT1050</t>
  </si>
  <si>
    <t>172.31.195.52</t>
  </si>
  <si>
    <t>MXSB-2</t>
  </si>
  <si>
    <t xml:space="preserve">5 ODF#2 </t>
  </si>
  <si>
    <t>90(ODF#1 MILAGROSA)</t>
  </si>
  <si>
    <t>MXSA-1</t>
  </si>
  <si>
    <t xml:space="preserve">1ODF #1 </t>
  </si>
  <si>
    <t>Palmira Samanes - El Cerrito 10G ANILLO GRIS</t>
  </si>
  <si>
    <t xml:space="preserve">7 ODF #2 </t>
  </si>
  <si>
    <t>El Cerrito</t>
  </si>
  <si>
    <t>172.31.195.51</t>
  </si>
  <si>
    <t>4 ODF # 2</t>
  </si>
  <si>
    <t>MXSA-2</t>
  </si>
  <si>
    <t xml:space="preserve">4 ODF #1 </t>
  </si>
  <si>
    <t xml:space="preserve">2 ODF # 1 </t>
  </si>
  <si>
    <t>El Cerrito - Guacari 10G ANILLO GRIS</t>
  </si>
  <si>
    <t xml:space="preserve">5 ODF #2 </t>
  </si>
  <si>
    <t>Guacari</t>
  </si>
  <si>
    <t>172.31.195.48</t>
  </si>
  <si>
    <t xml:space="preserve">22 ODF #1 PRINCIPAL </t>
  </si>
  <si>
    <t xml:space="preserve">4 ODF#1  PRINCIPAL </t>
  </si>
  <si>
    <t>Guacari - Buga 10G ANILLO GRIS</t>
  </si>
  <si>
    <t xml:space="preserve">2 ODF#1 PRINCIPAL </t>
  </si>
  <si>
    <t>Buga</t>
  </si>
  <si>
    <t>172.31.195.49</t>
  </si>
  <si>
    <t xml:space="preserve">58 ODF TYCO CENTRO </t>
  </si>
  <si>
    <t xml:space="preserve">1 ODF# 1 PRINCIPAL </t>
  </si>
  <si>
    <t xml:space="preserve">50 ODF VULCANIZADORA </t>
  </si>
  <si>
    <t>Buga - Tulua 10G ANILLO GRIS</t>
  </si>
  <si>
    <t xml:space="preserve">58 ODF VULCANIZADORA </t>
  </si>
  <si>
    <t>TS1-3</t>
  </si>
  <si>
    <t xml:space="preserve">48 ODF BRINS </t>
  </si>
  <si>
    <t xml:space="preserve">64 ODF VULCANIZADORA </t>
  </si>
  <si>
    <t xml:space="preserve">24 ODF BRINKS </t>
  </si>
  <si>
    <t>Vipasa - Tulua 100G ANILLO N VALLE CH27 UFINET</t>
  </si>
  <si>
    <t>OTR100Q28_CTZR-120KM</t>
  </si>
  <si>
    <t xml:space="preserve">26-42 ODF  BRINKS </t>
  </si>
  <si>
    <t>Vipasa - Candelaria 100G ANILLO N VALLE CH27</t>
  </si>
  <si>
    <t>NPT1050i</t>
  </si>
  <si>
    <t>172.31.195.59</t>
  </si>
  <si>
    <t>TS2-1</t>
  </si>
  <si>
    <t>Candelaria - Palmira Centro 100G ANILLO N VALLE CH27</t>
  </si>
  <si>
    <t>OTR100Q28_ER4F-40KM</t>
  </si>
  <si>
    <t xml:space="preserve">13 y 24 ODF #1 </t>
  </si>
  <si>
    <t>172.31.195.61</t>
  </si>
  <si>
    <t xml:space="preserve">52 -53 ODF #2 3DIAMANTES </t>
  </si>
  <si>
    <t>Palmira Centro - Guacari 100G ANILLO N VALLE CH27</t>
  </si>
  <si>
    <t>OTR100Q28_ZR4-80KM</t>
  </si>
  <si>
    <t xml:space="preserve">83 -84 ODF2 # 2 3 DIAMANTES </t>
  </si>
  <si>
    <t>172.31.195.58</t>
  </si>
  <si>
    <t>OTR100Q28-ZR4-80KM</t>
  </si>
  <si>
    <t xml:space="preserve">17-18 ODF PRINCIPAL </t>
  </si>
  <si>
    <t>Guacari - Buga 100G ANILLO N VALLE CH27</t>
  </si>
  <si>
    <t xml:space="preserve">1-2 ODF #2 PARQUE </t>
  </si>
  <si>
    <t>172.31.195.57</t>
  </si>
  <si>
    <t xml:space="preserve">41-43 ODF TYCO CENTRO </t>
  </si>
  <si>
    <t>Buga - Tulua 100G ANILLO N VALLE CH27</t>
  </si>
  <si>
    <t xml:space="preserve">65-69 ODF VULCANIZADORA </t>
  </si>
  <si>
    <t>Tulua - La Union 100G ANILLO N VALLE CH27</t>
  </si>
  <si>
    <t>TS7-1</t>
  </si>
  <si>
    <t xml:space="preserve">77-89 ODF TYCO </t>
  </si>
  <si>
    <t>La Union</t>
  </si>
  <si>
    <t>172.31.195.54</t>
  </si>
  <si>
    <t xml:space="preserve">35-36  PRINCIPAL </t>
  </si>
  <si>
    <t>Tulua - Zarzal 100G ANILLO N VALLE CH27</t>
  </si>
  <si>
    <t xml:space="preserve">61-96 ODF TYCO </t>
  </si>
  <si>
    <t>Zarzal</t>
  </si>
  <si>
    <t>172.31.195.56</t>
  </si>
  <si>
    <t xml:space="preserve">1-9 ODF CARNICERIA </t>
  </si>
  <si>
    <t>Zarzal - Roldanillo 100G ANILLO N VALLE CH27</t>
  </si>
  <si>
    <t xml:space="preserve">1-2 ODF  SEMAFORO </t>
  </si>
  <si>
    <t>Roldanillo</t>
  </si>
  <si>
    <t>172.31.195.55</t>
  </si>
  <si>
    <t xml:space="preserve">1-2  ODF NODO </t>
  </si>
  <si>
    <t>Roldanillo - La Union 100G ANILLO N VALLE CH27</t>
  </si>
  <si>
    <t xml:space="preserve">13 ODF PARQUE/ 3 ODF NODO </t>
  </si>
  <si>
    <t>22.349(PARQUE) 23949 (NODO)</t>
  </si>
  <si>
    <t xml:space="preserve">32-33 ODF PRINCIPAL </t>
  </si>
  <si>
    <t>Tulua - Bugalagrande 10G ANILLO GRIS</t>
  </si>
  <si>
    <t>172.20.87.17</t>
  </si>
  <si>
    <t>ten 1/1/37</t>
  </si>
  <si>
    <t>OEM USFP+-192/S2-RT-40KM</t>
  </si>
  <si>
    <t xml:space="preserve">83 - 84 ODF TYCO </t>
  </si>
  <si>
    <t>Bugalagrande</t>
  </si>
  <si>
    <t>ISCOMS3600</t>
  </si>
  <si>
    <t>172.20.63.5</t>
  </si>
  <si>
    <t>ten 1/0/50</t>
  </si>
  <si>
    <t xml:space="preserve">1-2 ODF PRINCIPAL </t>
  </si>
  <si>
    <t>Bugalagrandre</t>
  </si>
  <si>
    <t>Bugalagrande - Zarzal 10G BACKUP</t>
  </si>
  <si>
    <t>Bidireccional</t>
  </si>
  <si>
    <t>ten 1/0/49</t>
  </si>
  <si>
    <t>CISCO-Skylane 40KM TX1310</t>
  </si>
  <si>
    <t>7 ODF 1</t>
  </si>
  <si>
    <t>CISCO-Skylane 40KM TX1270</t>
  </si>
  <si>
    <t>No Homologado</t>
  </si>
  <si>
    <t>11 ODF CARNICERIA</t>
  </si>
  <si>
    <t>Tulua - Zarzal 10G Hilos redundancia</t>
  </si>
  <si>
    <t>TS5-1</t>
  </si>
  <si>
    <t>OTP10_ZRLM 80KM</t>
  </si>
  <si>
    <t xml:space="preserve">74 - 82 ODF TYCO </t>
  </si>
  <si>
    <t>ISCOM2948</t>
  </si>
  <si>
    <t>172.20.6.3</t>
  </si>
  <si>
    <t>USFP+-192/S3-OSI-80KM</t>
  </si>
  <si>
    <t xml:space="preserve">15-16 ODF SEMAFORO </t>
  </si>
  <si>
    <t>Zarzal - Roldanillo 10G Hilos redundancia</t>
  </si>
  <si>
    <t xml:space="preserve">3-4 ODF  CEMAFORO </t>
  </si>
  <si>
    <t>172.20.6.4</t>
  </si>
  <si>
    <t>OEM USFP+-192/SS22-I-40KM TX1270</t>
  </si>
  <si>
    <t xml:space="preserve">1-2 ODF PARQUE </t>
  </si>
  <si>
    <t>Roldanillo - La Union 10G Hilos redundancia</t>
  </si>
  <si>
    <t>OEM USFP+-192/SS23-I-40KM TX1330</t>
  </si>
  <si>
    <t xml:space="preserve">3 ODF PARQUE </t>
  </si>
  <si>
    <t>172.20.6.5</t>
  </si>
  <si>
    <t xml:space="preserve">25 ODF PRINCIPAL </t>
  </si>
  <si>
    <t>La Union - Toro 100G ANILLO N VALLE CH27</t>
  </si>
  <si>
    <t>Skylane Optics-40KM TX1550</t>
  </si>
  <si>
    <t>Toro</t>
  </si>
  <si>
    <t>172.20.6.6</t>
  </si>
  <si>
    <t>Candelaria - Pradera 100G ANILLO N VALLE CH27</t>
  </si>
  <si>
    <t xml:space="preserve">3-4 ODF #1 PARQUE </t>
  </si>
  <si>
    <t>Pradera</t>
  </si>
  <si>
    <t>172.20.87.13</t>
  </si>
  <si>
    <t>AT-SP10ER40/1-DH-40KM</t>
  </si>
  <si>
    <t xml:space="preserve">1-2 ODF #1 </t>
  </si>
  <si>
    <t>Pradera - Florida 100G ANILLO N VALLE CH27</t>
  </si>
  <si>
    <t>DATACOM OP5940D-2733-40KM TX1270</t>
  </si>
  <si>
    <t xml:space="preserve">3 ODF #1 </t>
  </si>
  <si>
    <t>Florida</t>
  </si>
  <si>
    <t>172.20.87.9</t>
  </si>
  <si>
    <t>DATACOM FIB2106228900-40KM TX1330</t>
  </si>
  <si>
    <t xml:space="preserve">8 OF # 1 </t>
  </si>
  <si>
    <t>Guacari - Ginebra 100G ANILLO N VALLE CH27</t>
  </si>
  <si>
    <t>OPT10_L33BD-40KM</t>
  </si>
  <si>
    <t>-9.1</t>
  </si>
  <si>
    <t xml:space="preserve">19 ODF #1 PRINCIPAL  </t>
  </si>
  <si>
    <t>Ginebra</t>
  </si>
  <si>
    <t>172.20.87.11</t>
  </si>
  <si>
    <t>CISCO-Skylane-40KM 1270</t>
  </si>
  <si>
    <t>10 ODF #1</t>
  </si>
  <si>
    <t>Tulua - MC - Pereira 10G CH22 MC</t>
  </si>
  <si>
    <t>NA</t>
  </si>
  <si>
    <t>N.A</t>
  </si>
  <si>
    <t>Pereira</t>
  </si>
  <si>
    <t>172.31.180.62</t>
  </si>
  <si>
    <t>OPT10T_17_ALLN_80KM</t>
  </si>
  <si>
    <t>Tulua - UFINET - Pereira 10G CH22 MC</t>
  </si>
  <si>
    <t>E2000/PC-SC/PC</t>
  </si>
  <si>
    <t xml:space="preserve">3-4 ODF UFINET #2 </t>
  </si>
  <si>
    <t>XSA-4</t>
  </si>
  <si>
    <t xml:space="preserve">E2000-PX/SC-PC </t>
  </si>
  <si>
    <t>Tulua - Andalucia 100G ANILLO N VALLE CH27</t>
  </si>
  <si>
    <t>172.31.32.9</t>
  </si>
  <si>
    <t>Skylane Optics-40KM TX1330</t>
  </si>
  <si>
    <t xml:space="preserve">80 ODF TYCO </t>
  </si>
  <si>
    <t>Andalucia</t>
  </si>
  <si>
    <t>172.31.60.15</t>
  </si>
  <si>
    <t xml:space="preserve">1 ODF #1 </t>
  </si>
  <si>
    <t>Tulua - Riofrio 100G ANILLO N VALLE CH27</t>
  </si>
  <si>
    <t xml:space="preserve">17 ODF SAJONIA </t>
  </si>
  <si>
    <t>Riofrio</t>
  </si>
  <si>
    <t>172.31.32.3</t>
  </si>
  <si>
    <t xml:space="preserve">1 ODF#1 </t>
  </si>
  <si>
    <t>Riofrio - Trujillo 100G ANILLO N VALLE CH27</t>
  </si>
  <si>
    <t>CISCO-Skylane 40KM TX1550</t>
  </si>
  <si>
    <t>Trujillo</t>
  </si>
  <si>
    <t>172.31.32.5</t>
  </si>
  <si>
    <t>Valle</t>
  </si>
  <si>
    <t>Vipasa - Municipal 100G ANILLO CALI</t>
  </si>
  <si>
    <t>MX204</t>
  </si>
  <si>
    <t>172.31.161.1</t>
  </si>
  <si>
    <t>et-0/0/3</t>
  </si>
  <si>
    <t>QSFP-100GBASE-LR4 10KM</t>
  </si>
  <si>
    <t>LC/SC</t>
  </si>
  <si>
    <t>ODF 4 POS 3 - 4</t>
  </si>
  <si>
    <t>Municipal</t>
  </si>
  <si>
    <t>172.31.166.1</t>
  </si>
  <si>
    <t>Municipal - Pance 100G ANILLO CALI</t>
  </si>
  <si>
    <t>et-0/0/0</t>
  </si>
  <si>
    <t>QSFP-100GBASE-ER4L 40KM</t>
  </si>
  <si>
    <t>ODF 2 POS 1- 2</t>
  </si>
  <si>
    <t>Pance</t>
  </si>
  <si>
    <t>172.31.165.1</t>
  </si>
  <si>
    <t>ODF 1 POS 1-2</t>
  </si>
  <si>
    <t>Pance - Melendez 100G ANILLO CALI</t>
  </si>
  <si>
    <t>ODF 2 POS 21 - 22</t>
  </si>
  <si>
    <t>Melendez</t>
  </si>
  <si>
    <t>172.31.164.1</t>
  </si>
  <si>
    <t>Pance - Wave DC (Etix) 100G ANILLO CALI</t>
  </si>
  <si>
    <t>et-0/0/1</t>
  </si>
  <si>
    <t>Wave DC (Etix)</t>
  </si>
  <si>
    <t>172.31.167.1</t>
  </si>
  <si>
    <t>Wave DC (Etix) - Melendez 100G ANILLO CALI</t>
  </si>
  <si>
    <t>Melendez - Roosevelt 100G ANILLO CALI</t>
  </si>
  <si>
    <t>QSFP-100GBASE-ER4 40KM</t>
  </si>
  <si>
    <t xml:space="preserve">ODF 1 POS 1-2 </t>
  </si>
  <si>
    <t>Roosevelt</t>
  </si>
  <si>
    <t>172.31.163.1</t>
  </si>
  <si>
    <t>Roosevelt - Cali Norte 100G ANILLO CALI</t>
  </si>
  <si>
    <t>ODF 3 POS 1 - 2</t>
  </si>
  <si>
    <t>Cali Norte</t>
  </si>
  <si>
    <t>172.31.162.1</t>
  </si>
  <si>
    <t>Cali Norte - Vipasa 100G ANILLO CALI</t>
  </si>
  <si>
    <t>MX480</t>
  </si>
  <si>
    <t>172.29.0.11</t>
  </si>
  <si>
    <t>et-2/1/0</t>
  </si>
  <si>
    <t>Vipasa - PERIFERIAS to IXA</t>
  </si>
  <si>
    <t>xe-0/0/1:0</t>
  </si>
  <si>
    <t>QSFP+-4X10G-LR MRATE-5xQSFPP</t>
  </si>
  <si>
    <t>LC/LC</t>
  </si>
  <si>
    <t>NPT 1300 - TS5 PTO 3</t>
  </si>
  <si>
    <t>PERIFERIAS to IXA</t>
  </si>
  <si>
    <t>N/A</t>
  </si>
  <si>
    <t>xe-2/0/1:0</t>
  </si>
  <si>
    <t>NPT 1300 - XSA PTO 3</t>
  </si>
  <si>
    <t>Vipasa - Roosevelt (Wave DC (Etix) LadoA)</t>
  </si>
  <si>
    <t>et-0/2/1</t>
  </si>
  <si>
    <t>QSFP-100G-ZR4 80KM</t>
  </si>
  <si>
    <t>DM4270</t>
  </si>
  <si>
    <t>172.30.12.126</t>
  </si>
  <si>
    <t>Roosevelt - Wave DC (Etix) Lado A</t>
  </si>
  <si>
    <t>ODF MELENDEZ POS 6-8</t>
  </si>
  <si>
    <t>172.30.15.25</t>
  </si>
  <si>
    <t>ODF 1 POS 61-70</t>
  </si>
  <si>
    <t>Vipasa - Wave DC (Etix) Lado B</t>
  </si>
  <si>
    <t>et-2/1/1</t>
  </si>
  <si>
    <t>Vipasa - Poblado</t>
  </si>
  <si>
    <t>xe-0/1/6</t>
  </si>
  <si>
    <t>SFP+-10G-ER 40KM</t>
  </si>
  <si>
    <t>ODF 3 POS 5</t>
  </si>
  <si>
    <t>Poblado</t>
  </si>
  <si>
    <t>172.30.8.30</t>
  </si>
  <si>
    <t>ten 1/0/54</t>
  </si>
  <si>
    <t>Skylane Optics 40KM TX1270</t>
  </si>
  <si>
    <t>Vipasa - Calima</t>
  </si>
  <si>
    <t>xe-0/1/7</t>
  </si>
  <si>
    <t>ODF 3 POS 6</t>
  </si>
  <si>
    <t>Calima</t>
  </si>
  <si>
    <t>172.30.8.29</t>
  </si>
  <si>
    <t>SFP-10G40KT12R13-40KM TX1270</t>
  </si>
  <si>
    <t>Municipal - Poblado</t>
  </si>
  <si>
    <t>ten 1/0/53</t>
  </si>
  <si>
    <t>Municipal - Calima</t>
  </si>
  <si>
    <t>Pance - Jamundi</t>
  </si>
  <si>
    <t>172.31.160.28</t>
  </si>
  <si>
    <t>he 1/1/1</t>
  </si>
  <si>
    <t>Skylane Optics QSFP-100G-ER4-40KM</t>
  </si>
  <si>
    <t>ODF 2 POS 15, 16</t>
  </si>
  <si>
    <t>Jamundi</t>
  </si>
  <si>
    <t>172.31.160.29</t>
  </si>
  <si>
    <t>ODF CALI POS 65-66</t>
  </si>
  <si>
    <t>ten 1/1/42</t>
  </si>
  <si>
    <t>ODF 2 POS 38</t>
  </si>
  <si>
    <t>ten 1/1/11</t>
  </si>
  <si>
    <t>Skylane Optics-40KM TX1270</t>
  </si>
  <si>
    <t>ODF CALI POS 25</t>
  </si>
  <si>
    <t>Pance - Puerto Tejada</t>
  </si>
  <si>
    <t>hen 1/1/2</t>
  </si>
  <si>
    <t>ODF 2 POS 17-18</t>
  </si>
  <si>
    <t>Puerto Tejada</t>
  </si>
  <si>
    <t>ISCOM3048</t>
  </si>
  <si>
    <t>172.30.10.1</t>
  </si>
  <si>
    <t>Puerto Tejada - Santander de Quilichao</t>
  </si>
  <si>
    <t>172.31.160.30</t>
  </si>
  <si>
    <t>ODF 2  POS 1-2</t>
  </si>
  <si>
    <t>Santander de Quilichao</t>
  </si>
  <si>
    <t>ODF INTERCONEXIÓN   POS 22-23</t>
  </si>
  <si>
    <t>Puerto Tejada - Jamundi</t>
  </si>
  <si>
    <t>QSFP-100G-ER4L-S 40KM</t>
  </si>
  <si>
    <t>ODF 2 POS 28 - POS 30</t>
  </si>
  <si>
    <t>ODF CALI POS 71 - POS 68</t>
  </si>
  <si>
    <t>Cali Norte - Torre de Cali</t>
  </si>
  <si>
    <t>xe-0/1/5</t>
  </si>
  <si>
    <t>SFP+-10G-LR 10KM</t>
  </si>
  <si>
    <t>ODF 5 POS 6</t>
  </si>
  <si>
    <t>Torre de Cali</t>
  </si>
  <si>
    <t>172.30.12.1</t>
  </si>
  <si>
    <t>OP5920D-3327-20KM</t>
  </si>
  <si>
    <t>Roosevelt - Torre de Cali</t>
  </si>
  <si>
    <t>xe-0/1/4</t>
  </si>
  <si>
    <t>ODF 2 POS 39</t>
  </si>
  <si>
    <t>Vipasa - Yumbo</t>
  </si>
  <si>
    <t>Yumbo</t>
  </si>
  <si>
    <t>172.20.6.24</t>
  </si>
  <si>
    <t>Cencar - Yumbo</t>
  </si>
  <si>
    <t>Cencar</t>
  </si>
  <si>
    <t>172.20.6.25</t>
  </si>
  <si>
    <t>Cencar - Vipasa</t>
  </si>
  <si>
    <t>ODF 2 POS 33 - 34</t>
  </si>
  <si>
    <t>ODF 1 POS 33-34</t>
  </si>
  <si>
    <t>Buenvaentura</t>
  </si>
  <si>
    <t>Buenvaentura IXA - PERIFERIAS to IXA</t>
  </si>
  <si>
    <t>Buenvaentura IXA</t>
  </si>
  <si>
    <t>172.30.16.16</t>
  </si>
  <si>
    <t>SFP-10G-SR-RT-80M 850nm</t>
  </si>
  <si>
    <t>Buenvaentura IXA - Buenvaentura Exito</t>
  </si>
  <si>
    <t>ODF LA POPA POS 3</t>
  </si>
  <si>
    <t>Buenvaentura Exito</t>
  </si>
  <si>
    <t>172.30.16.6</t>
  </si>
  <si>
    <t>ODF 3 POS 11</t>
  </si>
  <si>
    <t>ODF YAMAHA POS 63</t>
  </si>
  <si>
    <t>ODF 1 POS 24</t>
  </si>
  <si>
    <t>Buenvaentura IXA - Buenvaentura Pacific</t>
  </si>
  <si>
    <t>Buenvaentura Pacific</t>
  </si>
  <si>
    <t>CAJA TERMINAL NODO</t>
  </si>
  <si>
    <t>172.30.16.2</t>
  </si>
  <si>
    <t>Pasto</t>
  </si>
  <si>
    <t>Pasto - PERIFERIAS to IXA</t>
  </si>
  <si>
    <t>172.30.53.150</t>
  </si>
  <si>
    <t>OTP10-LR-RT-10KM</t>
  </si>
  <si>
    <t>OEM USFP+-192/S1-RT-10KM</t>
  </si>
  <si>
    <t>Pasto IXA - Pasto</t>
  </si>
  <si>
    <t>Pasto IXA</t>
  </si>
  <si>
    <t>OEM F1B910D-3327-10KM TX1330</t>
  </si>
  <si>
    <t>ODF 1</t>
  </si>
  <si>
    <t>172.30.53.61</t>
  </si>
  <si>
    <t>te 1/1/18</t>
  </si>
  <si>
    <t>OEM F1B910D-2733-10KM</t>
  </si>
  <si>
    <t>ODF 3 POS 33</t>
  </si>
  <si>
    <t>OEM F1B910D-3327-40KM TX1330</t>
  </si>
  <si>
    <t>te 1/1/19</t>
  </si>
  <si>
    <t>OEM F1B910D-2733-40KM TX1270</t>
  </si>
  <si>
    <t>ODF 1 POS 76</t>
  </si>
  <si>
    <t>Pasto - Ipiales</t>
  </si>
  <si>
    <t>te 1/1/23</t>
  </si>
  <si>
    <t>CISCO-Skylane-100KM</t>
  </si>
  <si>
    <t>ODF 3 POS 42-45</t>
  </si>
  <si>
    <t>Ipiales</t>
  </si>
  <si>
    <t>172.30.44.191</t>
  </si>
  <si>
    <t>te 1/1/24</t>
  </si>
  <si>
    <t>ODF 1 POS 24-36</t>
  </si>
  <si>
    <t>Popayan</t>
  </si>
  <si>
    <t>Popayan IXA - PERIFERIAS to IXA</t>
  </si>
  <si>
    <t>Popayan IXA</t>
  </si>
  <si>
    <t>172.30.40.16</t>
  </si>
  <si>
    <t>1.0.25</t>
  </si>
  <si>
    <t>AT-SP10ER40/1-DH</t>
  </si>
  <si>
    <t>Popayan IXA - Popayan</t>
  </si>
  <si>
    <t>QSFP28 100G ER4 40KM</t>
  </si>
  <si>
    <t>172.30.40.5</t>
  </si>
  <si>
    <t>ODF INDUSTRIAL POS 25-26</t>
  </si>
  <si>
    <t>ODF CACHACO POS 17-18</t>
  </si>
  <si>
    <t>Cali Norte - Vipasa</t>
  </si>
  <si>
    <t>172.30.9.254</t>
  </si>
  <si>
    <t>GLC-BX-U-40-NHR-40KM</t>
  </si>
  <si>
    <t>172.30.8.15</t>
  </si>
  <si>
    <t>ten 1/1/5</t>
  </si>
  <si>
    <t>GLC-BX-D-40-NHR-40KM</t>
  </si>
  <si>
    <t>Cali Norte - Roosevelt</t>
  </si>
  <si>
    <t>GLC-BXD-40K-DHD</t>
  </si>
  <si>
    <t>172.30.9.231</t>
  </si>
  <si>
    <t>GLC-BXU-40K-DHD</t>
  </si>
  <si>
    <t>Nodos</t>
  </si>
  <si>
    <t>Eje</t>
  </si>
  <si>
    <t>30 de agosto</t>
  </si>
  <si>
    <t>Santander</t>
  </si>
  <si>
    <t>Aeropuerto</t>
  </si>
  <si>
    <t>Aguachica</t>
  </si>
  <si>
    <t>Armenia Centro</t>
  </si>
  <si>
    <t>Armenia Norte</t>
  </si>
  <si>
    <t>Atlas</t>
  </si>
  <si>
    <t>Barbosa</t>
  </si>
  <si>
    <t>Barcelona</t>
  </si>
  <si>
    <t>Barrancabermeja</t>
  </si>
  <si>
    <t>Barranquilla Norte</t>
  </si>
  <si>
    <t>Bello</t>
  </si>
  <si>
    <t>Bosconia</t>
  </si>
  <si>
    <t>Buagalagrande</t>
  </si>
  <si>
    <t>Caicedonia</t>
  </si>
  <si>
    <t>Calle 100</t>
  </si>
  <si>
    <t>Cañaveral</t>
  </si>
  <si>
    <t>Caobos</t>
  </si>
  <si>
    <t>Cáqueza</t>
  </si>
  <si>
    <t>Carmen de Bolivar</t>
  </si>
  <si>
    <t>Cartagena</t>
  </si>
  <si>
    <t>Cartago</t>
  </si>
  <si>
    <t>Centro</t>
  </si>
  <si>
    <t>Chapinero</t>
  </si>
  <si>
    <t>Chinchina</t>
  </si>
  <si>
    <t>Chiquinquirá</t>
  </si>
  <si>
    <t>Cienaga</t>
  </si>
  <si>
    <t>Circunvalar</t>
  </si>
  <si>
    <t>Corales</t>
  </si>
  <si>
    <t>Cordialidad</t>
  </si>
  <si>
    <t>Curumani</t>
  </si>
  <si>
    <t>Datacenter Pereira</t>
  </si>
  <si>
    <t>Dos Quebradas</t>
  </si>
  <si>
    <t>Duitama</t>
  </si>
  <si>
    <t>El Díficil</t>
  </si>
  <si>
    <t>El Plato</t>
  </si>
  <si>
    <t>El Venado</t>
  </si>
  <si>
    <t>Faca</t>
  </si>
  <si>
    <t>Fontibon</t>
  </si>
  <si>
    <t>Fusagasugá</t>
  </si>
  <si>
    <t>Girardot</t>
  </si>
  <si>
    <t>Giron</t>
  </si>
  <si>
    <t>Guayabal</t>
  </si>
  <si>
    <t>Internexa Palos</t>
  </si>
  <si>
    <t>Internexa Riohacha</t>
  </si>
  <si>
    <t>Internexa San Mateo</t>
  </si>
  <si>
    <t>Internexa Santa Marta</t>
  </si>
  <si>
    <t>Internexa Valledupar</t>
  </si>
  <si>
    <t>Itagui</t>
  </si>
  <si>
    <t>IXA Neiva</t>
  </si>
  <si>
    <t>La Ceja</t>
  </si>
  <si>
    <t>La Enea</t>
  </si>
  <si>
    <t>La Loma</t>
  </si>
  <si>
    <t>Lago</t>
  </si>
  <si>
    <t>Laureles</t>
  </si>
  <si>
    <t>Lizama</t>
  </si>
  <si>
    <t>Luruaco</t>
  </si>
  <si>
    <t>Marsella</t>
  </si>
  <si>
    <t>Melgar</t>
  </si>
  <si>
    <t xml:space="preserve">Melgar </t>
  </si>
  <si>
    <t>Montenegro</t>
  </si>
  <si>
    <t>Montería</t>
  </si>
  <si>
    <t>Neiva Oficina</t>
  </si>
  <si>
    <t>Normandia</t>
  </si>
  <si>
    <t>Normandía</t>
  </si>
  <si>
    <t xml:space="preserve">Normandia </t>
  </si>
  <si>
    <t>Paipa</t>
  </si>
  <si>
    <t>Palo Grande</t>
  </si>
  <si>
    <t>Palogrande</t>
  </si>
  <si>
    <t>Pamplona</t>
  </si>
  <si>
    <t>Pelaya</t>
  </si>
  <si>
    <t>Polado</t>
  </si>
  <si>
    <t>Quimbaya</t>
  </si>
  <si>
    <t>Qumbaya</t>
  </si>
  <si>
    <t>Riohacha</t>
  </si>
  <si>
    <t>Rionegro</t>
  </si>
  <si>
    <t>Sabana de Torres</t>
  </si>
  <si>
    <t>Sáchica</t>
  </si>
  <si>
    <t>San Alberto</t>
  </si>
  <si>
    <t>San Cristobal</t>
  </si>
  <si>
    <t>San Francisco</t>
  </si>
  <si>
    <t>San Gil</t>
  </si>
  <si>
    <t>Santa fe</t>
  </si>
  <si>
    <t>Santa Marta</t>
  </si>
  <si>
    <t>Sevilla</t>
  </si>
  <si>
    <t>Siberia</t>
  </si>
  <si>
    <t>Sincelejo</t>
  </si>
  <si>
    <t>Socorro</t>
  </si>
  <si>
    <t>Sogamoso</t>
  </si>
  <si>
    <t>Suba</t>
  </si>
  <si>
    <t xml:space="preserve">Tebaida </t>
  </si>
  <si>
    <t>Tolú</t>
  </si>
  <si>
    <t>Tunja</t>
  </si>
  <si>
    <t>Ubaté</t>
  </si>
  <si>
    <t>Valledupar</t>
  </si>
  <si>
    <t xml:space="preserve">Villacafe </t>
  </si>
  <si>
    <t>Villanueva</t>
  </si>
  <si>
    <t>Villavicencio</t>
  </si>
  <si>
    <t>Vtal</t>
  </si>
  <si>
    <t>Yopal</t>
  </si>
  <si>
    <t>Zipaquirá</t>
  </si>
  <si>
    <t>Zona Franca</t>
  </si>
  <si>
    <t>Pereira DC - 30 Agosto</t>
  </si>
  <si>
    <t>Cartago-pereira</t>
  </si>
  <si>
    <t>Antioquia</t>
  </si>
  <si>
    <t>Armenia</t>
  </si>
  <si>
    <t>Medellin</t>
  </si>
  <si>
    <t>medellin-pereira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</si>
</sst>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0"/>
      <color rgb="FFFFFFFF"/>
      <name val="Calibri"/>
      <family val="2"/>
    </font>
    <font>
      <b/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i/>
      <sz val="9"/>
      <color rgb="FF595959"/>
      <name val="Calibri"/>
      <family val="2"/>
    </font>
    <font>
      <sz val="10"/>
      <name val="Calibri"/>
      <family val="2"/>
      <charset val="1"/>
    </font>
    <font>
      <sz val="1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0000"/>
        <bgColor rgb="FF333333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3" xfId="0" applyFont="1" applyBorder="1"/>
    <xf numFmtId="0" fontId="6" fillId="0" borderId="1" xfId="0" applyFont="1" applyBorder="1"/>
    <xf numFmtId="0" fontId="4" fillId="0" borderId="4" xfId="0" applyFont="1" applyBorder="1"/>
    <xf numFmtId="0" fontId="7" fillId="0" borderId="5" xfId="0" applyFont="1" applyBorder="1"/>
    <xf numFmtId="0" fontId="6" fillId="0" borderId="3" xfId="0" applyFont="1" applyBorder="1"/>
    <xf numFmtId="16" fontId="4" fillId="0" borderId="1" xfId="0" applyNumberFormat="1" applyFont="1" applyBorder="1" applyAlignment="1">
      <alignment horizontal="left"/>
    </xf>
    <xf numFmtId="0" fontId="6" fillId="0" borderId="5" xfId="0" applyFont="1" applyBorder="1"/>
  </cellXfs>
  <cellStyles count="1">
    <cellStyle name="Normal" xfId="0" builtinId="0"/>
  </cellStyles>
  <dxfs count="22"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border diagonalUp="0" diagonalDown="0">
        <left/>
        <right/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border diagonalUp="0" diagonalDown="0">
        <left/>
        <right/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charset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onsulta+Dashboard_Tramos_FO_final.xlsx" TargetMode="External"/><Relationship Id="rId2" Type="http://schemas.openxmlformats.org/officeDocument/2006/relationships/externalLinkPath" Target="file:///D:\Descarga\Consulta+Dashboard_Tramos_FO_final.xlsx" TargetMode="External"/><Relationship Id="rId1" Type="http://schemas.openxmlformats.org/officeDocument/2006/relationships/externalLinkPath" Target="/Descarga/Consulta+Dashboard_Tramos_FO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1"/>
      <sheetName val="Dashboard"/>
      <sheetName val="Tablas_ocultas"/>
      <sheetName val="Consulta"/>
      <sheetName val="Data"/>
      <sheetName val="Listas"/>
    </sheetNames>
    <sheetDataSet>
      <sheetData sheetId="0"/>
      <sheetData sheetId="1"/>
      <sheetData sheetId="2"/>
      <sheetData sheetId="3">
        <row r="29">
          <cell r="C29"/>
          <cell r="E29"/>
          <cell r="G29" t="str">
            <v>Municipal</v>
          </cell>
        </row>
      </sheetData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73646F-5806-4F1D-98B6-6FC79661F043}" name="Tabla1" displayName="Tabla1" ref="C1:C148" totalsRowShown="0" dataDxfId="21" tableBorderDxfId="20">
  <autoFilter ref="C1:C148" xr:uid="{2090D60D-A89A-489E-85EE-39A27A628F98}"/>
  <sortState xmlns:xlrd2="http://schemas.microsoft.com/office/spreadsheetml/2017/richdata2" ref="C2:C148">
    <sortCondition ref="C1:C148"/>
  </sortState>
  <tableColumns count="1">
    <tableColumn id="1" xr3:uid="{3ABE471A-163A-4FD3-8C02-B7F526890F8A}" name="Nodos" dataDxfId="1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E824B8-46F7-4A9A-9497-BD512D42EC8C}" name="Tabla2" displayName="Tabla2" ref="E1:E6" totalsRowShown="0" headerRowDxfId="18" dataDxfId="16" headerRowBorderDxfId="17" tableBorderDxfId="15" totalsRowBorderDxfId="14">
  <autoFilter ref="E1:E6" xr:uid="{AEFDA587-FC4A-4A87-BBB4-19201022B331}"/>
  <tableColumns count="1">
    <tableColumn id="1" xr3:uid="{55CADF00-2B89-4FA5-8228-21847E124A05}" name="Zona" dataDxfId="13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5EFD3C-DC3A-4907-BB95-B646D51D4974}" name="Tabla3" displayName="Tabla3" ref="G1:G23" totalsRowShown="0" headerRowDxfId="12" dataDxfId="10" headerRowBorderDxfId="11" tableBorderDxfId="9" totalsRowBorderDxfId="8">
  <autoFilter ref="G1:G23" xr:uid="{232B1EC6-5DFA-45B1-B6E7-F0204867A9EC}"/>
  <sortState xmlns:xlrd2="http://schemas.microsoft.com/office/spreadsheetml/2017/richdata2" ref="G2:G23">
    <sortCondition ref="G1:G23"/>
  </sortState>
  <tableColumns count="1">
    <tableColumn id="1" xr3:uid="{37FBBDA7-9EBF-465F-A0E0-B176E6FD426F}" name="Ciudad" dataDxfId="7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AEC43-4866-4621-9797-0982A34E022A}">
  <sheetPr>
    <pageSetUpPr fitToPage="1"/>
  </sheetPr>
  <dimension ref="A1:AR1500"/>
  <sheetViews>
    <sheetView tabSelected="1" zoomScaleNormal="100" workbookViewId="0">
      <pane ySplit="1" topLeftCell="A90" activePane="bottomLeft" state="frozen"/>
      <selection pane="bottomLeft" activeCell="D93" sqref="D93"/>
    </sheetView>
  </sheetViews>
  <sheetFormatPr baseColWidth="10" defaultColWidth="8.7109375" defaultRowHeight="15" x14ac:dyDescent="0.25"/>
  <cols>
    <col min="1" max="2" width="16" style="8" customWidth="1"/>
    <col min="3" max="3" width="32" style="8" customWidth="1"/>
    <col min="4" max="4" width="16" style="8" customWidth="1"/>
    <col min="5" max="5" width="12" style="8" customWidth="1"/>
    <col min="6" max="6" width="15" style="8" customWidth="1"/>
    <col min="7" max="7" width="16" style="8" customWidth="1"/>
    <col min="8" max="8" width="10" style="8" customWidth="1"/>
    <col min="9" max="9" width="26" style="8" customWidth="1"/>
    <col min="10" max="11" width="12" style="8" customWidth="1"/>
    <col min="12" max="12" width="16" style="8" customWidth="1"/>
    <col min="13" max="16" width="14" style="8" customWidth="1"/>
    <col min="17" max="17" width="18" style="8" customWidth="1"/>
    <col min="18" max="18" width="16" style="8" customWidth="1"/>
    <col min="19" max="19" width="12" style="8" customWidth="1"/>
    <col min="20" max="20" width="15" style="8" customWidth="1"/>
    <col min="21" max="21" width="16" style="8" customWidth="1"/>
    <col min="22" max="22" width="10" style="8" customWidth="1"/>
    <col min="23" max="23" width="26" style="8" customWidth="1"/>
    <col min="24" max="25" width="12" style="8" customWidth="1"/>
    <col min="26" max="26" width="16" style="8" customWidth="1"/>
    <col min="27" max="30" width="14" style="8" customWidth="1"/>
    <col min="31" max="31" width="18" style="8" customWidth="1"/>
    <col min="32" max="35" width="14" style="8" customWidth="1"/>
    <col min="36" max="37" width="16" style="8" customWidth="1"/>
    <col min="38" max="39" width="14" style="8" customWidth="1"/>
    <col min="40" max="40" width="12" style="8" customWidth="1"/>
    <col min="41" max="41" width="19.85546875" style="8" customWidth="1"/>
    <col min="42" max="42" width="12" style="8" customWidth="1"/>
    <col min="43" max="43" width="6.85546875" style="8" customWidth="1"/>
    <col min="44" max="44" width="67.42578125" style="8" customWidth="1"/>
    <col min="45" max="16384" width="8.7109375" style="8"/>
  </cols>
  <sheetData>
    <row r="1" spans="1:44" s="5" customFormat="1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13</v>
      </c>
      <c r="AC1" s="2" t="s">
        <v>14</v>
      </c>
      <c r="AD1" s="2" t="s">
        <v>15</v>
      </c>
      <c r="AE1" s="2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3" t="s">
        <v>36</v>
      </c>
      <c r="AO1" s="3" t="s">
        <v>37</v>
      </c>
      <c r="AP1" s="4" t="s">
        <v>38</v>
      </c>
      <c r="AR1" s="6" t="s">
        <v>39</v>
      </c>
    </row>
    <row r="2" spans="1:44" ht="15" customHeight="1" x14ac:dyDescent="0.25">
      <c r="A2" s="7" t="s">
        <v>40</v>
      </c>
      <c r="B2" s="7" t="s">
        <v>41</v>
      </c>
      <c r="C2" s="7" t="s">
        <v>42</v>
      </c>
      <c r="D2" s="7" t="s">
        <v>43</v>
      </c>
      <c r="E2" s="7" t="s">
        <v>44</v>
      </c>
      <c r="F2" s="7" t="s">
        <v>45</v>
      </c>
      <c r="G2" s="7" t="s">
        <v>46</v>
      </c>
      <c r="H2" s="7" t="s">
        <v>47</v>
      </c>
      <c r="I2" s="7" t="s">
        <v>48</v>
      </c>
      <c r="J2" s="7">
        <v>0.3</v>
      </c>
      <c r="K2" s="7">
        <v>-19</v>
      </c>
      <c r="L2" s="7">
        <v>-27</v>
      </c>
      <c r="M2" s="7"/>
      <c r="N2" s="7"/>
      <c r="O2" s="7"/>
      <c r="P2" s="7"/>
      <c r="Q2" s="7">
        <v>153890</v>
      </c>
      <c r="R2" s="7" t="s">
        <v>49</v>
      </c>
      <c r="S2" s="7" t="s">
        <v>44</v>
      </c>
      <c r="T2" s="7" t="s">
        <v>50</v>
      </c>
      <c r="U2" s="7" t="s">
        <v>46</v>
      </c>
      <c r="V2" s="7" t="s">
        <v>51</v>
      </c>
      <c r="W2" s="7" t="s">
        <v>52</v>
      </c>
      <c r="X2" s="7">
        <v>0.3</v>
      </c>
      <c r="Y2" s="7">
        <v>-8.1</v>
      </c>
      <c r="Z2" s="7">
        <v>-27</v>
      </c>
      <c r="AA2" s="7"/>
      <c r="AB2" s="7" t="s">
        <v>53</v>
      </c>
      <c r="AC2" s="7" t="s">
        <v>54</v>
      </c>
      <c r="AD2" s="7">
        <v>10</v>
      </c>
      <c r="AE2" s="7">
        <v>153890</v>
      </c>
      <c r="AF2" s="7">
        <f t="shared" ref="AF2:AF65" si="0">IF(C2="","",IF(AND(ISNUMBER(K2),ISNUMBER(L2)),K2-L2,""))</f>
        <v>8</v>
      </c>
      <c r="AG2" s="7" t="str">
        <f>IF(C2="","",IF(K2&lt;=L2,"ALARMA","OK"))</f>
        <v>OK</v>
      </c>
      <c r="AH2" s="7">
        <f t="shared" ref="AH2:AH65" si="1">IF(C2="","",IF(AND(ISNUMBER(Y2),ISNUMBER(Z2)),Y2-Z2,""))</f>
        <v>18.899999999999999</v>
      </c>
      <c r="AI2" s="7" t="str">
        <f t="shared" ref="AI2:AI65" si="2">IF(C2="","",IF(AH2="","N/A",IF(AH2&lt;0,"ALARMA","OK")))</f>
        <v>OK</v>
      </c>
      <c r="AJ2" s="7" t="str">
        <f t="shared" ref="AJ2:AJ65" si="3">IF(C2="","",IF(ISNUMBER(M2),IF(M2&gt;0,"CON ERRORES","OK"),"N/A"))</f>
        <v>N/A</v>
      </c>
      <c r="AK2" s="7" t="str">
        <f t="shared" ref="AK2:AK65" si="4">IF(C2="","",IF(ISNUMBER(AA2),IF(AA2&gt;0,"CON ERRORES","OK"),"N/A"))</f>
        <v>N/A</v>
      </c>
      <c r="AL2" s="7" t="str">
        <f t="shared" ref="AL2:AL65" si="5">IF(C2="","",IF(OR(AG2="ALARMA",AI2="ALARMA",AJ2="CON ERRORES",AK2="CON ERRORES"),"REVISAR","OK"))</f>
        <v>OK</v>
      </c>
      <c r="AM2" s="7">
        <f t="shared" ref="AM2:AM65" si="6">IF(C2="","",IF(ISNUMBER(Q2),Q2,IF(ISNUMBER(AE2),AE2,"Ver detalle")))</f>
        <v>153890</v>
      </c>
      <c r="AN2" s="8">
        <f>IF(C2="","",COUNTIF($C$2:C2,C2))</f>
        <v>1</v>
      </c>
      <c r="AO2" s="8" t="str">
        <f t="shared" ref="AO2:AO65" si="7">IF(C2="","",C2&amp;"|"&amp;AN2)</f>
        <v>Vipasa - Tulua 10G CH59 UFINET|1</v>
      </c>
      <c r="AP2" s="8" t="str">
        <f>IF(C2="","",IF(AND(OR([1]Consulta!$C$29="",A2=[1]Consulta!$C$29),OR([1]Consulta!$E$29="",B2=[1]Consulta!$E$29),OR([1]Consulta!$G$29="",D2=[1]Consulta!$G$29,R2=[1]Consulta!$G$29)),ROW()-1,""))</f>
        <v/>
      </c>
      <c r="AR2" s="9" t="s">
        <v>55</v>
      </c>
    </row>
    <row r="3" spans="1:44" ht="15" customHeight="1" x14ac:dyDescent="0.25">
      <c r="A3" s="7" t="s">
        <v>40</v>
      </c>
      <c r="B3" s="7" t="s">
        <v>41</v>
      </c>
      <c r="C3" s="7" t="s">
        <v>56</v>
      </c>
      <c r="D3" s="7" t="s">
        <v>43</v>
      </c>
      <c r="E3" s="7" t="s">
        <v>44</v>
      </c>
      <c r="F3" s="7" t="s">
        <v>45</v>
      </c>
      <c r="G3" s="7" t="s">
        <v>46</v>
      </c>
      <c r="H3" s="7" t="s">
        <v>57</v>
      </c>
      <c r="I3" s="7" t="s">
        <v>48</v>
      </c>
      <c r="J3" s="7">
        <v>0</v>
      </c>
      <c r="K3" s="7">
        <v>-17.899999999999999</v>
      </c>
      <c r="L3" s="7">
        <v>-25.1</v>
      </c>
      <c r="M3" s="7"/>
      <c r="N3" s="7"/>
      <c r="O3" s="7"/>
      <c r="P3" s="7"/>
      <c r="Q3" s="7">
        <v>153890</v>
      </c>
      <c r="R3" s="7" t="s">
        <v>49</v>
      </c>
      <c r="S3" s="7" t="s">
        <v>44</v>
      </c>
      <c r="T3" s="7" t="s">
        <v>50</v>
      </c>
      <c r="U3" s="7" t="s">
        <v>46</v>
      </c>
      <c r="V3" s="7" t="s">
        <v>58</v>
      </c>
      <c r="W3" s="7" t="s">
        <v>59</v>
      </c>
      <c r="X3" s="7">
        <v>0</v>
      </c>
      <c r="Y3" s="7">
        <v>-12.2</v>
      </c>
      <c r="Z3" s="7">
        <v>-25.1</v>
      </c>
      <c r="AA3" s="7"/>
      <c r="AB3" s="7" t="s">
        <v>53</v>
      </c>
      <c r="AC3" s="7" t="s">
        <v>60</v>
      </c>
      <c r="AD3" s="7">
        <v>10</v>
      </c>
      <c r="AE3" s="7">
        <v>153890</v>
      </c>
      <c r="AF3" s="7">
        <f t="shared" si="0"/>
        <v>7.2000000000000028</v>
      </c>
      <c r="AG3" s="7" t="str">
        <f t="shared" ref="AG3:AG66" si="8">IF(C3="","",IF(AF3="","N/A",IF(AF3&lt;0,"ALARMA","OK")))</f>
        <v>OK</v>
      </c>
      <c r="AH3" s="7">
        <f t="shared" si="1"/>
        <v>12.900000000000002</v>
      </c>
      <c r="AI3" s="7" t="str">
        <f t="shared" si="2"/>
        <v>OK</v>
      </c>
      <c r="AJ3" s="7" t="str">
        <f t="shared" si="3"/>
        <v>N/A</v>
      </c>
      <c r="AK3" s="7" t="str">
        <f t="shared" si="4"/>
        <v>N/A</v>
      </c>
      <c r="AL3" s="7" t="str">
        <f t="shared" si="5"/>
        <v>OK</v>
      </c>
      <c r="AM3" s="7">
        <f t="shared" si="6"/>
        <v>153890</v>
      </c>
      <c r="AN3" s="8">
        <f>IF(C3="","",COUNTIF($C$2:C3,C3))</f>
        <v>1</v>
      </c>
      <c r="AO3" s="8" t="str">
        <f t="shared" si="7"/>
        <v>Vipasa - Tulua 10G CH22 UFINET|1</v>
      </c>
      <c r="AP3" s="8" t="str">
        <f>IF(C3="","",IF(AND(OR([1]Consulta!$C$29="",A3=[1]Consulta!$C$29),OR([1]Consulta!$E$29="",B3=[1]Consulta!$E$29),OR([1]Consulta!$G$29="",D3=[1]Consulta!$G$29,R3=[1]Consulta!$G$29)),ROW()-1,""))</f>
        <v/>
      </c>
      <c r="AR3" s="9" t="s">
        <v>61</v>
      </c>
    </row>
    <row r="4" spans="1:44" ht="15" customHeight="1" x14ac:dyDescent="0.25">
      <c r="A4" s="7" t="s">
        <v>40</v>
      </c>
      <c r="B4" s="7" t="s">
        <v>41</v>
      </c>
      <c r="C4" s="7" t="s">
        <v>56</v>
      </c>
      <c r="D4" s="7" t="s">
        <v>43</v>
      </c>
      <c r="E4" s="7" t="s">
        <v>44</v>
      </c>
      <c r="F4" s="7" t="s">
        <v>45</v>
      </c>
      <c r="G4" s="7" t="s">
        <v>46</v>
      </c>
      <c r="H4" s="7" t="s">
        <v>58</v>
      </c>
      <c r="I4" s="7" t="s">
        <v>62</v>
      </c>
      <c r="J4" s="7">
        <v>0</v>
      </c>
      <c r="K4" s="7">
        <v>-17.100000000000001</v>
      </c>
      <c r="L4" s="7">
        <v>-25.1</v>
      </c>
      <c r="M4" s="7"/>
      <c r="N4" s="7"/>
      <c r="O4" s="7"/>
      <c r="P4" s="7"/>
      <c r="Q4" s="7">
        <v>153890</v>
      </c>
      <c r="R4" s="7" t="s">
        <v>49</v>
      </c>
      <c r="S4" s="7" t="s">
        <v>44</v>
      </c>
      <c r="T4" s="7" t="s">
        <v>50</v>
      </c>
      <c r="U4" s="7" t="s">
        <v>46</v>
      </c>
      <c r="V4" s="7" t="s">
        <v>63</v>
      </c>
      <c r="W4" s="7" t="s">
        <v>59</v>
      </c>
      <c r="X4" s="7">
        <v>0</v>
      </c>
      <c r="Y4" s="7">
        <v>-8.6</v>
      </c>
      <c r="Z4" s="7">
        <v>-25.1</v>
      </c>
      <c r="AA4" s="7"/>
      <c r="AB4" s="7" t="s">
        <v>64</v>
      </c>
      <c r="AC4" s="7" t="s">
        <v>65</v>
      </c>
      <c r="AD4" s="7">
        <v>10</v>
      </c>
      <c r="AE4" s="7">
        <v>153890</v>
      </c>
      <c r="AF4" s="7">
        <f t="shared" si="0"/>
        <v>8</v>
      </c>
      <c r="AG4" s="7" t="str">
        <f t="shared" si="8"/>
        <v>OK</v>
      </c>
      <c r="AH4" s="7">
        <f t="shared" si="1"/>
        <v>16.5</v>
      </c>
      <c r="AI4" s="7" t="str">
        <f t="shared" si="2"/>
        <v>OK</v>
      </c>
      <c r="AJ4" s="7" t="str">
        <f t="shared" si="3"/>
        <v>N/A</v>
      </c>
      <c r="AK4" s="7" t="str">
        <f t="shared" si="4"/>
        <v>N/A</v>
      </c>
      <c r="AL4" s="7" t="str">
        <f t="shared" si="5"/>
        <v>OK</v>
      </c>
      <c r="AM4" s="7">
        <f t="shared" si="6"/>
        <v>153890</v>
      </c>
      <c r="AN4" s="8">
        <f>IF(C4="","",COUNTIF($C$2:C4,C4))</f>
        <v>2</v>
      </c>
      <c r="AO4" s="8" t="str">
        <f t="shared" si="7"/>
        <v>Vipasa - Tulua 10G CH22 UFINET|2</v>
      </c>
      <c r="AP4" s="8" t="str">
        <f>IF(C4="","",IF(AND(OR([1]Consulta!$C$29="",A4=[1]Consulta!$C$29),OR([1]Consulta!$E$29="",B4=[1]Consulta!$E$29),OR([1]Consulta!$G$29="",D4=[1]Consulta!$G$29,R4=[1]Consulta!$G$29)),ROW()-1,""))</f>
        <v/>
      </c>
      <c r="AR4" s="9" t="s">
        <v>66</v>
      </c>
    </row>
    <row r="5" spans="1:44" ht="15" customHeight="1" x14ac:dyDescent="0.25">
      <c r="A5" s="7" t="s">
        <v>40</v>
      </c>
      <c r="B5" s="7" t="s">
        <v>41</v>
      </c>
      <c r="C5" s="7" t="s">
        <v>67</v>
      </c>
      <c r="D5" s="7" t="s">
        <v>43</v>
      </c>
      <c r="E5" s="7" t="s">
        <v>44</v>
      </c>
      <c r="F5" s="7" t="s">
        <v>45</v>
      </c>
      <c r="G5" s="7" t="s">
        <v>46</v>
      </c>
      <c r="H5" s="7" t="s">
        <v>68</v>
      </c>
      <c r="I5" s="7" t="s">
        <v>48</v>
      </c>
      <c r="J5" s="7">
        <v>0</v>
      </c>
      <c r="K5" s="7">
        <v>-11</v>
      </c>
      <c r="L5" s="7">
        <v>-27.2</v>
      </c>
      <c r="M5" s="7"/>
      <c r="N5" s="7"/>
      <c r="O5" s="7"/>
      <c r="P5" s="7"/>
      <c r="Q5" s="7">
        <v>153890</v>
      </c>
      <c r="R5" s="7" t="s">
        <v>49</v>
      </c>
      <c r="S5" s="7" t="s">
        <v>44</v>
      </c>
      <c r="T5" s="7" t="s">
        <v>50</v>
      </c>
      <c r="U5" s="7" t="s">
        <v>46</v>
      </c>
      <c r="V5" s="7" t="s">
        <v>68</v>
      </c>
      <c r="W5" s="7" t="s">
        <v>69</v>
      </c>
      <c r="X5" s="7">
        <v>0</v>
      </c>
      <c r="Y5" s="7">
        <v>-12.2</v>
      </c>
      <c r="Z5" s="7">
        <v>-27.2</v>
      </c>
      <c r="AA5" s="7"/>
      <c r="AB5" s="7" t="s">
        <v>70</v>
      </c>
      <c r="AC5" s="7" t="s">
        <v>71</v>
      </c>
      <c r="AD5" s="7">
        <v>10</v>
      </c>
      <c r="AE5" s="7">
        <v>153890</v>
      </c>
      <c r="AF5" s="7">
        <f t="shared" si="0"/>
        <v>16.2</v>
      </c>
      <c r="AG5" s="7" t="str">
        <f t="shared" si="8"/>
        <v>OK</v>
      </c>
      <c r="AH5" s="7">
        <f t="shared" si="1"/>
        <v>15</v>
      </c>
      <c r="AI5" s="7" t="str">
        <f t="shared" si="2"/>
        <v>OK</v>
      </c>
      <c r="AJ5" s="7" t="str">
        <f t="shared" si="3"/>
        <v>N/A</v>
      </c>
      <c r="AK5" s="7" t="str">
        <f t="shared" si="4"/>
        <v>N/A</v>
      </c>
      <c r="AL5" s="7" t="str">
        <f t="shared" si="5"/>
        <v>OK</v>
      </c>
      <c r="AM5" s="7">
        <f t="shared" si="6"/>
        <v>153890</v>
      </c>
      <c r="AN5" s="8">
        <f>IF(C5="","",COUNTIF($C$2:C5,C5))</f>
        <v>1</v>
      </c>
      <c r="AO5" s="8" t="str">
        <f t="shared" si="7"/>
        <v>Vipasa - Tulua 10G CH60 UFINET|1</v>
      </c>
      <c r="AP5" s="8" t="str">
        <f>IF(C5="","",IF(AND(OR([1]Consulta!$C$29="",A5=[1]Consulta!$C$29),OR([1]Consulta!$E$29="",B5=[1]Consulta!$E$29),OR([1]Consulta!$G$29="",D5=[1]Consulta!$G$29,R5=[1]Consulta!$G$29)),ROW()-1,""))</f>
        <v/>
      </c>
      <c r="AR5" s="9" t="s">
        <v>72</v>
      </c>
    </row>
    <row r="6" spans="1:44" ht="15" customHeight="1" x14ac:dyDescent="0.25">
      <c r="A6" s="7" t="s">
        <v>40</v>
      </c>
      <c r="B6" s="7" t="s">
        <v>41</v>
      </c>
      <c r="C6" s="7" t="s">
        <v>73</v>
      </c>
      <c r="D6" s="7" t="s">
        <v>43</v>
      </c>
      <c r="E6" s="7" t="s">
        <v>44</v>
      </c>
      <c r="F6" s="7" t="s">
        <v>45</v>
      </c>
      <c r="G6" s="7" t="s">
        <v>46</v>
      </c>
      <c r="H6" s="7" t="s">
        <v>74</v>
      </c>
      <c r="I6" s="7" t="s">
        <v>48</v>
      </c>
      <c r="J6" s="7">
        <v>0</v>
      </c>
      <c r="K6" s="7">
        <v>-14.6</v>
      </c>
      <c r="L6" s="7">
        <v>-27.2</v>
      </c>
      <c r="M6" s="7"/>
      <c r="N6" s="7"/>
      <c r="O6" s="7"/>
      <c r="P6" s="7"/>
      <c r="Q6" s="7">
        <v>36850</v>
      </c>
      <c r="R6" s="7" t="s">
        <v>75</v>
      </c>
      <c r="S6" s="7" t="s">
        <v>76</v>
      </c>
      <c r="T6" s="7" t="s">
        <v>77</v>
      </c>
      <c r="U6" s="7" t="s">
        <v>46</v>
      </c>
      <c r="V6" s="7" t="s">
        <v>78</v>
      </c>
      <c r="W6" s="7" t="s">
        <v>48</v>
      </c>
      <c r="X6" s="7">
        <v>0.3</v>
      </c>
      <c r="Y6" s="7">
        <v>-13.3</v>
      </c>
      <c r="Z6" s="7">
        <v>-27.2</v>
      </c>
      <c r="AA6" s="7"/>
      <c r="AB6" s="7" t="s">
        <v>53</v>
      </c>
      <c r="AC6" s="7" t="s">
        <v>79</v>
      </c>
      <c r="AD6" s="7">
        <v>10</v>
      </c>
      <c r="AE6" s="7">
        <v>36850</v>
      </c>
      <c r="AF6" s="7">
        <f t="shared" si="0"/>
        <v>12.6</v>
      </c>
      <c r="AG6" s="7" t="str">
        <f t="shared" si="8"/>
        <v>OK</v>
      </c>
      <c r="AH6" s="7">
        <f t="shared" si="1"/>
        <v>13.899999999999999</v>
      </c>
      <c r="AI6" s="7" t="str">
        <f t="shared" si="2"/>
        <v>OK</v>
      </c>
      <c r="AJ6" s="7" t="str">
        <f t="shared" si="3"/>
        <v>N/A</v>
      </c>
      <c r="AK6" s="7" t="str">
        <f t="shared" si="4"/>
        <v>N/A</v>
      </c>
      <c r="AL6" s="7" t="str">
        <f t="shared" si="5"/>
        <v>OK</v>
      </c>
      <c r="AM6" s="7">
        <f t="shared" si="6"/>
        <v>36850</v>
      </c>
      <c r="AN6" s="8">
        <f>IF(C6="","",COUNTIF($C$2:C6,C6))</f>
        <v>1</v>
      </c>
      <c r="AO6" s="8" t="str">
        <f t="shared" si="7"/>
        <v>Vipasa - Candelaria 10G ANILLO GRIS|1</v>
      </c>
      <c r="AP6" s="8" t="str">
        <f>IF(C6="","",IF(AND(OR([1]Consulta!$C$29="",A6=[1]Consulta!$C$29),OR([1]Consulta!$E$29="",B6=[1]Consulta!$E$29),OR([1]Consulta!$G$29="",D6=[1]Consulta!$G$29,R6=[1]Consulta!$G$29)),ROW()-1,""))</f>
        <v/>
      </c>
      <c r="AR6" s="9" t="s">
        <v>80</v>
      </c>
    </row>
    <row r="7" spans="1:44" ht="15" customHeight="1" x14ac:dyDescent="0.25">
      <c r="A7" s="7" t="s">
        <v>40</v>
      </c>
      <c r="B7" s="7" t="s">
        <v>41</v>
      </c>
      <c r="C7" s="7" t="s">
        <v>81</v>
      </c>
      <c r="D7" s="7" t="s">
        <v>43</v>
      </c>
      <c r="E7" s="7" t="s">
        <v>44</v>
      </c>
      <c r="F7" s="7" t="s">
        <v>45</v>
      </c>
      <c r="G7" s="7" t="s">
        <v>46</v>
      </c>
      <c r="H7" s="7" t="s">
        <v>82</v>
      </c>
      <c r="I7" s="7" t="s">
        <v>83</v>
      </c>
      <c r="J7" s="7">
        <v>3.4</v>
      </c>
      <c r="K7" s="7">
        <v>-13.2</v>
      </c>
      <c r="L7" s="7">
        <v>-19</v>
      </c>
      <c r="M7" s="7">
        <v>0</v>
      </c>
      <c r="N7" s="7"/>
      <c r="O7" s="7"/>
      <c r="P7" s="7"/>
      <c r="Q7" s="7"/>
      <c r="R7" s="7" t="s">
        <v>84</v>
      </c>
      <c r="S7" s="7" t="s">
        <v>76</v>
      </c>
      <c r="T7" s="7" t="s">
        <v>85</v>
      </c>
      <c r="U7" s="7" t="s">
        <v>46</v>
      </c>
      <c r="V7" s="7" t="s">
        <v>78</v>
      </c>
      <c r="W7" s="7" t="s">
        <v>86</v>
      </c>
      <c r="X7" s="7">
        <v>3.1</v>
      </c>
      <c r="Y7" s="7">
        <v>-11.3</v>
      </c>
      <c r="Z7" s="7">
        <v>-19</v>
      </c>
      <c r="AA7" s="7">
        <v>0</v>
      </c>
      <c r="AB7" s="7"/>
      <c r="AC7" s="7"/>
      <c r="AD7" s="7"/>
      <c r="AE7" s="7"/>
      <c r="AF7" s="7">
        <f t="shared" si="0"/>
        <v>5.8000000000000007</v>
      </c>
      <c r="AG7" s="7" t="str">
        <f t="shared" si="8"/>
        <v>OK</v>
      </c>
      <c r="AH7" s="7">
        <f t="shared" si="1"/>
        <v>7.6999999999999993</v>
      </c>
      <c r="AI7" s="7" t="str">
        <f t="shared" si="2"/>
        <v>OK</v>
      </c>
      <c r="AJ7" s="7" t="str">
        <f t="shared" si="3"/>
        <v>OK</v>
      </c>
      <c r="AK7" s="7" t="str">
        <f t="shared" si="4"/>
        <v>OK</v>
      </c>
      <c r="AL7" s="7" t="str">
        <f t="shared" si="5"/>
        <v>OK</v>
      </c>
      <c r="AM7" s="7" t="str">
        <f t="shared" si="6"/>
        <v>Ver detalle</v>
      </c>
      <c r="AN7" s="8">
        <f>IF(C7="","",COUNTIF($C$2:C7,C7))</f>
        <v>1</v>
      </c>
      <c r="AO7" s="8" t="str">
        <f t="shared" si="7"/>
        <v>Vipasa - Cavasa 10G ANILLO GRIS|1</v>
      </c>
      <c r="AP7" s="8" t="str">
        <f>IF(C7="","",IF(AND(OR([1]Consulta!$C$29="",A7=[1]Consulta!$C$29),OR([1]Consulta!$E$29="",B7=[1]Consulta!$E$29),OR([1]Consulta!$G$29="",D7=[1]Consulta!$G$29,R7=[1]Consulta!$G$29)),ROW()-1,""))</f>
        <v/>
      </c>
      <c r="AR7" s="9" t="s">
        <v>87</v>
      </c>
    </row>
    <row r="8" spans="1:44" ht="15" customHeight="1" x14ac:dyDescent="0.25">
      <c r="A8" s="7" t="s">
        <v>40</v>
      </c>
      <c r="B8" s="7" t="s">
        <v>41</v>
      </c>
      <c r="C8" s="7" t="s">
        <v>81</v>
      </c>
      <c r="D8" s="7" t="s">
        <v>43</v>
      </c>
      <c r="E8" s="7" t="s">
        <v>44</v>
      </c>
      <c r="F8" s="7" t="s">
        <v>45</v>
      </c>
      <c r="G8" s="7" t="s">
        <v>46</v>
      </c>
      <c r="H8" s="7" t="s">
        <v>63</v>
      </c>
      <c r="I8" s="7" t="s">
        <v>88</v>
      </c>
      <c r="J8" s="7">
        <v>2.6</v>
      </c>
      <c r="K8" s="7">
        <v>-12.5</v>
      </c>
      <c r="L8" s="7">
        <v>-19</v>
      </c>
      <c r="M8" s="7">
        <v>0</v>
      </c>
      <c r="N8" s="7"/>
      <c r="O8" s="7"/>
      <c r="P8" s="7"/>
      <c r="Q8" s="7"/>
      <c r="R8" s="7" t="s">
        <v>84</v>
      </c>
      <c r="S8" s="7" t="s">
        <v>76</v>
      </c>
      <c r="T8" s="7" t="s">
        <v>85</v>
      </c>
      <c r="U8" s="7" t="s">
        <v>46</v>
      </c>
      <c r="V8" s="7" t="s">
        <v>89</v>
      </c>
      <c r="W8" s="7" t="s">
        <v>86</v>
      </c>
      <c r="X8" s="7">
        <v>2</v>
      </c>
      <c r="Y8" s="7">
        <v>-13.5</v>
      </c>
      <c r="Z8" s="7">
        <v>-19</v>
      </c>
      <c r="AA8" s="7">
        <v>0</v>
      </c>
      <c r="AB8" s="7"/>
      <c r="AC8" s="7"/>
      <c r="AD8" s="7"/>
      <c r="AE8" s="7"/>
      <c r="AF8" s="7">
        <f t="shared" si="0"/>
        <v>6.5</v>
      </c>
      <c r="AG8" s="7" t="str">
        <f t="shared" si="8"/>
        <v>OK</v>
      </c>
      <c r="AH8" s="7">
        <f t="shared" si="1"/>
        <v>5.5</v>
      </c>
      <c r="AI8" s="7" t="str">
        <f t="shared" si="2"/>
        <v>OK</v>
      </c>
      <c r="AJ8" s="7" t="str">
        <f t="shared" si="3"/>
        <v>OK</v>
      </c>
      <c r="AK8" s="7" t="str">
        <f t="shared" si="4"/>
        <v>OK</v>
      </c>
      <c r="AL8" s="7" t="str">
        <f t="shared" si="5"/>
        <v>OK</v>
      </c>
      <c r="AM8" s="7" t="str">
        <f t="shared" si="6"/>
        <v>Ver detalle</v>
      </c>
      <c r="AN8" s="8">
        <f>IF(C8="","",COUNTIF($C$2:C8,C8))</f>
        <v>2</v>
      </c>
      <c r="AO8" s="8" t="str">
        <f t="shared" si="7"/>
        <v>Vipasa - Cavasa 10G ANILLO GRIS|2</v>
      </c>
      <c r="AP8" s="8" t="str">
        <f>IF(C8="","",IF(AND(OR([1]Consulta!$C$29="",A8=[1]Consulta!$C$29),OR([1]Consulta!$E$29="",B8=[1]Consulta!$E$29),OR([1]Consulta!$G$29="",D8=[1]Consulta!$G$29,R8=[1]Consulta!$G$29)),ROW()-1,""))</f>
        <v/>
      </c>
    </row>
    <row r="9" spans="1:44" ht="15" customHeight="1" x14ac:dyDescent="0.25">
      <c r="A9" s="7" t="s">
        <v>40</v>
      </c>
      <c r="B9" s="7" t="s">
        <v>41</v>
      </c>
      <c r="C9" s="7" t="s">
        <v>90</v>
      </c>
      <c r="D9" s="7" t="s">
        <v>43</v>
      </c>
      <c r="E9" s="7" t="s">
        <v>91</v>
      </c>
      <c r="F9" s="7" t="s">
        <v>92</v>
      </c>
      <c r="G9" s="7" t="s">
        <v>46</v>
      </c>
      <c r="H9" s="7" t="s">
        <v>93</v>
      </c>
      <c r="I9" s="7" t="s">
        <v>94</v>
      </c>
      <c r="J9" s="7">
        <v>2.7</v>
      </c>
      <c r="K9" s="7">
        <v>-12.6</v>
      </c>
      <c r="L9" s="7" t="s">
        <v>95</v>
      </c>
      <c r="M9" s="7">
        <v>0</v>
      </c>
      <c r="N9" s="7" t="s">
        <v>96</v>
      </c>
      <c r="O9" s="7" t="s">
        <v>97</v>
      </c>
      <c r="P9" s="7"/>
      <c r="Q9" s="7">
        <v>25390</v>
      </c>
      <c r="R9" s="7" t="s">
        <v>84</v>
      </c>
      <c r="S9" s="7" t="s">
        <v>98</v>
      </c>
      <c r="T9" s="7" t="s">
        <v>99</v>
      </c>
      <c r="U9" s="7" t="s">
        <v>46</v>
      </c>
      <c r="V9" s="7" t="s">
        <v>93</v>
      </c>
      <c r="W9" s="7" t="s">
        <v>94</v>
      </c>
      <c r="X9" s="7">
        <v>2.7</v>
      </c>
      <c r="Y9" s="7">
        <v>-15</v>
      </c>
      <c r="Z9" s="7" t="s">
        <v>95</v>
      </c>
      <c r="AA9" s="7">
        <v>0</v>
      </c>
      <c r="AB9" s="7"/>
      <c r="AC9" s="7" t="s">
        <v>100</v>
      </c>
      <c r="AD9" s="7"/>
      <c r="AE9" s="7"/>
      <c r="AF9" s="7" t="str">
        <f t="shared" si="0"/>
        <v/>
      </c>
      <c r="AG9" s="7" t="str">
        <f t="shared" si="8"/>
        <v>N/A</v>
      </c>
      <c r="AH9" s="7" t="str">
        <f t="shared" si="1"/>
        <v/>
      </c>
      <c r="AI9" s="7" t="str">
        <f t="shared" si="2"/>
        <v>N/A</v>
      </c>
      <c r="AJ9" s="7" t="str">
        <f t="shared" si="3"/>
        <v>OK</v>
      </c>
      <c r="AK9" s="7" t="str">
        <f t="shared" si="4"/>
        <v>OK</v>
      </c>
      <c r="AL9" s="7" t="str">
        <f t="shared" si="5"/>
        <v>OK</v>
      </c>
      <c r="AM9" s="7">
        <f t="shared" si="6"/>
        <v>25390</v>
      </c>
      <c r="AN9" s="8">
        <f>IF(C9="","",COUNTIF($C$2:C9,C9))</f>
        <v>1</v>
      </c>
      <c r="AO9" s="8" t="str">
        <f t="shared" si="7"/>
        <v>Vipasa - Cavasa 100G ANILLO SWITCH|1</v>
      </c>
      <c r="AP9" s="8" t="str">
        <f>IF(C9="","",IF(AND(OR([1]Consulta!$C$29="",A9=[1]Consulta!$C$29),OR([1]Consulta!$E$29="",B9=[1]Consulta!$E$29),OR([1]Consulta!$G$29="",D9=[1]Consulta!$G$29,R9=[1]Consulta!$G$29)),ROW()-1,""))</f>
        <v/>
      </c>
    </row>
    <row r="10" spans="1:44" ht="15" customHeight="1" x14ac:dyDescent="0.25">
      <c r="A10" s="7" t="s">
        <v>40</v>
      </c>
      <c r="B10" s="7" t="s">
        <v>41</v>
      </c>
      <c r="C10" s="7" t="s">
        <v>101</v>
      </c>
      <c r="D10" s="7" t="s">
        <v>84</v>
      </c>
      <c r="E10" s="7" t="s">
        <v>98</v>
      </c>
      <c r="F10" s="7" t="s">
        <v>99</v>
      </c>
      <c r="G10" s="7" t="s">
        <v>46</v>
      </c>
      <c r="H10" s="7" t="s">
        <v>102</v>
      </c>
      <c r="I10" s="7" t="s">
        <v>94</v>
      </c>
      <c r="J10" s="7">
        <v>2.2999999999999998</v>
      </c>
      <c r="K10" s="7">
        <v>-8.6</v>
      </c>
      <c r="L10" s="7" t="s">
        <v>95</v>
      </c>
      <c r="M10" s="7">
        <v>0</v>
      </c>
      <c r="N10" s="7" t="s">
        <v>96</v>
      </c>
      <c r="O10" s="7" t="s">
        <v>103</v>
      </c>
      <c r="P10" s="7"/>
      <c r="Q10" s="7"/>
      <c r="R10" s="7" t="s">
        <v>75</v>
      </c>
      <c r="S10" s="7" t="s">
        <v>98</v>
      </c>
      <c r="T10" s="7" t="s">
        <v>104</v>
      </c>
      <c r="U10" s="7" t="s">
        <v>46</v>
      </c>
      <c r="V10" s="7" t="s">
        <v>102</v>
      </c>
      <c r="W10" s="7" t="s">
        <v>94</v>
      </c>
      <c r="X10" s="7">
        <v>2.4900000000000002</v>
      </c>
      <c r="Y10" s="7">
        <v>-6.9</v>
      </c>
      <c r="Z10" s="7">
        <v>-20</v>
      </c>
      <c r="AA10" s="7">
        <v>0</v>
      </c>
      <c r="AB10" s="7"/>
      <c r="AC10" s="7" t="s">
        <v>105</v>
      </c>
      <c r="AD10" s="7"/>
      <c r="AE10" s="7"/>
      <c r="AF10" s="7" t="str">
        <f t="shared" si="0"/>
        <v/>
      </c>
      <c r="AG10" s="7" t="str">
        <f t="shared" si="8"/>
        <v>N/A</v>
      </c>
      <c r="AH10" s="7">
        <f t="shared" si="1"/>
        <v>13.1</v>
      </c>
      <c r="AI10" s="7" t="str">
        <f t="shared" si="2"/>
        <v>OK</v>
      </c>
      <c r="AJ10" s="7" t="str">
        <f t="shared" si="3"/>
        <v>OK</v>
      </c>
      <c r="AK10" s="7" t="str">
        <f t="shared" si="4"/>
        <v>OK</v>
      </c>
      <c r="AL10" s="7" t="str">
        <f t="shared" si="5"/>
        <v>OK</v>
      </c>
      <c r="AM10" s="7" t="str">
        <f t="shared" si="6"/>
        <v>Ver detalle</v>
      </c>
      <c r="AN10" s="8">
        <f>IF(C10="","",COUNTIF($C$2:C10,C10))</f>
        <v>1</v>
      </c>
      <c r="AO10" s="8" t="str">
        <f t="shared" si="7"/>
        <v>Cavasa - Candelaria 100G ANILLO SWITCH|1</v>
      </c>
      <c r="AP10" s="8" t="str">
        <f>IF(C10="","",IF(AND(OR([1]Consulta!$C$29="",A10=[1]Consulta!$C$29),OR([1]Consulta!$E$29="",B10=[1]Consulta!$E$29),OR([1]Consulta!$G$29="",D10=[1]Consulta!$G$29,R10=[1]Consulta!$G$29)),ROW()-1,""))</f>
        <v/>
      </c>
    </row>
    <row r="11" spans="1:44" ht="15" customHeight="1" x14ac:dyDescent="0.25">
      <c r="A11" s="7" t="s">
        <v>40</v>
      </c>
      <c r="B11" s="7" t="s">
        <v>41</v>
      </c>
      <c r="C11" s="7" t="s">
        <v>106</v>
      </c>
      <c r="D11" s="7" t="s">
        <v>84</v>
      </c>
      <c r="E11" s="7" t="s">
        <v>76</v>
      </c>
      <c r="F11" s="7" t="s">
        <v>85</v>
      </c>
      <c r="G11" s="7" t="s">
        <v>46</v>
      </c>
      <c r="H11" s="7" t="s">
        <v>57</v>
      </c>
      <c r="I11" s="7" t="s">
        <v>107</v>
      </c>
      <c r="J11" s="7">
        <v>2.8</v>
      </c>
      <c r="K11" s="7">
        <v>-8.9</v>
      </c>
      <c r="L11" s="7"/>
      <c r="M11" s="7"/>
      <c r="N11" s="7"/>
      <c r="O11" s="7"/>
      <c r="P11" s="7"/>
      <c r="Q11" s="7">
        <v>13533</v>
      </c>
      <c r="R11" s="7" t="s">
        <v>75</v>
      </c>
      <c r="S11" s="7" t="s">
        <v>76</v>
      </c>
      <c r="T11" s="7" t="s">
        <v>77</v>
      </c>
      <c r="U11" s="7" t="s">
        <v>46</v>
      </c>
      <c r="V11" s="7" t="s">
        <v>108</v>
      </c>
      <c r="W11" s="7" t="s">
        <v>88</v>
      </c>
      <c r="X11" s="7">
        <v>2.7</v>
      </c>
      <c r="Y11" s="7">
        <v>-7.9</v>
      </c>
      <c r="Z11" s="7"/>
      <c r="AA11" s="7"/>
      <c r="AB11" s="7" t="s">
        <v>96</v>
      </c>
      <c r="AC11" s="7" t="s">
        <v>109</v>
      </c>
      <c r="AD11" s="7">
        <v>5</v>
      </c>
      <c r="AE11" s="7">
        <v>13533</v>
      </c>
      <c r="AF11" s="7" t="str">
        <f t="shared" si="0"/>
        <v/>
      </c>
      <c r="AG11" s="7" t="str">
        <f t="shared" si="8"/>
        <v>N/A</v>
      </c>
      <c r="AH11" s="7" t="str">
        <f t="shared" si="1"/>
        <v/>
      </c>
      <c r="AI11" s="7" t="str">
        <f t="shared" si="2"/>
        <v>N/A</v>
      </c>
      <c r="AJ11" s="7" t="str">
        <f t="shared" si="3"/>
        <v>N/A</v>
      </c>
      <c r="AK11" s="7" t="str">
        <f t="shared" si="4"/>
        <v>N/A</v>
      </c>
      <c r="AL11" s="7" t="str">
        <f t="shared" si="5"/>
        <v>OK</v>
      </c>
      <c r="AM11" s="7">
        <f t="shared" si="6"/>
        <v>13533</v>
      </c>
      <c r="AN11" s="8">
        <f>IF(C11="","",COUNTIF($C$2:C11,C11))</f>
        <v>1</v>
      </c>
      <c r="AO11" s="8" t="str">
        <f t="shared" si="7"/>
        <v>Cavasa - Candelaria 10G ANILLO GRIS|1</v>
      </c>
      <c r="AP11" s="8" t="str">
        <f>IF(C11="","",IF(AND(OR([1]Consulta!$C$29="",A11=[1]Consulta!$C$29),OR([1]Consulta!$E$29="",B11=[1]Consulta!$E$29),OR([1]Consulta!$G$29="",D11=[1]Consulta!$G$29,R11=[1]Consulta!$G$29)),ROW()-1,""))</f>
        <v/>
      </c>
    </row>
    <row r="12" spans="1:44" ht="15" customHeight="1" x14ac:dyDescent="0.25">
      <c r="A12" s="7" t="s">
        <v>40</v>
      </c>
      <c r="B12" s="7" t="s">
        <v>41</v>
      </c>
      <c r="C12" s="7" t="s">
        <v>106</v>
      </c>
      <c r="D12" s="7" t="s">
        <v>84</v>
      </c>
      <c r="E12" s="7" t="s">
        <v>76</v>
      </c>
      <c r="F12" s="7" t="s">
        <v>85</v>
      </c>
      <c r="G12" s="7" t="s">
        <v>46</v>
      </c>
      <c r="H12" s="7" t="s">
        <v>63</v>
      </c>
      <c r="I12" s="7" t="s">
        <v>107</v>
      </c>
      <c r="J12" s="7">
        <v>2.2999999999999998</v>
      </c>
      <c r="K12" s="7">
        <v>-15.1</v>
      </c>
      <c r="L12" s="7"/>
      <c r="M12" s="7"/>
      <c r="N12" s="7"/>
      <c r="O12" s="7"/>
      <c r="P12" s="7"/>
      <c r="Q12" s="7">
        <v>13533</v>
      </c>
      <c r="R12" s="7" t="s">
        <v>75</v>
      </c>
      <c r="S12" s="7" t="s">
        <v>76</v>
      </c>
      <c r="T12" s="7" t="s">
        <v>77</v>
      </c>
      <c r="U12" s="7" t="s">
        <v>46</v>
      </c>
      <c r="V12" s="7" t="s">
        <v>63</v>
      </c>
      <c r="W12" s="7" t="s">
        <v>86</v>
      </c>
      <c r="X12" s="7">
        <v>2</v>
      </c>
      <c r="Y12" s="7">
        <v>-14.2</v>
      </c>
      <c r="Z12" s="7"/>
      <c r="AA12" s="7"/>
      <c r="AB12" s="7" t="s">
        <v>96</v>
      </c>
      <c r="AC12" s="7" t="s">
        <v>110</v>
      </c>
      <c r="AD12" s="7">
        <v>5</v>
      </c>
      <c r="AE12" s="7">
        <v>13533</v>
      </c>
      <c r="AF12" s="7" t="str">
        <f t="shared" si="0"/>
        <v/>
      </c>
      <c r="AG12" s="7" t="str">
        <f t="shared" si="8"/>
        <v>N/A</v>
      </c>
      <c r="AH12" s="7" t="str">
        <f t="shared" si="1"/>
        <v/>
      </c>
      <c r="AI12" s="7" t="str">
        <f t="shared" si="2"/>
        <v>N/A</v>
      </c>
      <c r="AJ12" s="7" t="str">
        <f t="shared" si="3"/>
        <v>N/A</v>
      </c>
      <c r="AK12" s="7" t="str">
        <f t="shared" si="4"/>
        <v>N/A</v>
      </c>
      <c r="AL12" s="7" t="str">
        <f t="shared" si="5"/>
        <v>OK</v>
      </c>
      <c r="AM12" s="7">
        <f t="shared" si="6"/>
        <v>13533</v>
      </c>
      <c r="AN12" s="8">
        <f>IF(C12="","",COUNTIF($C$2:C12,C12))</f>
        <v>2</v>
      </c>
      <c r="AO12" s="8" t="str">
        <f t="shared" si="7"/>
        <v>Cavasa - Candelaria 10G ANILLO GRIS|2</v>
      </c>
      <c r="AP12" s="8" t="str">
        <f>IF(C12="","",IF(AND(OR([1]Consulta!$C$29="",A12=[1]Consulta!$C$29),OR([1]Consulta!$E$29="",B12=[1]Consulta!$E$29),OR([1]Consulta!$G$29="",D12=[1]Consulta!$G$29,R12=[1]Consulta!$G$29)),ROW()-1,""))</f>
        <v/>
      </c>
    </row>
    <row r="13" spans="1:44" ht="15" customHeight="1" x14ac:dyDescent="0.25">
      <c r="A13" s="7" t="s">
        <v>40</v>
      </c>
      <c r="B13" s="7" t="s">
        <v>75</v>
      </c>
      <c r="C13" s="7" t="s">
        <v>111</v>
      </c>
      <c r="D13" s="7" t="s">
        <v>75</v>
      </c>
      <c r="E13" s="7" t="s">
        <v>76</v>
      </c>
      <c r="F13" s="7" t="s">
        <v>77</v>
      </c>
      <c r="G13" s="7" t="s">
        <v>46</v>
      </c>
      <c r="H13" s="7" t="s">
        <v>112</v>
      </c>
      <c r="I13" s="7" t="s">
        <v>69</v>
      </c>
      <c r="J13" s="7">
        <v>0.3</v>
      </c>
      <c r="K13" s="7">
        <v>-15.5</v>
      </c>
      <c r="L13" s="7"/>
      <c r="M13" s="7"/>
      <c r="N13" s="7" t="s">
        <v>53</v>
      </c>
      <c r="O13" s="7" t="s">
        <v>113</v>
      </c>
      <c r="P13" s="7">
        <v>10</v>
      </c>
      <c r="Q13" s="7">
        <v>116053</v>
      </c>
      <c r="R13" s="7" t="s">
        <v>49</v>
      </c>
      <c r="S13" s="7" t="s">
        <v>44</v>
      </c>
      <c r="T13" s="7" t="s">
        <v>50</v>
      </c>
      <c r="U13" s="7" t="s">
        <v>46</v>
      </c>
      <c r="V13" s="7" t="s">
        <v>114</v>
      </c>
      <c r="W13" s="7" t="s">
        <v>69</v>
      </c>
      <c r="X13" s="7">
        <v>0</v>
      </c>
      <c r="Y13" s="7">
        <v>-16.100000000000001</v>
      </c>
      <c r="Z13" s="7"/>
      <c r="AA13" s="7"/>
      <c r="AB13" s="7" t="s">
        <v>115</v>
      </c>
      <c r="AC13" s="7" t="s">
        <v>116</v>
      </c>
      <c r="AD13" s="7">
        <v>10</v>
      </c>
      <c r="AE13" s="7">
        <v>116053</v>
      </c>
      <c r="AF13" s="7" t="str">
        <f t="shared" si="0"/>
        <v/>
      </c>
      <c r="AG13" s="7" t="str">
        <f t="shared" si="8"/>
        <v>N/A</v>
      </c>
      <c r="AH13" s="7" t="str">
        <f t="shared" si="1"/>
        <v/>
      </c>
      <c r="AI13" s="7" t="str">
        <f t="shared" si="2"/>
        <v>N/A</v>
      </c>
      <c r="AJ13" s="7" t="str">
        <f t="shared" si="3"/>
        <v>N/A</v>
      </c>
      <c r="AK13" s="7" t="str">
        <f t="shared" si="4"/>
        <v>N/A</v>
      </c>
      <c r="AL13" s="7" t="str">
        <f t="shared" si="5"/>
        <v>OK</v>
      </c>
      <c r="AM13" s="7">
        <f t="shared" si="6"/>
        <v>116053</v>
      </c>
      <c r="AN13" s="8">
        <f>IF(C13="","",COUNTIF($C$2:C13,C13))</f>
        <v>1</v>
      </c>
      <c r="AO13" s="8" t="str">
        <f t="shared" si="7"/>
        <v>Candelaria - Tulua 10G ANILLO GRIS|1</v>
      </c>
      <c r="AP13" s="8" t="str">
        <f>IF(C13="","",IF(AND(OR([1]Consulta!$C$29="",A13=[1]Consulta!$C$29),OR([1]Consulta!$E$29="",B13=[1]Consulta!$E$29),OR([1]Consulta!$G$29="",D13=[1]Consulta!$G$29,R13=[1]Consulta!$G$29)),ROW()-1,""))</f>
        <v/>
      </c>
    </row>
    <row r="14" spans="1:44" ht="15" customHeight="1" x14ac:dyDescent="0.25">
      <c r="A14" s="7" t="s">
        <v>40</v>
      </c>
      <c r="B14" s="7" t="s">
        <v>75</v>
      </c>
      <c r="C14" s="7" t="s">
        <v>117</v>
      </c>
      <c r="D14" s="7" t="s">
        <v>75</v>
      </c>
      <c r="E14" s="7" t="s">
        <v>76</v>
      </c>
      <c r="F14" s="7" t="s">
        <v>77</v>
      </c>
      <c r="G14" s="7" t="s">
        <v>46</v>
      </c>
      <c r="H14" s="7" t="s">
        <v>68</v>
      </c>
      <c r="I14" s="7" t="s">
        <v>83</v>
      </c>
      <c r="J14" s="7">
        <v>3.3</v>
      </c>
      <c r="K14" s="7">
        <v>-13.2</v>
      </c>
      <c r="L14" s="7"/>
      <c r="M14" s="7"/>
      <c r="N14" s="7" t="s">
        <v>96</v>
      </c>
      <c r="O14" s="7">
        <v>22</v>
      </c>
      <c r="P14" s="7">
        <v>5</v>
      </c>
      <c r="Q14" s="7">
        <v>20151</v>
      </c>
      <c r="R14" s="7" t="s">
        <v>118</v>
      </c>
      <c r="S14" s="7" t="s">
        <v>76</v>
      </c>
      <c r="T14" s="7" t="s">
        <v>119</v>
      </c>
      <c r="U14" s="7" t="s">
        <v>46</v>
      </c>
      <c r="V14" s="7" t="s">
        <v>78</v>
      </c>
      <c r="W14" s="7" t="s">
        <v>86</v>
      </c>
      <c r="X14" s="7">
        <v>2.7</v>
      </c>
      <c r="Y14" s="7">
        <v>-10.6</v>
      </c>
      <c r="Z14" s="7"/>
      <c r="AA14" s="7"/>
      <c r="AB14" s="7" t="s">
        <v>96</v>
      </c>
      <c r="AC14" s="7" t="s">
        <v>120</v>
      </c>
      <c r="AD14" s="7">
        <v>10</v>
      </c>
      <c r="AE14" s="7">
        <v>20151</v>
      </c>
      <c r="AF14" s="7" t="str">
        <f t="shared" si="0"/>
        <v/>
      </c>
      <c r="AG14" s="7" t="str">
        <f t="shared" si="8"/>
        <v>N/A</v>
      </c>
      <c r="AH14" s="7" t="str">
        <f t="shared" si="1"/>
        <v/>
      </c>
      <c r="AI14" s="7" t="str">
        <f t="shared" si="2"/>
        <v>N/A</v>
      </c>
      <c r="AJ14" s="7" t="str">
        <f t="shared" si="3"/>
        <v>N/A</v>
      </c>
      <c r="AK14" s="7" t="str">
        <f t="shared" si="4"/>
        <v>N/A</v>
      </c>
      <c r="AL14" s="7" t="str">
        <f t="shared" si="5"/>
        <v>OK</v>
      </c>
      <c r="AM14" s="7">
        <f t="shared" si="6"/>
        <v>20151</v>
      </c>
      <c r="AN14" s="8">
        <f>IF(C14="","",COUNTIF($C$2:C14,C14))</f>
        <v>1</v>
      </c>
      <c r="AO14" s="8" t="str">
        <f t="shared" si="7"/>
        <v>Candelaria - Palmira Centro 10G ANILLO GRIS|1</v>
      </c>
      <c r="AP14" s="8" t="str">
        <f>IF(C14="","",IF(AND(OR([1]Consulta!$C$29="",A14=[1]Consulta!$C$29),OR([1]Consulta!$E$29="",B14=[1]Consulta!$E$29),OR([1]Consulta!$G$29="",D14=[1]Consulta!$G$29,R14=[1]Consulta!$G$29)),ROW()-1,""))</f>
        <v/>
      </c>
    </row>
    <row r="15" spans="1:44" ht="15" customHeight="1" x14ac:dyDescent="0.25">
      <c r="A15" s="7" t="s">
        <v>40</v>
      </c>
      <c r="B15" s="7" t="s">
        <v>75</v>
      </c>
      <c r="C15" s="7" t="s">
        <v>117</v>
      </c>
      <c r="D15" s="7" t="s">
        <v>75</v>
      </c>
      <c r="E15" s="7" t="s">
        <v>76</v>
      </c>
      <c r="F15" s="7" t="s">
        <v>77</v>
      </c>
      <c r="G15" s="7" t="s">
        <v>46</v>
      </c>
      <c r="H15" s="7" t="s">
        <v>89</v>
      </c>
      <c r="I15" s="7" t="s">
        <v>83</v>
      </c>
      <c r="J15" s="7">
        <v>2</v>
      </c>
      <c r="K15" s="7">
        <v>-15.1</v>
      </c>
      <c r="L15" s="7"/>
      <c r="M15" s="7"/>
      <c r="N15" s="7" t="s">
        <v>96</v>
      </c>
      <c r="O15" s="7">
        <v>34</v>
      </c>
      <c r="P15" s="7">
        <v>5</v>
      </c>
      <c r="Q15" s="7">
        <v>20151</v>
      </c>
      <c r="R15" s="7" t="s">
        <v>118</v>
      </c>
      <c r="S15" s="7" t="s">
        <v>76</v>
      </c>
      <c r="T15" s="7" t="s">
        <v>119</v>
      </c>
      <c r="U15" s="7" t="s">
        <v>46</v>
      </c>
      <c r="V15" s="7" t="s">
        <v>89</v>
      </c>
      <c r="W15" s="7" t="s">
        <v>88</v>
      </c>
      <c r="X15" s="7">
        <v>3</v>
      </c>
      <c r="Y15" s="7">
        <v>-14.2</v>
      </c>
      <c r="Z15" s="7"/>
      <c r="AA15" s="7"/>
      <c r="AB15" s="7" t="s">
        <v>96</v>
      </c>
      <c r="AC15" s="7" t="s">
        <v>121</v>
      </c>
      <c r="AD15" s="7">
        <v>10</v>
      </c>
      <c r="AE15" s="7">
        <v>20151</v>
      </c>
      <c r="AF15" s="7" t="str">
        <f t="shared" si="0"/>
        <v/>
      </c>
      <c r="AG15" s="7" t="str">
        <f t="shared" si="8"/>
        <v>N/A</v>
      </c>
      <c r="AH15" s="7" t="str">
        <f t="shared" si="1"/>
        <v/>
      </c>
      <c r="AI15" s="7" t="str">
        <f t="shared" si="2"/>
        <v>N/A</v>
      </c>
      <c r="AJ15" s="7" t="str">
        <f t="shared" si="3"/>
        <v>N/A</v>
      </c>
      <c r="AK15" s="7" t="str">
        <f t="shared" si="4"/>
        <v>N/A</v>
      </c>
      <c r="AL15" s="7" t="str">
        <f t="shared" si="5"/>
        <v>OK</v>
      </c>
      <c r="AM15" s="7">
        <f t="shared" si="6"/>
        <v>20151</v>
      </c>
      <c r="AN15" s="8">
        <f>IF(C15="","",COUNTIF($C$2:C15,C15))</f>
        <v>2</v>
      </c>
      <c r="AO15" s="8" t="str">
        <f t="shared" si="7"/>
        <v>Candelaria - Palmira Centro 10G ANILLO GRIS|2</v>
      </c>
      <c r="AP15" s="8" t="str">
        <f>IF(C15="","",IF(AND(OR([1]Consulta!$C$29="",A15=[1]Consulta!$C$29),OR([1]Consulta!$E$29="",B15=[1]Consulta!$E$29),OR([1]Consulta!$G$29="",D15=[1]Consulta!$G$29,R15=[1]Consulta!$G$29)),ROW()-1,""))</f>
        <v/>
      </c>
    </row>
    <row r="16" spans="1:44" ht="15" customHeight="1" x14ac:dyDescent="0.25">
      <c r="A16" s="7" t="s">
        <v>40</v>
      </c>
      <c r="B16" s="7" t="s">
        <v>75</v>
      </c>
      <c r="C16" s="7" t="s">
        <v>123</v>
      </c>
      <c r="D16" s="7" t="s">
        <v>118</v>
      </c>
      <c r="E16" s="7" t="s">
        <v>76</v>
      </c>
      <c r="F16" s="7" t="s">
        <v>119</v>
      </c>
      <c r="G16" s="7" t="s">
        <v>46</v>
      </c>
      <c r="H16" s="7" t="s">
        <v>124</v>
      </c>
      <c r="I16" s="7" t="s">
        <v>83</v>
      </c>
      <c r="J16" s="7">
        <v>3.4</v>
      </c>
      <c r="K16" s="7">
        <v>-4</v>
      </c>
      <c r="L16" s="7"/>
      <c r="M16" s="7"/>
      <c r="N16" s="7" t="s">
        <v>96</v>
      </c>
      <c r="O16" s="7" t="s">
        <v>125</v>
      </c>
      <c r="P16" s="7">
        <v>5</v>
      </c>
      <c r="Q16" s="7">
        <v>3794</v>
      </c>
      <c r="R16" s="7" t="s">
        <v>126</v>
      </c>
      <c r="S16" s="7" t="s">
        <v>127</v>
      </c>
      <c r="T16" s="7" t="s">
        <v>128</v>
      </c>
      <c r="U16" s="7" t="s">
        <v>46</v>
      </c>
      <c r="V16" s="7" t="s">
        <v>129</v>
      </c>
      <c r="W16" s="7" t="s">
        <v>86</v>
      </c>
      <c r="X16" s="7">
        <v>2.8</v>
      </c>
      <c r="Y16" s="7">
        <v>-4.5999999999999996</v>
      </c>
      <c r="Z16" s="7"/>
      <c r="AA16" s="7"/>
      <c r="AB16" s="7" t="s">
        <v>96</v>
      </c>
      <c r="AC16" s="7" t="s">
        <v>130</v>
      </c>
      <c r="AD16" s="7">
        <v>5</v>
      </c>
      <c r="AE16" s="7">
        <v>3794</v>
      </c>
      <c r="AF16" s="7" t="str">
        <f t="shared" si="0"/>
        <v/>
      </c>
      <c r="AG16" s="7" t="str">
        <f t="shared" si="8"/>
        <v>N/A</v>
      </c>
      <c r="AH16" s="7" t="str">
        <f t="shared" si="1"/>
        <v/>
      </c>
      <c r="AI16" s="7" t="str">
        <f t="shared" si="2"/>
        <v>N/A</v>
      </c>
      <c r="AJ16" s="7" t="str">
        <f t="shared" si="3"/>
        <v>N/A</v>
      </c>
      <c r="AK16" s="7" t="str">
        <f t="shared" si="4"/>
        <v>N/A</v>
      </c>
      <c r="AL16" s="7" t="str">
        <f t="shared" si="5"/>
        <v>OK</v>
      </c>
      <c r="AM16" s="7">
        <f t="shared" si="6"/>
        <v>3794</v>
      </c>
      <c r="AN16" s="8">
        <f>IF(C16="","",COUNTIF($C$2:C16,C16))</f>
        <v>1</v>
      </c>
      <c r="AO16" s="8" t="str">
        <f t="shared" si="7"/>
        <v>Palmira Centro - Palmira Samanes 10G ANILLO GRIS|1</v>
      </c>
      <c r="AP16" s="8" t="str">
        <f>IF(C16="","",IF(AND(OR([1]Consulta!$C$29="",A16=[1]Consulta!$C$29),OR([1]Consulta!$E$29="",B16=[1]Consulta!$E$29),OR([1]Consulta!$G$29="",D16=[1]Consulta!$G$29,R16=[1]Consulta!$G$29)),ROW()-1,""))</f>
        <v/>
      </c>
    </row>
    <row r="17" spans="1:42" ht="15" customHeight="1" x14ac:dyDescent="0.25">
      <c r="A17" s="7" t="s">
        <v>40</v>
      </c>
      <c r="B17" s="7" t="s">
        <v>122</v>
      </c>
      <c r="C17" s="7" t="s">
        <v>123</v>
      </c>
      <c r="D17" s="7" t="s">
        <v>118</v>
      </c>
      <c r="E17" s="7" t="s">
        <v>76</v>
      </c>
      <c r="F17" s="7" t="s">
        <v>119</v>
      </c>
      <c r="G17" s="7" t="s">
        <v>46</v>
      </c>
      <c r="H17" s="7" t="s">
        <v>63</v>
      </c>
      <c r="I17" s="7" t="s">
        <v>83</v>
      </c>
      <c r="J17" s="7">
        <v>3.1</v>
      </c>
      <c r="K17" s="7">
        <v>-11</v>
      </c>
      <c r="L17" s="7"/>
      <c r="M17" s="7"/>
      <c r="N17" s="7" t="s">
        <v>96</v>
      </c>
      <c r="O17" s="7" t="s">
        <v>131</v>
      </c>
      <c r="P17" s="7">
        <v>5</v>
      </c>
      <c r="Q17" s="7">
        <v>3794</v>
      </c>
      <c r="R17" s="7" t="s">
        <v>126</v>
      </c>
      <c r="S17" s="7" t="s">
        <v>127</v>
      </c>
      <c r="T17" s="7" t="s">
        <v>128</v>
      </c>
      <c r="U17" s="7" t="s">
        <v>46</v>
      </c>
      <c r="V17" s="7" t="s">
        <v>132</v>
      </c>
      <c r="W17" s="7" t="s">
        <v>86</v>
      </c>
      <c r="X17" s="7">
        <v>2.6</v>
      </c>
      <c r="Y17" s="7">
        <v>-14.2</v>
      </c>
      <c r="Z17" s="7"/>
      <c r="AA17" s="7"/>
      <c r="AB17" s="7" t="s">
        <v>96</v>
      </c>
      <c r="AC17" s="7" t="s">
        <v>133</v>
      </c>
      <c r="AD17" s="7">
        <v>5</v>
      </c>
      <c r="AE17" s="7">
        <v>3794</v>
      </c>
      <c r="AF17" s="7" t="str">
        <f t="shared" si="0"/>
        <v/>
      </c>
      <c r="AG17" s="7" t="str">
        <f t="shared" si="8"/>
        <v>N/A</v>
      </c>
      <c r="AH17" s="7" t="str">
        <f t="shared" si="1"/>
        <v/>
      </c>
      <c r="AI17" s="7" t="str">
        <f t="shared" si="2"/>
        <v>N/A</v>
      </c>
      <c r="AJ17" s="7" t="str">
        <f t="shared" si="3"/>
        <v>N/A</v>
      </c>
      <c r="AK17" s="7" t="str">
        <f t="shared" si="4"/>
        <v>N/A</v>
      </c>
      <c r="AL17" s="7" t="str">
        <f t="shared" si="5"/>
        <v>OK</v>
      </c>
      <c r="AM17" s="7">
        <f t="shared" si="6"/>
        <v>3794</v>
      </c>
      <c r="AN17" s="8">
        <f>IF(C17="","",COUNTIF($C$2:C17,C17))</f>
        <v>2</v>
      </c>
      <c r="AO17" s="8" t="str">
        <f t="shared" si="7"/>
        <v>Palmira Centro - Palmira Samanes 10G ANILLO GRIS|2</v>
      </c>
      <c r="AP17" s="8" t="str">
        <f>IF(C17="","",IF(AND(OR([1]Consulta!$C$29="",A17=[1]Consulta!$C$29),OR([1]Consulta!$E$29="",B17=[1]Consulta!$E$29),OR([1]Consulta!$G$29="",D17=[1]Consulta!$G$29,R17=[1]Consulta!$G$29)),ROW()-1,""))</f>
        <v/>
      </c>
    </row>
    <row r="18" spans="1:42" ht="15" customHeight="1" x14ac:dyDescent="0.25">
      <c r="A18" s="7" t="s">
        <v>40</v>
      </c>
      <c r="B18" s="7" t="s">
        <v>122</v>
      </c>
      <c r="C18" s="7" t="s">
        <v>134</v>
      </c>
      <c r="D18" s="7" t="s">
        <v>126</v>
      </c>
      <c r="E18" s="7" t="s">
        <v>127</v>
      </c>
      <c r="F18" s="7" t="s">
        <v>128</v>
      </c>
      <c r="G18" s="7" t="s">
        <v>46</v>
      </c>
      <c r="H18" s="7" t="s">
        <v>74</v>
      </c>
      <c r="I18" s="7" t="s">
        <v>83</v>
      </c>
      <c r="J18" s="7">
        <v>3.2</v>
      </c>
      <c r="K18" s="7">
        <v>-15.6</v>
      </c>
      <c r="L18" s="7"/>
      <c r="M18" s="7"/>
      <c r="N18" s="7" t="s">
        <v>96</v>
      </c>
      <c r="O18" s="7" t="s">
        <v>135</v>
      </c>
      <c r="P18" s="7">
        <v>5</v>
      </c>
      <c r="Q18" s="7">
        <v>26153</v>
      </c>
      <c r="R18" s="7" t="s">
        <v>136</v>
      </c>
      <c r="S18" s="7" t="s">
        <v>127</v>
      </c>
      <c r="T18" s="7" t="s">
        <v>137</v>
      </c>
      <c r="U18" s="7" t="s">
        <v>46</v>
      </c>
      <c r="V18" s="7" t="s">
        <v>74</v>
      </c>
      <c r="W18" s="7" t="s">
        <v>86</v>
      </c>
      <c r="X18" s="7">
        <v>2.5</v>
      </c>
      <c r="Y18" s="7">
        <v>-13.4</v>
      </c>
      <c r="Z18" s="7"/>
      <c r="AA18" s="7"/>
      <c r="AB18" s="7" t="s">
        <v>96</v>
      </c>
      <c r="AC18" s="7" t="s">
        <v>138</v>
      </c>
      <c r="AD18" s="7">
        <v>5</v>
      </c>
      <c r="AE18" s="7">
        <v>26153</v>
      </c>
      <c r="AF18" s="7" t="str">
        <f t="shared" si="0"/>
        <v/>
      </c>
      <c r="AG18" s="7" t="str">
        <f t="shared" si="8"/>
        <v>N/A</v>
      </c>
      <c r="AH18" s="7" t="str">
        <f t="shared" si="1"/>
        <v/>
      </c>
      <c r="AI18" s="7" t="str">
        <f t="shared" si="2"/>
        <v>N/A</v>
      </c>
      <c r="AJ18" s="7" t="str">
        <f t="shared" si="3"/>
        <v>N/A</v>
      </c>
      <c r="AK18" s="7" t="str">
        <f t="shared" si="4"/>
        <v>N/A</v>
      </c>
      <c r="AL18" s="7" t="str">
        <f t="shared" si="5"/>
        <v>OK</v>
      </c>
      <c r="AM18" s="7">
        <f t="shared" si="6"/>
        <v>26153</v>
      </c>
      <c r="AN18" s="8">
        <f>IF(C18="","",COUNTIF($C$2:C18,C18))</f>
        <v>1</v>
      </c>
      <c r="AO18" s="8" t="str">
        <f t="shared" si="7"/>
        <v>Palmira Samanes - El Cerrito 10G ANILLO GRIS|1</v>
      </c>
      <c r="AP18" s="8" t="str">
        <f>IF(C18="","",IF(AND(OR([1]Consulta!$C$29="",A18=[1]Consulta!$C$29),OR([1]Consulta!$E$29="",B18=[1]Consulta!$E$29),OR([1]Consulta!$G$29="",D18=[1]Consulta!$G$29,R18=[1]Consulta!$G$29)),ROW()-1,""))</f>
        <v/>
      </c>
    </row>
    <row r="19" spans="1:42" ht="15" customHeight="1" x14ac:dyDescent="0.25">
      <c r="A19" s="7" t="s">
        <v>40</v>
      </c>
      <c r="B19" s="7" t="s">
        <v>122</v>
      </c>
      <c r="C19" s="7" t="s">
        <v>134</v>
      </c>
      <c r="D19" s="7" t="s">
        <v>126</v>
      </c>
      <c r="E19" s="7" t="s">
        <v>127</v>
      </c>
      <c r="F19" s="7" t="s">
        <v>128</v>
      </c>
      <c r="G19" s="7" t="s">
        <v>46</v>
      </c>
      <c r="H19" s="7" t="s">
        <v>139</v>
      </c>
      <c r="I19" s="7" t="s">
        <v>83</v>
      </c>
      <c r="J19" s="7">
        <v>3.1</v>
      </c>
      <c r="K19" s="7">
        <v>-16.600000000000001</v>
      </c>
      <c r="L19" s="7"/>
      <c r="M19" s="7"/>
      <c r="N19" s="7" t="s">
        <v>96</v>
      </c>
      <c r="O19" s="7" t="s">
        <v>140</v>
      </c>
      <c r="P19" s="7">
        <v>5</v>
      </c>
      <c r="Q19" s="7">
        <v>26153</v>
      </c>
      <c r="R19" s="7" t="s">
        <v>136</v>
      </c>
      <c r="S19" s="7" t="s">
        <v>127</v>
      </c>
      <c r="T19" s="7" t="s">
        <v>137</v>
      </c>
      <c r="U19" s="7" t="s">
        <v>46</v>
      </c>
      <c r="V19" s="7" t="s">
        <v>132</v>
      </c>
      <c r="W19" s="7" t="s">
        <v>86</v>
      </c>
      <c r="X19" s="7">
        <v>2.6</v>
      </c>
      <c r="Y19" s="7">
        <v>-15</v>
      </c>
      <c r="Z19" s="7"/>
      <c r="AA19" s="7"/>
      <c r="AB19" s="7" t="s">
        <v>96</v>
      </c>
      <c r="AC19" s="7" t="s">
        <v>141</v>
      </c>
      <c r="AD19" s="7">
        <v>5</v>
      </c>
      <c r="AE19" s="7">
        <v>26153</v>
      </c>
      <c r="AF19" s="7" t="str">
        <f t="shared" si="0"/>
        <v/>
      </c>
      <c r="AG19" s="7" t="str">
        <f t="shared" si="8"/>
        <v>N/A</v>
      </c>
      <c r="AH19" s="7" t="str">
        <f t="shared" si="1"/>
        <v/>
      </c>
      <c r="AI19" s="7" t="str">
        <f t="shared" si="2"/>
        <v>N/A</v>
      </c>
      <c r="AJ19" s="7" t="str">
        <f t="shared" si="3"/>
        <v>N/A</v>
      </c>
      <c r="AK19" s="7" t="str">
        <f t="shared" si="4"/>
        <v>N/A</v>
      </c>
      <c r="AL19" s="7" t="str">
        <f t="shared" si="5"/>
        <v>OK</v>
      </c>
      <c r="AM19" s="7">
        <f t="shared" si="6"/>
        <v>26153</v>
      </c>
      <c r="AN19" s="8">
        <f>IF(C19="","",COUNTIF($C$2:C19,C19))</f>
        <v>2</v>
      </c>
      <c r="AO19" s="8" t="str">
        <f t="shared" si="7"/>
        <v>Palmira Samanes - El Cerrito 10G ANILLO GRIS|2</v>
      </c>
      <c r="AP19" s="8" t="str">
        <f>IF(C19="","",IF(AND(OR([1]Consulta!$C$29="",A19=[1]Consulta!$C$29),OR([1]Consulta!$E$29="",B19=[1]Consulta!$E$29),OR([1]Consulta!$G$29="",D19=[1]Consulta!$G$29,R19=[1]Consulta!$G$29)),ROW()-1,""))</f>
        <v/>
      </c>
    </row>
    <row r="20" spans="1:42" ht="15" customHeight="1" x14ac:dyDescent="0.25">
      <c r="A20" s="7" t="s">
        <v>40</v>
      </c>
      <c r="B20" s="7" t="s">
        <v>136</v>
      </c>
      <c r="C20" s="7" t="s">
        <v>142</v>
      </c>
      <c r="D20" s="7" t="s">
        <v>136</v>
      </c>
      <c r="E20" s="7" t="s">
        <v>127</v>
      </c>
      <c r="F20" s="7" t="s">
        <v>137</v>
      </c>
      <c r="G20" s="7" t="s">
        <v>46</v>
      </c>
      <c r="H20" s="7" t="s">
        <v>129</v>
      </c>
      <c r="I20" s="7" t="s">
        <v>83</v>
      </c>
      <c r="J20" s="7">
        <v>3.4</v>
      </c>
      <c r="K20" s="7">
        <v>-11.4</v>
      </c>
      <c r="L20" s="7"/>
      <c r="M20" s="7"/>
      <c r="N20" s="7" t="s">
        <v>96</v>
      </c>
      <c r="O20" s="7" t="s">
        <v>143</v>
      </c>
      <c r="P20" s="7">
        <v>5</v>
      </c>
      <c r="Q20" s="7">
        <v>11325</v>
      </c>
      <c r="R20" s="7" t="s">
        <v>144</v>
      </c>
      <c r="S20" s="7" t="s">
        <v>76</v>
      </c>
      <c r="T20" s="7" t="s">
        <v>145</v>
      </c>
      <c r="U20" s="7" t="s">
        <v>46</v>
      </c>
      <c r="V20" s="7" t="s">
        <v>112</v>
      </c>
      <c r="W20" s="7" t="s">
        <v>86</v>
      </c>
      <c r="X20" s="7">
        <v>2.8</v>
      </c>
      <c r="Y20" s="7">
        <v>-9</v>
      </c>
      <c r="Z20" s="7"/>
      <c r="AA20" s="7"/>
      <c r="AB20" s="7" t="s">
        <v>96</v>
      </c>
      <c r="AC20" s="7" t="s">
        <v>146</v>
      </c>
      <c r="AD20" s="7">
        <v>5</v>
      </c>
      <c r="AE20" s="7">
        <v>11325</v>
      </c>
      <c r="AF20" s="7" t="str">
        <f t="shared" si="0"/>
        <v/>
      </c>
      <c r="AG20" s="7" t="str">
        <f t="shared" si="8"/>
        <v>N/A</v>
      </c>
      <c r="AH20" s="7" t="str">
        <f t="shared" si="1"/>
        <v/>
      </c>
      <c r="AI20" s="7" t="str">
        <f t="shared" si="2"/>
        <v>N/A</v>
      </c>
      <c r="AJ20" s="7" t="str">
        <f t="shared" si="3"/>
        <v>N/A</v>
      </c>
      <c r="AK20" s="7" t="str">
        <f t="shared" si="4"/>
        <v>N/A</v>
      </c>
      <c r="AL20" s="7" t="str">
        <f t="shared" si="5"/>
        <v>OK</v>
      </c>
      <c r="AM20" s="7">
        <f t="shared" si="6"/>
        <v>11325</v>
      </c>
      <c r="AN20" s="8">
        <f>IF(C20="","",COUNTIF($C$2:C20,C20))</f>
        <v>1</v>
      </c>
      <c r="AO20" s="8" t="str">
        <f t="shared" si="7"/>
        <v>El Cerrito - Guacari 10G ANILLO GRIS|1</v>
      </c>
      <c r="AP20" s="8" t="str">
        <f>IF(C20="","",IF(AND(OR([1]Consulta!$C$29="",A20=[1]Consulta!$C$29),OR([1]Consulta!$E$29="",B20=[1]Consulta!$E$29),OR([1]Consulta!$G$29="",D20=[1]Consulta!$G$29,R20=[1]Consulta!$G$29)),ROW()-1,""))</f>
        <v/>
      </c>
    </row>
    <row r="21" spans="1:42" ht="15" customHeight="1" x14ac:dyDescent="0.25">
      <c r="A21" s="7" t="s">
        <v>40</v>
      </c>
      <c r="B21" s="7" t="s">
        <v>136</v>
      </c>
      <c r="C21" s="7" t="s">
        <v>142</v>
      </c>
      <c r="D21" s="7" t="s">
        <v>136</v>
      </c>
      <c r="E21" s="7" t="s">
        <v>127</v>
      </c>
      <c r="F21" s="7" t="s">
        <v>137</v>
      </c>
      <c r="G21" s="7" t="s">
        <v>46</v>
      </c>
      <c r="H21" s="7" t="s">
        <v>139</v>
      </c>
      <c r="I21" s="7" t="s">
        <v>83</v>
      </c>
      <c r="J21" s="7">
        <v>3.1</v>
      </c>
      <c r="K21" s="7">
        <v>-7.9</v>
      </c>
      <c r="L21" s="7"/>
      <c r="M21" s="7"/>
      <c r="N21" s="7" t="s">
        <v>96</v>
      </c>
      <c r="O21" s="7" t="s">
        <v>140</v>
      </c>
      <c r="P21" s="7">
        <v>5</v>
      </c>
      <c r="Q21" s="7">
        <v>11325</v>
      </c>
      <c r="R21" s="7" t="s">
        <v>144</v>
      </c>
      <c r="S21" s="7" t="s">
        <v>76</v>
      </c>
      <c r="T21" s="7" t="s">
        <v>145</v>
      </c>
      <c r="U21" s="7" t="s">
        <v>46</v>
      </c>
      <c r="V21" s="7" t="s">
        <v>63</v>
      </c>
      <c r="W21" s="7" t="s">
        <v>86</v>
      </c>
      <c r="X21" s="7">
        <v>3.3</v>
      </c>
      <c r="Y21" s="7">
        <v>-8.9</v>
      </c>
      <c r="Z21" s="7"/>
      <c r="AA21" s="7"/>
      <c r="AB21" s="7" t="s">
        <v>96</v>
      </c>
      <c r="AC21" s="7" t="s">
        <v>147</v>
      </c>
      <c r="AD21" s="7">
        <v>5</v>
      </c>
      <c r="AE21" s="7">
        <v>11325</v>
      </c>
      <c r="AF21" s="7" t="str">
        <f t="shared" si="0"/>
        <v/>
      </c>
      <c r="AG21" s="7" t="str">
        <f t="shared" si="8"/>
        <v>N/A</v>
      </c>
      <c r="AH21" s="7" t="str">
        <f t="shared" si="1"/>
        <v/>
      </c>
      <c r="AI21" s="7" t="str">
        <f t="shared" si="2"/>
        <v>N/A</v>
      </c>
      <c r="AJ21" s="7" t="str">
        <f t="shared" si="3"/>
        <v>N/A</v>
      </c>
      <c r="AK21" s="7" t="str">
        <f t="shared" si="4"/>
        <v>N/A</v>
      </c>
      <c r="AL21" s="7" t="str">
        <f t="shared" si="5"/>
        <v>OK</v>
      </c>
      <c r="AM21" s="7">
        <f t="shared" si="6"/>
        <v>11325</v>
      </c>
      <c r="AN21" s="8">
        <f>IF(C21="","",COUNTIF($C$2:C21,C21))</f>
        <v>2</v>
      </c>
      <c r="AO21" s="8" t="str">
        <f t="shared" si="7"/>
        <v>El Cerrito - Guacari 10G ANILLO GRIS|2</v>
      </c>
      <c r="AP21" s="8" t="str">
        <f>IF(C21="","",IF(AND(OR([1]Consulta!$C$29="",A21=[1]Consulta!$C$29),OR([1]Consulta!$E$29="",B21=[1]Consulta!$E$29),OR([1]Consulta!$G$29="",D21=[1]Consulta!$G$29,R21=[1]Consulta!$G$29)),ROW()-1,""))</f>
        <v/>
      </c>
    </row>
    <row r="22" spans="1:42" ht="15" customHeight="1" x14ac:dyDescent="0.25">
      <c r="A22" s="7" t="s">
        <v>40</v>
      </c>
      <c r="B22" s="7" t="s">
        <v>144</v>
      </c>
      <c r="C22" s="7" t="s">
        <v>148</v>
      </c>
      <c r="D22" s="7" t="s">
        <v>144</v>
      </c>
      <c r="E22" s="7" t="s">
        <v>76</v>
      </c>
      <c r="F22" s="7" t="s">
        <v>145</v>
      </c>
      <c r="G22" s="7" t="s">
        <v>46</v>
      </c>
      <c r="H22" s="7" t="s">
        <v>124</v>
      </c>
      <c r="I22" s="7" t="s">
        <v>83</v>
      </c>
      <c r="J22" s="7">
        <v>3.2</v>
      </c>
      <c r="K22" s="7">
        <v>-14.7</v>
      </c>
      <c r="L22" s="7"/>
      <c r="M22" s="7"/>
      <c r="N22" s="7" t="s">
        <v>96</v>
      </c>
      <c r="O22" s="7" t="s">
        <v>149</v>
      </c>
      <c r="P22" s="7">
        <v>5</v>
      </c>
      <c r="Q22" s="7">
        <v>22496</v>
      </c>
      <c r="R22" s="7" t="s">
        <v>150</v>
      </c>
      <c r="S22" s="7" t="s">
        <v>76</v>
      </c>
      <c r="T22" s="7" t="s">
        <v>151</v>
      </c>
      <c r="U22" s="7" t="s">
        <v>46</v>
      </c>
      <c r="V22" s="7" t="s">
        <v>57</v>
      </c>
      <c r="W22" s="7" t="s">
        <v>86</v>
      </c>
      <c r="X22" s="7">
        <v>3.3</v>
      </c>
      <c r="Y22" s="7">
        <v>-12.8</v>
      </c>
      <c r="Z22" s="7"/>
      <c r="AA22" s="7"/>
      <c r="AB22" s="7" t="s">
        <v>96</v>
      </c>
      <c r="AC22" s="7" t="s">
        <v>152</v>
      </c>
      <c r="AD22" s="7">
        <v>5</v>
      </c>
      <c r="AE22" s="7">
        <v>22496</v>
      </c>
      <c r="AF22" s="7" t="str">
        <f t="shared" si="0"/>
        <v/>
      </c>
      <c r="AG22" s="7" t="str">
        <f t="shared" si="8"/>
        <v>N/A</v>
      </c>
      <c r="AH22" s="7" t="str">
        <f t="shared" si="1"/>
        <v/>
      </c>
      <c r="AI22" s="7" t="str">
        <f t="shared" si="2"/>
        <v>N/A</v>
      </c>
      <c r="AJ22" s="7" t="str">
        <f t="shared" si="3"/>
        <v>N/A</v>
      </c>
      <c r="AK22" s="7" t="str">
        <f t="shared" si="4"/>
        <v>N/A</v>
      </c>
      <c r="AL22" s="7" t="str">
        <f t="shared" si="5"/>
        <v>OK</v>
      </c>
      <c r="AM22" s="7">
        <f t="shared" si="6"/>
        <v>22496</v>
      </c>
      <c r="AN22" s="8">
        <f>IF(C22="","",COUNTIF($C$2:C22,C22))</f>
        <v>1</v>
      </c>
      <c r="AO22" s="8" t="str">
        <f t="shared" si="7"/>
        <v>Guacari - Buga 10G ANILLO GRIS|1</v>
      </c>
      <c r="AP22" s="8" t="str">
        <f>IF(C22="","",IF(AND(OR([1]Consulta!$C$29="",A22=[1]Consulta!$C$29),OR([1]Consulta!$E$29="",B22=[1]Consulta!$E$29),OR([1]Consulta!$G$29="",D22=[1]Consulta!$G$29,R22=[1]Consulta!$G$29)),ROW()-1,""))</f>
        <v/>
      </c>
    </row>
    <row r="23" spans="1:42" ht="15" customHeight="1" x14ac:dyDescent="0.25">
      <c r="A23" s="7" t="s">
        <v>40</v>
      </c>
      <c r="B23" s="7" t="s">
        <v>144</v>
      </c>
      <c r="C23" s="7" t="s">
        <v>148</v>
      </c>
      <c r="D23" s="7" t="s">
        <v>144</v>
      </c>
      <c r="E23" s="7" t="s">
        <v>76</v>
      </c>
      <c r="F23" s="7" t="s">
        <v>145</v>
      </c>
      <c r="G23" s="7" t="s">
        <v>46</v>
      </c>
      <c r="H23" s="7" t="s">
        <v>89</v>
      </c>
      <c r="I23" s="7" t="s">
        <v>83</v>
      </c>
      <c r="J23" s="7">
        <v>3.7</v>
      </c>
      <c r="K23" s="7">
        <v>-12.2</v>
      </c>
      <c r="L23" s="7"/>
      <c r="M23" s="7"/>
      <c r="N23" s="7" t="s">
        <v>96</v>
      </c>
      <c r="O23" s="7" t="s">
        <v>153</v>
      </c>
      <c r="P23" s="7">
        <v>5</v>
      </c>
      <c r="Q23" s="7">
        <v>22496</v>
      </c>
      <c r="R23" s="7" t="s">
        <v>150</v>
      </c>
      <c r="S23" s="7" t="s">
        <v>76</v>
      </c>
      <c r="T23" s="7" t="s">
        <v>151</v>
      </c>
      <c r="U23" s="7" t="s">
        <v>46</v>
      </c>
      <c r="V23" s="7" t="s">
        <v>89</v>
      </c>
      <c r="W23" s="7" t="s">
        <v>86</v>
      </c>
      <c r="X23" s="7">
        <v>3</v>
      </c>
      <c r="Y23" s="7">
        <v>-10.9</v>
      </c>
      <c r="Z23" s="7"/>
      <c r="AA23" s="7"/>
      <c r="AB23" s="7" t="s">
        <v>96</v>
      </c>
      <c r="AC23" s="7" t="s">
        <v>154</v>
      </c>
      <c r="AD23" s="7">
        <v>5</v>
      </c>
      <c r="AE23" s="7">
        <v>22553</v>
      </c>
      <c r="AF23" s="7" t="str">
        <f t="shared" si="0"/>
        <v/>
      </c>
      <c r="AG23" s="7" t="str">
        <f t="shared" si="8"/>
        <v>N/A</v>
      </c>
      <c r="AH23" s="7" t="str">
        <f t="shared" si="1"/>
        <v/>
      </c>
      <c r="AI23" s="7" t="str">
        <f t="shared" si="2"/>
        <v>N/A</v>
      </c>
      <c r="AJ23" s="7" t="str">
        <f t="shared" si="3"/>
        <v>N/A</v>
      </c>
      <c r="AK23" s="7" t="str">
        <f t="shared" si="4"/>
        <v>N/A</v>
      </c>
      <c r="AL23" s="7" t="str">
        <f t="shared" si="5"/>
        <v>OK</v>
      </c>
      <c r="AM23" s="7">
        <f t="shared" si="6"/>
        <v>22496</v>
      </c>
      <c r="AN23" s="8">
        <f>IF(C23="","",COUNTIF($C$2:C23,C23))</f>
        <v>2</v>
      </c>
      <c r="AO23" s="8" t="str">
        <f t="shared" si="7"/>
        <v>Guacari - Buga 10G ANILLO GRIS|2</v>
      </c>
      <c r="AP23" s="8" t="str">
        <f>IF(C23="","",IF(AND(OR([1]Consulta!$C$29="",A23=[1]Consulta!$C$29),OR([1]Consulta!$E$29="",B23=[1]Consulta!$E$29),OR([1]Consulta!$G$29="",D23=[1]Consulta!$G$29,R23=[1]Consulta!$G$29)),ROW()-1,""))</f>
        <v/>
      </c>
    </row>
    <row r="24" spans="1:42" ht="15" customHeight="1" x14ac:dyDescent="0.25">
      <c r="A24" s="7" t="s">
        <v>40</v>
      </c>
      <c r="B24" s="7" t="s">
        <v>150</v>
      </c>
      <c r="C24" s="7" t="s">
        <v>155</v>
      </c>
      <c r="D24" s="7" t="s">
        <v>150</v>
      </c>
      <c r="E24" s="7" t="s">
        <v>76</v>
      </c>
      <c r="F24" s="7" t="s">
        <v>151</v>
      </c>
      <c r="G24" s="7" t="s">
        <v>46</v>
      </c>
      <c r="H24" s="7" t="s">
        <v>58</v>
      </c>
      <c r="I24" s="7" t="s">
        <v>83</v>
      </c>
      <c r="J24" s="7">
        <v>3.1</v>
      </c>
      <c r="K24" s="7">
        <v>-14.9</v>
      </c>
      <c r="L24" s="7"/>
      <c r="M24" s="7"/>
      <c r="N24" s="7" t="s">
        <v>96</v>
      </c>
      <c r="O24" s="7" t="s">
        <v>156</v>
      </c>
      <c r="P24" s="7">
        <v>5</v>
      </c>
      <c r="Q24" s="7">
        <v>32545</v>
      </c>
      <c r="R24" s="7" t="s">
        <v>49</v>
      </c>
      <c r="S24" s="7" t="s">
        <v>44</v>
      </c>
      <c r="T24" s="7" t="s">
        <v>50</v>
      </c>
      <c r="U24" s="7" t="s">
        <v>46</v>
      </c>
      <c r="V24" s="7" t="s">
        <v>157</v>
      </c>
      <c r="W24" s="7" t="s">
        <v>86</v>
      </c>
      <c r="X24" s="7">
        <v>3.1</v>
      </c>
      <c r="Y24" s="7">
        <v>-12.5</v>
      </c>
      <c r="Z24" s="7"/>
      <c r="AA24" s="7"/>
      <c r="AB24" s="7" t="s">
        <v>96</v>
      </c>
      <c r="AC24" s="7" t="s">
        <v>158</v>
      </c>
      <c r="AD24" s="7">
        <v>10</v>
      </c>
      <c r="AE24" s="7">
        <v>32545</v>
      </c>
      <c r="AF24" s="7" t="str">
        <f t="shared" si="0"/>
        <v/>
      </c>
      <c r="AG24" s="7" t="str">
        <f t="shared" si="8"/>
        <v>N/A</v>
      </c>
      <c r="AH24" s="7" t="str">
        <f t="shared" si="1"/>
        <v/>
      </c>
      <c r="AI24" s="7" t="str">
        <f t="shared" si="2"/>
        <v>N/A</v>
      </c>
      <c r="AJ24" s="7" t="str">
        <f t="shared" si="3"/>
        <v>N/A</v>
      </c>
      <c r="AK24" s="7" t="str">
        <f t="shared" si="4"/>
        <v>N/A</v>
      </c>
      <c r="AL24" s="7" t="str">
        <f t="shared" si="5"/>
        <v>OK</v>
      </c>
      <c r="AM24" s="7">
        <f t="shared" si="6"/>
        <v>32545</v>
      </c>
      <c r="AN24" s="8">
        <f>IF(C24="","",COUNTIF($C$2:C24,C24))</f>
        <v>1</v>
      </c>
      <c r="AO24" s="8" t="str">
        <f t="shared" si="7"/>
        <v>Buga - Tulua 10G ANILLO GRIS|1</v>
      </c>
      <c r="AP24" s="8" t="str">
        <f>IF(C24="","",IF(AND(OR([1]Consulta!$C$29="",A24=[1]Consulta!$C$29),OR([1]Consulta!$E$29="",B24=[1]Consulta!$E$29),OR([1]Consulta!$G$29="",D24=[1]Consulta!$G$29,R24=[1]Consulta!$G$29)),ROW()-1,""))</f>
        <v/>
      </c>
    </row>
    <row r="25" spans="1:42" ht="15" customHeight="1" x14ac:dyDescent="0.25">
      <c r="A25" s="7" t="s">
        <v>40</v>
      </c>
      <c r="B25" s="7" t="s">
        <v>150</v>
      </c>
      <c r="C25" s="7" t="s">
        <v>155</v>
      </c>
      <c r="D25" s="7" t="s">
        <v>150</v>
      </c>
      <c r="E25" s="7" t="s">
        <v>76</v>
      </c>
      <c r="F25" s="7" t="s">
        <v>151</v>
      </c>
      <c r="G25" s="7" t="s">
        <v>46</v>
      </c>
      <c r="H25" s="7" t="s">
        <v>63</v>
      </c>
      <c r="I25" s="7" t="s">
        <v>83</v>
      </c>
      <c r="J25" s="7">
        <v>3.3</v>
      </c>
      <c r="K25" s="7">
        <v>-17.5</v>
      </c>
      <c r="L25" s="7"/>
      <c r="M25" s="7"/>
      <c r="N25" s="7" t="s">
        <v>96</v>
      </c>
      <c r="O25" s="7" t="s">
        <v>159</v>
      </c>
      <c r="P25" s="7">
        <v>5</v>
      </c>
      <c r="Q25" s="7">
        <v>32545</v>
      </c>
      <c r="R25" s="7" t="s">
        <v>49</v>
      </c>
      <c r="S25" s="7" t="s">
        <v>44</v>
      </c>
      <c r="T25" s="7" t="s">
        <v>50</v>
      </c>
      <c r="U25" s="7" t="s">
        <v>46</v>
      </c>
      <c r="V25" s="7" t="s">
        <v>108</v>
      </c>
      <c r="W25" s="7" t="s">
        <v>86</v>
      </c>
      <c r="X25" s="7">
        <v>2.5</v>
      </c>
      <c r="Y25" s="7">
        <v>-14.4</v>
      </c>
      <c r="Z25" s="7"/>
      <c r="AA25" s="7"/>
      <c r="AB25" s="7" t="s">
        <v>96</v>
      </c>
      <c r="AC25" s="7" t="s">
        <v>160</v>
      </c>
      <c r="AD25" s="7">
        <v>10</v>
      </c>
      <c r="AE25" s="7">
        <v>32545</v>
      </c>
      <c r="AF25" s="7" t="str">
        <f t="shared" si="0"/>
        <v/>
      </c>
      <c r="AG25" s="7" t="str">
        <f t="shared" si="8"/>
        <v>N/A</v>
      </c>
      <c r="AH25" s="7" t="str">
        <f t="shared" si="1"/>
        <v/>
      </c>
      <c r="AI25" s="7" t="str">
        <f t="shared" si="2"/>
        <v>N/A</v>
      </c>
      <c r="AJ25" s="7" t="str">
        <f t="shared" si="3"/>
        <v>N/A</v>
      </c>
      <c r="AK25" s="7" t="str">
        <f t="shared" si="4"/>
        <v>N/A</v>
      </c>
      <c r="AL25" s="7" t="str">
        <f t="shared" si="5"/>
        <v>OK</v>
      </c>
      <c r="AM25" s="7">
        <f t="shared" si="6"/>
        <v>32545</v>
      </c>
      <c r="AN25" s="8">
        <f>IF(C25="","",COUNTIF($C$2:C25,C25))</f>
        <v>2</v>
      </c>
      <c r="AO25" s="8" t="str">
        <f t="shared" si="7"/>
        <v>Buga - Tulua 10G ANILLO GRIS|2</v>
      </c>
      <c r="AP25" s="8" t="str">
        <f>IF(C25="","",IF(AND(OR([1]Consulta!$C$29="",A25=[1]Consulta!$C$29),OR([1]Consulta!$E$29="",B25=[1]Consulta!$E$29),OR([1]Consulta!$G$29="",D25=[1]Consulta!$G$29,R25=[1]Consulta!$G$29)),ROW()-1,""))</f>
        <v/>
      </c>
    </row>
    <row r="26" spans="1:42" ht="15" customHeight="1" x14ac:dyDescent="0.25">
      <c r="A26" s="7" t="s">
        <v>40</v>
      </c>
      <c r="B26" s="7" t="s">
        <v>41</v>
      </c>
      <c r="C26" s="7" t="s">
        <v>161</v>
      </c>
      <c r="D26" s="7" t="s">
        <v>43</v>
      </c>
      <c r="E26" s="7" t="s">
        <v>44</v>
      </c>
      <c r="F26" s="7" t="s">
        <v>45</v>
      </c>
      <c r="G26" s="7" t="s">
        <v>46</v>
      </c>
      <c r="H26" s="7" t="s">
        <v>78</v>
      </c>
      <c r="I26" s="7" t="s">
        <v>162</v>
      </c>
      <c r="J26" s="7">
        <v>-3.4</v>
      </c>
      <c r="K26" s="7">
        <v>-15.8</v>
      </c>
      <c r="L26" s="7">
        <v>-25.1</v>
      </c>
      <c r="M26" s="7"/>
      <c r="N26" s="7"/>
      <c r="O26" s="7"/>
      <c r="P26" s="7"/>
      <c r="Q26" s="7"/>
      <c r="R26" s="7" t="s">
        <v>49</v>
      </c>
      <c r="S26" s="7" t="s">
        <v>44</v>
      </c>
      <c r="T26" s="7" t="s">
        <v>50</v>
      </c>
      <c r="U26" s="7" t="s">
        <v>46</v>
      </c>
      <c r="V26" s="7" t="s">
        <v>78</v>
      </c>
      <c r="W26" s="7" t="s">
        <v>162</v>
      </c>
      <c r="X26" s="7">
        <v>-3</v>
      </c>
      <c r="Y26" s="7">
        <v>-15.7</v>
      </c>
      <c r="Z26" s="7">
        <v>-25.1</v>
      </c>
      <c r="AA26" s="7"/>
      <c r="AB26" s="7" t="s">
        <v>96</v>
      </c>
      <c r="AC26" s="7" t="s">
        <v>163</v>
      </c>
      <c r="AD26" s="7">
        <v>10</v>
      </c>
      <c r="AE26" s="7">
        <v>32545</v>
      </c>
      <c r="AF26" s="7">
        <f t="shared" si="0"/>
        <v>9.3000000000000007</v>
      </c>
      <c r="AG26" s="7" t="str">
        <f t="shared" si="8"/>
        <v>OK</v>
      </c>
      <c r="AH26" s="7">
        <f t="shared" si="1"/>
        <v>9.4000000000000021</v>
      </c>
      <c r="AI26" s="7" t="str">
        <f t="shared" si="2"/>
        <v>OK</v>
      </c>
      <c r="AJ26" s="7" t="str">
        <f t="shared" si="3"/>
        <v>N/A</v>
      </c>
      <c r="AK26" s="7" t="str">
        <f t="shared" si="4"/>
        <v>N/A</v>
      </c>
      <c r="AL26" s="7" t="str">
        <f t="shared" si="5"/>
        <v>OK</v>
      </c>
      <c r="AM26" s="7">
        <f t="shared" si="6"/>
        <v>32545</v>
      </c>
      <c r="AN26" s="8">
        <f>IF(C26="","",COUNTIF($C$2:C26,C26))</f>
        <v>1</v>
      </c>
      <c r="AO26" s="8" t="str">
        <f t="shared" si="7"/>
        <v>Vipasa - Tulua 100G ANILLO N VALLE CH27 UFINET|1</v>
      </c>
      <c r="AP26" s="8" t="str">
        <f>IF(C26="","",IF(AND(OR([1]Consulta!$C$29="",A26=[1]Consulta!$C$29),OR([1]Consulta!$E$29="",B26=[1]Consulta!$E$29),OR([1]Consulta!$G$29="",D26=[1]Consulta!$G$29,R26=[1]Consulta!$G$29)),ROW()-1,""))</f>
        <v/>
      </c>
    </row>
    <row r="27" spans="1:42" ht="15" customHeight="1" x14ac:dyDescent="0.25">
      <c r="A27" s="7" t="s">
        <v>40</v>
      </c>
      <c r="B27" s="7" t="s">
        <v>41</v>
      </c>
      <c r="C27" s="7" t="s">
        <v>164</v>
      </c>
      <c r="D27" s="7" t="s">
        <v>43</v>
      </c>
      <c r="E27" s="7" t="s">
        <v>44</v>
      </c>
      <c r="F27" s="7" t="s">
        <v>45</v>
      </c>
      <c r="G27" s="7" t="s">
        <v>46</v>
      </c>
      <c r="H27" s="7" t="s">
        <v>124</v>
      </c>
      <c r="I27" s="7" t="s">
        <v>162</v>
      </c>
      <c r="J27" s="7">
        <v>-4.0999999999999996</v>
      </c>
      <c r="K27" s="7">
        <v>-7.8</v>
      </c>
      <c r="L27" s="7">
        <v>-25.1</v>
      </c>
      <c r="M27" s="7"/>
      <c r="N27" s="7"/>
      <c r="O27" s="7"/>
      <c r="P27" s="7"/>
      <c r="Q27" s="7"/>
      <c r="R27" s="7" t="s">
        <v>75</v>
      </c>
      <c r="S27" s="7" t="s">
        <v>165</v>
      </c>
      <c r="T27" s="7" t="s">
        <v>166</v>
      </c>
      <c r="U27" s="7" t="s">
        <v>46</v>
      </c>
      <c r="V27" s="7" t="s">
        <v>167</v>
      </c>
      <c r="W27" s="7" t="s">
        <v>162</v>
      </c>
      <c r="X27" s="7">
        <v>-4.5</v>
      </c>
      <c r="Y27" s="7">
        <v>-7.9</v>
      </c>
      <c r="Z27" s="7">
        <v>-25.1</v>
      </c>
      <c r="AA27" s="7"/>
      <c r="AB27" s="7" t="s">
        <v>53</v>
      </c>
      <c r="AC27" s="7" t="s">
        <v>79</v>
      </c>
      <c r="AD27" s="7">
        <v>10</v>
      </c>
      <c r="AE27" s="7">
        <v>36850</v>
      </c>
      <c r="AF27" s="7">
        <f t="shared" si="0"/>
        <v>17.3</v>
      </c>
      <c r="AG27" s="7" t="str">
        <f t="shared" si="8"/>
        <v>OK</v>
      </c>
      <c r="AH27" s="7">
        <f t="shared" si="1"/>
        <v>17.200000000000003</v>
      </c>
      <c r="AI27" s="7" t="str">
        <f t="shared" si="2"/>
        <v>OK</v>
      </c>
      <c r="AJ27" s="7" t="str">
        <f t="shared" si="3"/>
        <v>N/A</v>
      </c>
      <c r="AK27" s="7" t="str">
        <f t="shared" si="4"/>
        <v>N/A</v>
      </c>
      <c r="AL27" s="7" t="str">
        <f t="shared" si="5"/>
        <v>OK</v>
      </c>
      <c r="AM27" s="7">
        <f t="shared" si="6"/>
        <v>36850</v>
      </c>
      <c r="AN27" s="8">
        <f>IF(C27="","",COUNTIF($C$2:C27,C27))</f>
        <v>1</v>
      </c>
      <c r="AO27" s="8" t="str">
        <f t="shared" si="7"/>
        <v>Vipasa - Candelaria 100G ANILLO N VALLE CH27|1</v>
      </c>
      <c r="AP27" s="8" t="str">
        <f>IF(C27="","",IF(AND(OR([1]Consulta!$C$29="",A27=[1]Consulta!$C$29),OR([1]Consulta!$E$29="",B27=[1]Consulta!$E$29),OR([1]Consulta!$G$29="",D27=[1]Consulta!$G$29,R27=[1]Consulta!$G$29)),ROW()-1,""))</f>
        <v/>
      </c>
    </row>
    <row r="28" spans="1:42" ht="15" customHeight="1" x14ac:dyDescent="0.25">
      <c r="A28" s="7" t="s">
        <v>40</v>
      </c>
      <c r="B28" s="7" t="s">
        <v>75</v>
      </c>
      <c r="C28" s="7" t="s">
        <v>168</v>
      </c>
      <c r="D28" s="7" t="s">
        <v>75</v>
      </c>
      <c r="E28" s="7" t="s">
        <v>165</v>
      </c>
      <c r="F28" s="7" t="s">
        <v>166</v>
      </c>
      <c r="G28" s="7" t="s">
        <v>46</v>
      </c>
      <c r="H28" s="7" t="s">
        <v>78</v>
      </c>
      <c r="I28" s="7" t="s">
        <v>169</v>
      </c>
      <c r="J28" s="7">
        <v>6.4</v>
      </c>
      <c r="K28" s="7">
        <v>-5.8</v>
      </c>
      <c r="L28" s="7"/>
      <c r="M28" s="7"/>
      <c r="N28" s="7" t="s">
        <v>96</v>
      </c>
      <c r="O28" s="7" t="s">
        <v>170</v>
      </c>
      <c r="P28" s="7">
        <v>10</v>
      </c>
      <c r="Q28" s="7">
        <v>20151</v>
      </c>
      <c r="R28" s="7" t="s">
        <v>118</v>
      </c>
      <c r="S28" s="7" t="s">
        <v>165</v>
      </c>
      <c r="T28" s="7" t="s">
        <v>171</v>
      </c>
      <c r="U28" s="7" t="s">
        <v>46</v>
      </c>
      <c r="V28" s="7" t="s">
        <v>78</v>
      </c>
      <c r="W28" s="7" t="s">
        <v>169</v>
      </c>
      <c r="X28" s="7">
        <v>6.7</v>
      </c>
      <c r="Y28" s="7">
        <v>-4.8</v>
      </c>
      <c r="Z28" s="7"/>
      <c r="AA28" s="7"/>
      <c r="AB28" s="7" t="s">
        <v>96</v>
      </c>
      <c r="AC28" s="7" t="s">
        <v>172</v>
      </c>
      <c r="AD28" s="7">
        <v>10</v>
      </c>
      <c r="AE28" s="7">
        <v>20151</v>
      </c>
      <c r="AF28" s="7" t="str">
        <f t="shared" si="0"/>
        <v/>
      </c>
      <c r="AG28" s="7" t="str">
        <f t="shared" si="8"/>
        <v>N/A</v>
      </c>
      <c r="AH28" s="7" t="str">
        <f t="shared" si="1"/>
        <v/>
      </c>
      <c r="AI28" s="7" t="str">
        <f t="shared" si="2"/>
        <v>N/A</v>
      </c>
      <c r="AJ28" s="7" t="str">
        <f t="shared" si="3"/>
        <v>N/A</v>
      </c>
      <c r="AK28" s="7" t="str">
        <f t="shared" si="4"/>
        <v>N/A</v>
      </c>
      <c r="AL28" s="7" t="str">
        <f t="shared" si="5"/>
        <v>OK</v>
      </c>
      <c r="AM28" s="7">
        <f t="shared" si="6"/>
        <v>20151</v>
      </c>
      <c r="AN28" s="8">
        <f>IF(C28="","",COUNTIF($C$2:C28,C28))</f>
        <v>1</v>
      </c>
      <c r="AO28" s="8" t="str">
        <f t="shared" si="7"/>
        <v>Candelaria - Palmira Centro 100G ANILLO N VALLE CH27|1</v>
      </c>
      <c r="AP28" s="8" t="str">
        <f>IF(C28="","",IF(AND(OR([1]Consulta!$C$29="",A28=[1]Consulta!$C$29),OR([1]Consulta!$E$29="",B28=[1]Consulta!$E$29),OR([1]Consulta!$G$29="",D28=[1]Consulta!$G$29,R28=[1]Consulta!$G$29)),ROW()-1,""))</f>
        <v/>
      </c>
    </row>
    <row r="29" spans="1:42" ht="15" customHeight="1" x14ac:dyDescent="0.25">
      <c r="A29" s="7" t="s">
        <v>40</v>
      </c>
      <c r="B29" s="7" t="s">
        <v>122</v>
      </c>
      <c r="C29" s="7" t="s">
        <v>173</v>
      </c>
      <c r="D29" s="7" t="s">
        <v>118</v>
      </c>
      <c r="E29" s="7" t="s">
        <v>165</v>
      </c>
      <c r="F29" s="7" t="s">
        <v>171</v>
      </c>
      <c r="G29" s="7" t="s">
        <v>46</v>
      </c>
      <c r="H29" s="7" t="s">
        <v>167</v>
      </c>
      <c r="I29" s="7" t="s">
        <v>174</v>
      </c>
      <c r="J29" s="7">
        <v>10.199999999999999</v>
      </c>
      <c r="K29" s="7">
        <v>-17.2</v>
      </c>
      <c r="L29" s="7"/>
      <c r="M29" s="7"/>
      <c r="N29" s="7" t="s">
        <v>96</v>
      </c>
      <c r="O29" s="7" t="s">
        <v>175</v>
      </c>
      <c r="P29" s="7">
        <v>10</v>
      </c>
      <c r="Q29" s="7">
        <v>38556</v>
      </c>
      <c r="R29" s="7" t="s">
        <v>144</v>
      </c>
      <c r="S29" s="7" t="s">
        <v>165</v>
      </c>
      <c r="T29" s="7" t="s">
        <v>176</v>
      </c>
      <c r="U29" s="7" t="s">
        <v>46</v>
      </c>
      <c r="V29" s="7" t="s">
        <v>167</v>
      </c>
      <c r="W29" s="7" t="s">
        <v>177</v>
      </c>
      <c r="X29" s="7">
        <v>10.199999999999999</v>
      </c>
      <c r="Y29" s="7">
        <v>-14.9</v>
      </c>
      <c r="Z29" s="7"/>
      <c r="AA29" s="7"/>
      <c r="AB29" s="7" t="s">
        <v>96</v>
      </c>
      <c r="AC29" s="7" t="s">
        <v>178</v>
      </c>
      <c r="AD29" s="7">
        <v>10</v>
      </c>
      <c r="AE29" s="7">
        <v>38556</v>
      </c>
      <c r="AF29" s="7" t="str">
        <f t="shared" si="0"/>
        <v/>
      </c>
      <c r="AG29" s="7" t="str">
        <f t="shared" si="8"/>
        <v>N/A</v>
      </c>
      <c r="AH29" s="7" t="str">
        <f t="shared" si="1"/>
        <v/>
      </c>
      <c r="AI29" s="7" t="str">
        <f t="shared" si="2"/>
        <v>N/A</v>
      </c>
      <c r="AJ29" s="7" t="str">
        <f t="shared" si="3"/>
        <v>N/A</v>
      </c>
      <c r="AK29" s="7" t="str">
        <f t="shared" si="4"/>
        <v>N/A</v>
      </c>
      <c r="AL29" s="7" t="str">
        <f t="shared" si="5"/>
        <v>OK</v>
      </c>
      <c r="AM29" s="7">
        <f t="shared" si="6"/>
        <v>38556</v>
      </c>
      <c r="AN29" s="8">
        <f>IF(C29="","",COUNTIF($C$2:C29,C29))</f>
        <v>1</v>
      </c>
      <c r="AO29" s="8" t="str">
        <f t="shared" si="7"/>
        <v>Palmira Centro - Guacari 100G ANILLO N VALLE CH27|1</v>
      </c>
      <c r="AP29" s="8" t="str">
        <f>IF(C29="","",IF(AND(OR([1]Consulta!$C$29="",A29=[1]Consulta!$C$29),OR([1]Consulta!$E$29="",B29=[1]Consulta!$E$29),OR([1]Consulta!$G$29="",D29=[1]Consulta!$G$29,R29=[1]Consulta!$G$29)),ROW()-1,""))</f>
        <v/>
      </c>
    </row>
    <row r="30" spans="1:42" ht="15" customHeight="1" x14ac:dyDescent="0.25">
      <c r="A30" s="7" t="s">
        <v>40</v>
      </c>
      <c r="B30" s="7" t="s">
        <v>144</v>
      </c>
      <c r="C30" s="7" t="s">
        <v>179</v>
      </c>
      <c r="D30" s="7" t="s">
        <v>144</v>
      </c>
      <c r="E30" s="7" t="s">
        <v>165</v>
      </c>
      <c r="F30" s="7" t="s">
        <v>176</v>
      </c>
      <c r="G30" s="7" t="s">
        <v>46</v>
      </c>
      <c r="H30" s="7" t="s">
        <v>78</v>
      </c>
      <c r="I30" s="7" t="s">
        <v>169</v>
      </c>
      <c r="J30" s="7">
        <v>7.1</v>
      </c>
      <c r="K30" s="7">
        <v>-4.0999999999999996</v>
      </c>
      <c r="L30" s="7"/>
      <c r="M30" s="7"/>
      <c r="N30" s="7" t="s">
        <v>96</v>
      </c>
      <c r="O30" s="7" t="s">
        <v>180</v>
      </c>
      <c r="P30" s="7">
        <v>10</v>
      </c>
      <c r="Q30" s="7">
        <v>22496</v>
      </c>
      <c r="R30" s="7" t="s">
        <v>150</v>
      </c>
      <c r="S30" s="7" t="s">
        <v>165</v>
      </c>
      <c r="T30" s="7" t="s">
        <v>181</v>
      </c>
      <c r="U30" s="7" t="s">
        <v>46</v>
      </c>
      <c r="V30" s="7" t="s">
        <v>78</v>
      </c>
      <c r="W30" s="7" t="s">
        <v>169</v>
      </c>
      <c r="X30" s="7">
        <v>6.9</v>
      </c>
      <c r="Y30" s="7">
        <v>-6.8</v>
      </c>
      <c r="Z30" s="7"/>
      <c r="AA30" s="7"/>
      <c r="AB30" s="7" t="s">
        <v>96</v>
      </c>
      <c r="AC30" s="7" t="s">
        <v>182</v>
      </c>
      <c r="AD30" s="7">
        <v>10</v>
      </c>
      <c r="AE30" s="7">
        <v>22496</v>
      </c>
      <c r="AF30" s="7" t="str">
        <f t="shared" si="0"/>
        <v/>
      </c>
      <c r="AG30" s="7" t="str">
        <f t="shared" si="8"/>
        <v>N/A</v>
      </c>
      <c r="AH30" s="7" t="str">
        <f t="shared" si="1"/>
        <v/>
      </c>
      <c r="AI30" s="7" t="str">
        <f t="shared" si="2"/>
        <v>N/A</v>
      </c>
      <c r="AJ30" s="7" t="str">
        <f t="shared" si="3"/>
        <v>N/A</v>
      </c>
      <c r="AK30" s="7" t="str">
        <f t="shared" si="4"/>
        <v>N/A</v>
      </c>
      <c r="AL30" s="7" t="str">
        <f t="shared" si="5"/>
        <v>OK</v>
      </c>
      <c r="AM30" s="7">
        <f t="shared" si="6"/>
        <v>22496</v>
      </c>
      <c r="AN30" s="8">
        <f>IF(C30="","",COUNTIF($C$2:C30,C30))</f>
        <v>1</v>
      </c>
      <c r="AO30" s="8" t="str">
        <f t="shared" si="7"/>
        <v>Guacari - Buga 100G ANILLO N VALLE CH27|1</v>
      </c>
      <c r="AP30" s="8" t="str">
        <f>IF(C30="","",IF(AND(OR([1]Consulta!$C$29="",A30=[1]Consulta!$C$29),OR([1]Consulta!$E$29="",B30=[1]Consulta!$E$29),OR([1]Consulta!$G$29="",D30=[1]Consulta!$G$29,R30=[1]Consulta!$G$29)),ROW()-1,""))</f>
        <v/>
      </c>
    </row>
    <row r="31" spans="1:42" ht="15" customHeight="1" x14ac:dyDescent="0.25">
      <c r="A31" s="7" t="s">
        <v>40</v>
      </c>
      <c r="B31" s="7" t="s">
        <v>150</v>
      </c>
      <c r="C31" s="7" t="s">
        <v>183</v>
      </c>
      <c r="D31" s="7" t="s">
        <v>150</v>
      </c>
      <c r="E31" s="7" t="s">
        <v>165</v>
      </c>
      <c r="F31" s="7" t="s">
        <v>181</v>
      </c>
      <c r="G31" s="7" t="s">
        <v>46</v>
      </c>
      <c r="H31" s="7" t="s">
        <v>167</v>
      </c>
      <c r="I31" s="7" t="s">
        <v>169</v>
      </c>
      <c r="J31" s="7">
        <v>6.6</v>
      </c>
      <c r="K31" s="7">
        <v>-8.3000000000000007</v>
      </c>
      <c r="L31" s="7"/>
      <c r="M31" s="7"/>
      <c r="N31" s="7" t="s">
        <v>96</v>
      </c>
      <c r="O31" s="7" t="s">
        <v>184</v>
      </c>
      <c r="P31" s="7">
        <v>10</v>
      </c>
      <c r="Q31" s="7">
        <v>32545</v>
      </c>
      <c r="R31" s="7" t="s">
        <v>49</v>
      </c>
      <c r="S31" s="7" t="s">
        <v>44</v>
      </c>
      <c r="T31" s="7" t="s">
        <v>50</v>
      </c>
      <c r="U31" s="7" t="s">
        <v>46</v>
      </c>
      <c r="V31" s="7" t="s">
        <v>167</v>
      </c>
      <c r="W31" s="7" t="s">
        <v>169</v>
      </c>
      <c r="X31" s="7">
        <v>6.5</v>
      </c>
      <c r="Y31" s="7">
        <v>-8.1</v>
      </c>
      <c r="Z31" s="7"/>
      <c r="AA31" s="7"/>
      <c r="AB31" s="7" t="s">
        <v>96</v>
      </c>
      <c r="AC31" s="7" t="s">
        <v>163</v>
      </c>
      <c r="AD31" s="7">
        <v>10</v>
      </c>
      <c r="AE31" s="7">
        <v>32545</v>
      </c>
      <c r="AF31" s="7" t="str">
        <f t="shared" si="0"/>
        <v/>
      </c>
      <c r="AG31" s="7" t="str">
        <f t="shared" si="8"/>
        <v>N/A</v>
      </c>
      <c r="AH31" s="7" t="str">
        <f t="shared" si="1"/>
        <v/>
      </c>
      <c r="AI31" s="7" t="str">
        <f t="shared" si="2"/>
        <v>N/A</v>
      </c>
      <c r="AJ31" s="7" t="str">
        <f t="shared" si="3"/>
        <v>N/A</v>
      </c>
      <c r="AK31" s="7" t="str">
        <f t="shared" si="4"/>
        <v>N/A</v>
      </c>
      <c r="AL31" s="7" t="str">
        <f t="shared" si="5"/>
        <v>OK</v>
      </c>
      <c r="AM31" s="7">
        <f t="shared" si="6"/>
        <v>32545</v>
      </c>
      <c r="AN31" s="8">
        <f>IF(C31="","",COUNTIF($C$2:C31,C31))</f>
        <v>1</v>
      </c>
      <c r="AO31" s="8" t="str">
        <f t="shared" si="7"/>
        <v>Buga - Tulua 100G ANILLO N VALLE CH27|1</v>
      </c>
      <c r="AP31" s="8" t="str">
        <f>IF(C31="","",IF(AND(OR([1]Consulta!$C$29="",A31=[1]Consulta!$C$29),OR([1]Consulta!$E$29="",B31=[1]Consulta!$E$29),OR([1]Consulta!$G$29="",D31=[1]Consulta!$G$29,R31=[1]Consulta!$G$29)),ROW()-1,""))</f>
        <v/>
      </c>
    </row>
    <row r="32" spans="1:42" ht="15" customHeight="1" x14ac:dyDescent="0.25">
      <c r="A32" s="7" t="s">
        <v>40</v>
      </c>
      <c r="B32" s="7" t="s">
        <v>49</v>
      </c>
      <c r="C32" s="7" t="s">
        <v>185</v>
      </c>
      <c r="D32" s="7" t="s">
        <v>49</v>
      </c>
      <c r="E32" s="7" t="s">
        <v>44</v>
      </c>
      <c r="F32" s="7" t="s">
        <v>50</v>
      </c>
      <c r="G32" s="7" t="s">
        <v>46</v>
      </c>
      <c r="H32" s="7" t="s">
        <v>186</v>
      </c>
      <c r="I32" s="7" t="s">
        <v>162</v>
      </c>
      <c r="J32" s="7">
        <v>-4.5</v>
      </c>
      <c r="K32" s="7">
        <v>-10.6</v>
      </c>
      <c r="L32" s="7"/>
      <c r="M32" s="7"/>
      <c r="N32" s="7" t="s">
        <v>53</v>
      </c>
      <c r="O32" s="7" t="s">
        <v>187</v>
      </c>
      <c r="P32" s="7">
        <v>10</v>
      </c>
      <c r="Q32" s="7">
        <v>84619</v>
      </c>
      <c r="R32" s="7" t="s">
        <v>188</v>
      </c>
      <c r="S32" s="7" t="s">
        <v>165</v>
      </c>
      <c r="T32" s="7" t="s">
        <v>189</v>
      </c>
      <c r="U32" s="7" t="s">
        <v>46</v>
      </c>
      <c r="V32" s="7" t="s">
        <v>78</v>
      </c>
      <c r="W32" s="7" t="s">
        <v>162</v>
      </c>
      <c r="X32" s="7">
        <v>-4.5</v>
      </c>
      <c r="Y32" s="7">
        <v>-11.4</v>
      </c>
      <c r="Z32" s="7"/>
      <c r="AA32" s="7"/>
      <c r="AB32" s="7" t="s">
        <v>53</v>
      </c>
      <c r="AC32" s="7" t="s">
        <v>190</v>
      </c>
      <c r="AD32" s="7">
        <v>10</v>
      </c>
      <c r="AE32" s="7">
        <v>84619</v>
      </c>
      <c r="AF32" s="7" t="str">
        <f t="shared" si="0"/>
        <v/>
      </c>
      <c r="AG32" s="7" t="str">
        <f t="shared" si="8"/>
        <v>N/A</v>
      </c>
      <c r="AH32" s="7" t="str">
        <f t="shared" si="1"/>
        <v/>
      </c>
      <c r="AI32" s="7" t="str">
        <f t="shared" si="2"/>
        <v>N/A</v>
      </c>
      <c r="AJ32" s="7" t="str">
        <f t="shared" si="3"/>
        <v>N/A</v>
      </c>
      <c r="AK32" s="7" t="str">
        <f t="shared" si="4"/>
        <v>N/A</v>
      </c>
      <c r="AL32" s="7" t="str">
        <f t="shared" si="5"/>
        <v>OK</v>
      </c>
      <c r="AM32" s="7">
        <f t="shared" si="6"/>
        <v>84619</v>
      </c>
      <c r="AN32" s="8">
        <f>IF(C32="","",COUNTIF($C$2:C32,C32))</f>
        <v>1</v>
      </c>
      <c r="AO32" s="8" t="str">
        <f t="shared" si="7"/>
        <v>Tulua - La Union 100G ANILLO N VALLE CH27|1</v>
      </c>
      <c r="AP32" s="8" t="str">
        <f>IF(C32="","",IF(AND(OR([1]Consulta!$C$29="",A32=[1]Consulta!$C$29),OR([1]Consulta!$E$29="",B32=[1]Consulta!$E$29),OR([1]Consulta!$G$29="",D32=[1]Consulta!$G$29,R32=[1]Consulta!$G$29)),ROW()-1,""))</f>
        <v/>
      </c>
    </row>
    <row r="33" spans="1:42" ht="15" customHeight="1" x14ac:dyDescent="0.25">
      <c r="A33" s="7" t="s">
        <v>40</v>
      </c>
      <c r="B33" s="7" t="s">
        <v>49</v>
      </c>
      <c r="C33" s="7" t="s">
        <v>191</v>
      </c>
      <c r="D33" s="7" t="s">
        <v>49</v>
      </c>
      <c r="E33" s="7" t="s">
        <v>44</v>
      </c>
      <c r="F33" s="7" t="s">
        <v>50</v>
      </c>
      <c r="G33" s="7" t="s">
        <v>46</v>
      </c>
      <c r="H33" s="7" t="s">
        <v>124</v>
      </c>
      <c r="I33" s="7" t="s">
        <v>174</v>
      </c>
      <c r="J33" s="7">
        <v>9.9</v>
      </c>
      <c r="K33" s="7">
        <v>-19</v>
      </c>
      <c r="L33" s="7"/>
      <c r="M33" s="7"/>
      <c r="N33" s="7" t="s">
        <v>96</v>
      </c>
      <c r="O33" s="7" t="s">
        <v>192</v>
      </c>
      <c r="P33" s="7">
        <v>10</v>
      </c>
      <c r="Q33" s="7">
        <v>52135</v>
      </c>
      <c r="R33" s="7" t="s">
        <v>193</v>
      </c>
      <c r="S33" s="7" t="s">
        <v>165</v>
      </c>
      <c r="T33" s="7" t="s">
        <v>194</v>
      </c>
      <c r="U33" s="7" t="s">
        <v>46</v>
      </c>
      <c r="V33" s="7" t="s">
        <v>167</v>
      </c>
      <c r="W33" s="7" t="s">
        <v>177</v>
      </c>
      <c r="X33" s="7">
        <v>10</v>
      </c>
      <c r="Y33" s="7">
        <v>-18.3</v>
      </c>
      <c r="Z33" s="7"/>
      <c r="AA33" s="7"/>
      <c r="AB33" s="7" t="s">
        <v>96</v>
      </c>
      <c r="AC33" s="7" t="s">
        <v>195</v>
      </c>
      <c r="AD33" s="7">
        <v>10</v>
      </c>
      <c r="AE33" s="7">
        <v>52135</v>
      </c>
      <c r="AF33" s="7" t="str">
        <f t="shared" si="0"/>
        <v/>
      </c>
      <c r="AG33" s="7" t="str">
        <f t="shared" si="8"/>
        <v>N/A</v>
      </c>
      <c r="AH33" s="7" t="str">
        <f t="shared" si="1"/>
        <v/>
      </c>
      <c r="AI33" s="7" t="str">
        <f t="shared" si="2"/>
        <v>N/A</v>
      </c>
      <c r="AJ33" s="7" t="str">
        <f t="shared" si="3"/>
        <v>N/A</v>
      </c>
      <c r="AK33" s="7" t="str">
        <f t="shared" si="4"/>
        <v>N/A</v>
      </c>
      <c r="AL33" s="7" t="str">
        <f t="shared" si="5"/>
        <v>OK</v>
      </c>
      <c r="AM33" s="7">
        <f t="shared" si="6"/>
        <v>52135</v>
      </c>
      <c r="AN33" s="8">
        <f>IF(C33="","",COUNTIF($C$2:C33,C33))</f>
        <v>1</v>
      </c>
      <c r="AO33" s="8" t="str">
        <f t="shared" si="7"/>
        <v>Tulua - Zarzal 100G ANILLO N VALLE CH27|1</v>
      </c>
      <c r="AP33" s="8" t="str">
        <f>IF(C33="","",IF(AND(OR([1]Consulta!$C$29="",A33=[1]Consulta!$C$29),OR([1]Consulta!$E$29="",B33=[1]Consulta!$E$29),OR([1]Consulta!$G$29="",D33=[1]Consulta!$G$29,R33=[1]Consulta!$G$29)),ROW()-1,""))</f>
        <v/>
      </c>
    </row>
    <row r="34" spans="1:42" ht="15" customHeight="1" x14ac:dyDescent="0.25">
      <c r="A34" s="7" t="s">
        <v>40</v>
      </c>
      <c r="B34" s="7" t="s">
        <v>193</v>
      </c>
      <c r="C34" s="7" t="s">
        <v>196</v>
      </c>
      <c r="D34" s="7" t="s">
        <v>193</v>
      </c>
      <c r="E34" s="7" t="s">
        <v>165</v>
      </c>
      <c r="F34" s="7" t="s">
        <v>194</v>
      </c>
      <c r="G34" s="7" t="s">
        <v>46</v>
      </c>
      <c r="H34" s="7" t="s">
        <v>78</v>
      </c>
      <c r="I34" s="7" t="s">
        <v>169</v>
      </c>
      <c r="J34" s="7">
        <v>6.8</v>
      </c>
      <c r="K34" s="7">
        <v>-1.5</v>
      </c>
      <c r="L34" s="7"/>
      <c r="M34" s="7"/>
      <c r="N34" s="7" t="s">
        <v>96</v>
      </c>
      <c r="O34" s="7" t="s">
        <v>197</v>
      </c>
      <c r="P34" s="7">
        <v>10</v>
      </c>
      <c r="Q34" s="7">
        <v>14139</v>
      </c>
      <c r="R34" s="7" t="s">
        <v>198</v>
      </c>
      <c r="S34" s="7" t="s">
        <v>165</v>
      </c>
      <c r="T34" s="7" t="s">
        <v>199</v>
      </c>
      <c r="U34" s="7" t="s">
        <v>46</v>
      </c>
      <c r="V34" s="7" t="s">
        <v>78</v>
      </c>
      <c r="W34" s="7" t="s">
        <v>169</v>
      </c>
      <c r="X34" s="7">
        <v>7.1</v>
      </c>
      <c r="Y34" s="7">
        <v>0.8</v>
      </c>
      <c r="Z34" s="7"/>
      <c r="AA34" s="7"/>
      <c r="AB34" s="7" t="s">
        <v>96</v>
      </c>
      <c r="AC34" s="7" t="s">
        <v>200</v>
      </c>
      <c r="AD34" s="7">
        <v>10</v>
      </c>
      <c r="AE34" s="7">
        <v>14139</v>
      </c>
      <c r="AF34" s="7" t="str">
        <f t="shared" si="0"/>
        <v/>
      </c>
      <c r="AG34" s="7" t="str">
        <f t="shared" si="8"/>
        <v>N/A</v>
      </c>
      <c r="AH34" s="7" t="str">
        <f t="shared" si="1"/>
        <v/>
      </c>
      <c r="AI34" s="7" t="str">
        <f t="shared" si="2"/>
        <v>N/A</v>
      </c>
      <c r="AJ34" s="7" t="str">
        <f t="shared" si="3"/>
        <v>N/A</v>
      </c>
      <c r="AK34" s="7" t="str">
        <f t="shared" si="4"/>
        <v>N/A</v>
      </c>
      <c r="AL34" s="7" t="str">
        <f t="shared" si="5"/>
        <v>OK</v>
      </c>
      <c r="AM34" s="7">
        <f t="shared" si="6"/>
        <v>14139</v>
      </c>
      <c r="AN34" s="8">
        <f>IF(C34="","",COUNTIF($C$2:C34,C34))</f>
        <v>1</v>
      </c>
      <c r="AO34" s="8" t="str">
        <f t="shared" si="7"/>
        <v>Zarzal - Roldanillo 100G ANILLO N VALLE CH27|1</v>
      </c>
      <c r="AP34" s="8" t="str">
        <f>IF(C34="","",IF(AND(OR([1]Consulta!$C$29="",A34=[1]Consulta!$C$29),OR([1]Consulta!$E$29="",B34=[1]Consulta!$E$29),OR([1]Consulta!$G$29="",D34=[1]Consulta!$G$29,R34=[1]Consulta!$G$29)),ROW()-1,""))</f>
        <v/>
      </c>
    </row>
    <row r="35" spans="1:42" ht="15" customHeight="1" x14ac:dyDescent="0.25">
      <c r="A35" s="7" t="s">
        <v>40</v>
      </c>
      <c r="B35" s="7" t="s">
        <v>198</v>
      </c>
      <c r="C35" s="7" t="s">
        <v>201</v>
      </c>
      <c r="D35" s="7" t="s">
        <v>198</v>
      </c>
      <c r="E35" s="7" t="s">
        <v>165</v>
      </c>
      <c r="F35" s="7" t="s">
        <v>199</v>
      </c>
      <c r="G35" s="7" t="s">
        <v>46</v>
      </c>
      <c r="H35" s="7" t="s">
        <v>167</v>
      </c>
      <c r="I35" s="7" t="s">
        <v>169</v>
      </c>
      <c r="J35" s="7">
        <v>6.6</v>
      </c>
      <c r="K35" s="7">
        <v>-3.6</v>
      </c>
      <c r="L35" s="7"/>
      <c r="M35" s="7"/>
      <c r="N35" s="7" t="s">
        <v>96</v>
      </c>
      <c r="O35" s="7" t="s">
        <v>202</v>
      </c>
      <c r="P35" s="7">
        <v>10</v>
      </c>
      <c r="Q35" s="7" t="s">
        <v>203</v>
      </c>
      <c r="R35" s="7" t="s">
        <v>188</v>
      </c>
      <c r="S35" s="7" t="s">
        <v>165</v>
      </c>
      <c r="T35" s="7" t="s">
        <v>189</v>
      </c>
      <c r="U35" s="7" t="s">
        <v>46</v>
      </c>
      <c r="V35" s="7" t="s">
        <v>167</v>
      </c>
      <c r="W35" s="7" t="s">
        <v>169</v>
      </c>
      <c r="X35" s="7">
        <v>6.6</v>
      </c>
      <c r="Y35" s="7">
        <v>-3.4</v>
      </c>
      <c r="Z35" s="7"/>
      <c r="AA35" s="7"/>
      <c r="AB35" s="7" t="s">
        <v>96</v>
      </c>
      <c r="AC35" s="7" t="s">
        <v>204</v>
      </c>
      <c r="AD35" s="7">
        <v>10</v>
      </c>
      <c r="AE35" s="7" t="s">
        <v>203</v>
      </c>
      <c r="AF35" s="7" t="str">
        <f t="shared" si="0"/>
        <v/>
      </c>
      <c r="AG35" s="7" t="str">
        <f t="shared" si="8"/>
        <v>N/A</v>
      </c>
      <c r="AH35" s="7" t="str">
        <f t="shared" si="1"/>
        <v/>
      </c>
      <c r="AI35" s="7" t="str">
        <f t="shared" si="2"/>
        <v>N/A</v>
      </c>
      <c r="AJ35" s="7" t="str">
        <f t="shared" si="3"/>
        <v>N/A</v>
      </c>
      <c r="AK35" s="7" t="str">
        <f t="shared" si="4"/>
        <v>N/A</v>
      </c>
      <c r="AL35" s="7" t="str">
        <f t="shared" si="5"/>
        <v>OK</v>
      </c>
      <c r="AM35" s="7" t="str">
        <f t="shared" si="6"/>
        <v>Ver detalle</v>
      </c>
      <c r="AN35" s="8">
        <f>IF(C35="","",COUNTIF($C$2:C35,C35))</f>
        <v>1</v>
      </c>
      <c r="AO35" s="8" t="str">
        <f t="shared" si="7"/>
        <v>Roldanillo - La Union 100G ANILLO N VALLE CH27|1</v>
      </c>
      <c r="AP35" s="8" t="str">
        <f>IF(C35="","",IF(AND(OR([1]Consulta!$C$29="",A35=[1]Consulta!$C$29),OR([1]Consulta!$E$29="",B35=[1]Consulta!$E$29),OR([1]Consulta!$G$29="",D35=[1]Consulta!$G$29,R35=[1]Consulta!$G$29)),ROW()-1,""))</f>
        <v/>
      </c>
    </row>
    <row r="36" spans="1:42" ht="15" customHeight="1" x14ac:dyDescent="0.25">
      <c r="A36" s="7" t="s">
        <v>40</v>
      </c>
      <c r="B36" s="7" t="s">
        <v>49</v>
      </c>
      <c r="C36" s="7" t="s">
        <v>205</v>
      </c>
      <c r="D36" s="7" t="s">
        <v>49</v>
      </c>
      <c r="E36" s="7" t="s">
        <v>44</v>
      </c>
      <c r="F36" s="7" t="s">
        <v>206</v>
      </c>
      <c r="G36" s="7" t="s">
        <v>46</v>
      </c>
      <c r="H36" s="7" t="s">
        <v>207</v>
      </c>
      <c r="I36" s="7" t="s">
        <v>208</v>
      </c>
      <c r="J36" s="7">
        <v>0.4</v>
      </c>
      <c r="K36" s="7">
        <v>-9.9</v>
      </c>
      <c r="L36" s="7">
        <v>-16.899999999999999</v>
      </c>
      <c r="M36" s="7"/>
      <c r="N36" s="7" t="s">
        <v>96</v>
      </c>
      <c r="O36" s="7" t="s">
        <v>209</v>
      </c>
      <c r="P36" s="7">
        <v>10</v>
      </c>
      <c r="Q36" s="7">
        <v>24000</v>
      </c>
      <c r="R36" s="7" t="s">
        <v>210</v>
      </c>
      <c r="S36" s="7" t="s">
        <v>211</v>
      </c>
      <c r="T36" s="7" t="s">
        <v>212</v>
      </c>
      <c r="U36" s="7" t="s">
        <v>46</v>
      </c>
      <c r="V36" s="7" t="s">
        <v>213</v>
      </c>
      <c r="W36" s="7" t="s">
        <v>208</v>
      </c>
      <c r="X36" s="7">
        <v>1.8</v>
      </c>
      <c r="Y36" s="7">
        <v>-14.7</v>
      </c>
      <c r="Z36" s="7">
        <v>-16</v>
      </c>
      <c r="AA36" s="7"/>
      <c r="AB36" s="7" t="s">
        <v>96</v>
      </c>
      <c r="AC36" s="7" t="s">
        <v>214</v>
      </c>
      <c r="AD36" s="7">
        <v>10</v>
      </c>
      <c r="AE36" s="7">
        <v>24000</v>
      </c>
      <c r="AF36" s="7">
        <f t="shared" si="0"/>
        <v>6.9999999999999982</v>
      </c>
      <c r="AG36" s="7" t="str">
        <f t="shared" si="8"/>
        <v>OK</v>
      </c>
      <c r="AH36" s="7">
        <f t="shared" si="1"/>
        <v>1.3000000000000007</v>
      </c>
      <c r="AI36" s="7" t="str">
        <f t="shared" si="2"/>
        <v>OK</v>
      </c>
      <c r="AJ36" s="7" t="str">
        <f t="shared" si="3"/>
        <v>N/A</v>
      </c>
      <c r="AK36" s="7" t="str">
        <f t="shared" si="4"/>
        <v>N/A</v>
      </c>
      <c r="AL36" s="7" t="str">
        <f t="shared" si="5"/>
        <v>OK</v>
      </c>
      <c r="AM36" s="7">
        <f t="shared" si="6"/>
        <v>24000</v>
      </c>
      <c r="AN36" s="8">
        <f>IF(C36="","",COUNTIF($C$2:C36,C36))</f>
        <v>1</v>
      </c>
      <c r="AO36" s="8" t="str">
        <f t="shared" si="7"/>
        <v>Tulua - Bugalagrande 10G ANILLO GRIS|1</v>
      </c>
      <c r="AP36" s="8" t="str">
        <f>IF(C36="","",IF(AND(OR([1]Consulta!$C$29="",A36=[1]Consulta!$C$29),OR([1]Consulta!$E$29="",B36=[1]Consulta!$E$29),OR([1]Consulta!$G$29="",D36=[1]Consulta!$G$29,R36=[1]Consulta!$G$29)),ROW()-1,""))</f>
        <v/>
      </c>
    </row>
    <row r="37" spans="1:42" ht="15" customHeight="1" x14ac:dyDescent="0.25">
      <c r="A37" s="7" t="s">
        <v>40</v>
      </c>
      <c r="B37" s="7" t="s">
        <v>215</v>
      </c>
      <c r="C37" s="7" t="s">
        <v>216</v>
      </c>
      <c r="D37" s="7" t="s">
        <v>210</v>
      </c>
      <c r="E37" s="7" t="s">
        <v>211</v>
      </c>
      <c r="F37" s="7" t="s">
        <v>212</v>
      </c>
      <c r="G37" s="7" t="s">
        <v>217</v>
      </c>
      <c r="H37" s="7" t="s">
        <v>218</v>
      </c>
      <c r="I37" s="7" t="s">
        <v>219</v>
      </c>
      <c r="J37" s="7">
        <v>3.04</v>
      </c>
      <c r="K37" s="7">
        <v>-13.5</v>
      </c>
      <c r="L37" s="7">
        <v>-15</v>
      </c>
      <c r="M37" s="7"/>
      <c r="N37" s="7" t="s">
        <v>96</v>
      </c>
      <c r="O37" s="7" t="s">
        <v>220</v>
      </c>
      <c r="P37" s="7"/>
      <c r="Q37" s="7">
        <v>32500</v>
      </c>
      <c r="R37" s="7" t="s">
        <v>193</v>
      </c>
      <c r="S37" s="7" t="s">
        <v>165</v>
      </c>
      <c r="T37" s="7" t="s">
        <v>194</v>
      </c>
      <c r="U37" s="7" t="s">
        <v>217</v>
      </c>
      <c r="V37" s="7" t="s">
        <v>57</v>
      </c>
      <c r="W37" s="7" t="s">
        <v>221</v>
      </c>
      <c r="X37" s="7" t="s">
        <v>222</v>
      </c>
      <c r="Y37" s="7" t="s">
        <v>222</v>
      </c>
      <c r="Z37" s="7" t="s">
        <v>222</v>
      </c>
      <c r="AA37" s="7"/>
      <c r="AB37" s="7"/>
      <c r="AC37" s="7" t="s">
        <v>223</v>
      </c>
      <c r="AD37" s="7"/>
      <c r="AE37" s="7">
        <v>32500</v>
      </c>
      <c r="AF37" s="7">
        <f t="shared" si="0"/>
        <v>1.5</v>
      </c>
      <c r="AG37" s="7" t="str">
        <f t="shared" si="8"/>
        <v>OK</v>
      </c>
      <c r="AH37" s="7" t="str">
        <f t="shared" si="1"/>
        <v/>
      </c>
      <c r="AI37" s="7" t="str">
        <f t="shared" si="2"/>
        <v>N/A</v>
      </c>
      <c r="AJ37" s="7" t="str">
        <f t="shared" si="3"/>
        <v>N/A</v>
      </c>
      <c r="AK37" s="7" t="str">
        <f t="shared" si="4"/>
        <v>N/A</v>
      </c>
      <c r="AL37" s="7" t="str">
        <f t="shared" si="5"/>
        <v>OK</v>
      </c>
      <c r="AM37" s="7">
        <f t="shared" si="6"/>
        <v>32500</v>
      </c>
      <c r="AN37" s="8">
        <f>IF(C37="","",COUNTIF($C$2:C37,C37))</f>
        <v>1</v>
      </c>
      <c r="AO37" s="8" t="str">
        <f t="shared" si="7"/>
        <v>Bugalagrande - Zarzal 10G BACKUP|1</v>
      </c>
      <c r="AP37" s="8" t="str">
        <f>IF(C37="","",IF(AND(OR([1]Consulta!$C$29="",A37=[1]Consulta!$C$29),OR([1]Consulta!$E$29="",B37=[1]Consulta!$E$29),OR([1]Consulta!$G$29="",D37=[1]Consulta!$G$29,R37=[1]Consulta!$G$29)),ROW()-1,""))</f>
        <v/>
      </c>
    </row>
    <row r="38" spans="1:42" ht="15" customHeight="1" x14ac:dyDescent="0.25">
      <c r="A38" s="7" t="s">
        <v>40</v>
      </c>
      <c r="B38" s="7" t="s">
        <v>49</v>
      </c>
      <c r="C38" s="7" t="s">
        <v>224</v>
      </c>
      <c r="D38" s="7" t="s">
        <v>49</v>
      </c>
      <c r="E38" s="7" t="s">
        <v>44</v>
      </c>
      <c r="F38" s="7" t="s">
        <v>50</v>
      </c>
      <c r="G38" s="7" t="s">
        <v>46</v>
      </c>
      <c r="H38" s="7" t="s">
        <v>225</v>
      </c>
      <c r="I38" s="7" t="s">
        <v>226</v>
      </c>
      <c r="J38" s="7">
        <v>1.9</v>
      </c>
      <c r="K38" s="7">
        <v>-19.100000000000001</v>
      </c>
      <c r="L38" s="7"/>
      <c r="M38" s="7"/>
      <c r="N38" s="7" t="s">
        <v>96</v>
      </c>
      <c r="O38" s="7" t="s">
        <v>227</v>
      </c>
      <c r="P38" s="7">
        <v>10</v>
      </c>
      <c r="Q38" s="7">
        <v>52135</v>
      </c>
      <c r="R38" s="7" t="s">
        <v>193</v>
      </c>
      <c r="S38" s="7" t="s">
        <v>228</v>
      </c>
      <c r="T38" s="7" t="s">
        <v>229</v>
      </c>
      <c r="U38" s="7" t="s">
        <v>46</v>
      </c>
      <c r="V38" s="7">
        <v>49</v>
      </c>
      <c r="W38" s="7" t="s">
        <v>230</v>
      </c>
      <c r="X38" s="7">
        <v>1.2</v>
      </c>
      <c r="Y38" s="7">
        <v>-20.100000000000001</v>
      </c>
      <c r="Z38" s="7"/>
      <c r="AA38" s="7"/>
      <c r="AB38" s="7" t="s">
        <v>96</v>
      </c>
      <c r="AC38" s="7" t="s">
        <v>231</v>
      </c>
      <c r="AD38" s="7">
        <v>10</v>
      </c>
      <c r="AE38" s="7">
        <v>52135</v>
      </c>
      <c r="AF38" s="7" t="str">
        <f t="shared" si="0"/>
        <v/>
      </c>
      <c r="AG38" s="7" t="str">
        <f t="shared" si="8"/>
        <v>N/A</v>
      </c>
      <c r="AH38" s="7" t="str">
        <f t="shared" si="1"/>
        <v/>
      </c>
      <c r="AI38" s="7" t="str">
        <f t="shared" si="2"/>
        <v>N/A</v>
      </c>
      <c r="AJ38" s="7" t="str">
        <f t="shared" si="3"/>
        <v>N/A</v>
      </c>
      <c r="AK38" s="7" t="str">
        <f t="shared" si="4"/>
        <v>N/A</v>
      </c>
      <c r="AL38" s="7" t="str">
        <f t="shared" si="5"/>
        <v>OK</v>
      </c>
      <c r="AM38" s="7">
        <f t="shared" si="6"/>
        <v>52135</v>
      </c>
      <c r="AN38" s="8">
        <f>IF(C38="","",COUNTIF($C$2:C38,C38))</f>
        <v>1</v>
      </c>
      <c r="AO38" s="8" t="str">
        <f t="shared" si="7"/>
        <v>Tulua - Zarzal 10G Hilos redundancia|1</v>
      </c>
      <c r="AP38" s="8" t="str">
        <f>IF(C38="","",IF(AND(OR([1]Consulta!$C$29="",A38=[1]Consulta!$C$29),OR([1]Consulta!$E$29="",B38=[1]Consulta!$E$29),OR([1]Consulta!$G$29="",D38=[1]Consulta!$G$29,R38=[1]Consulta!$G$29)),ROW()-1,""))</f>
        <v/>
      </c>
    </row>
    <row r="39" spans="1:42" ht="15" customHeight="1" x14ac:dyDescent="0.25">
      <c r="A39" s="7" t="s">
        <v>40</v>
      </c>
      <c r="B39" s="7" t="s">
        <v>193</v>
      </c>
      <c r="C39" s="7" t="s">
        <v>232</v>
      </c>
      <c r="D39" s="7" t="s">
        <v>193</v>
      </c>
      <c r="E39" s="7" t="s">
        <v>228</v>
      </c>
      <c r="F39" s="7" t="s">
        <v>229</v>
      </c>
      <c r="G39" s="7" t="s">
        <v>46</v>
      </c>
      <c r="H39" s="7">
        <v>50</v>
      </c>
      <c r="I39" s="7" t="s">
        <v>208</v>
      </c>
      <c r="J39" s="7">
        <v>1.78</v>
      </c>
      <c r="K39" s="7">
        <v>-3.88</v>
      </c>
      <c r="L39" s="7">
        <v>-16.899999999999999</v>
      </c>
      <c r="M39" s="7">
        <v>0</v>
      </c>
      <c r="N39" s="7" t="s">
        <v>96</v>
      </c>
      <c r="O39" s="7" t="s">
        <v>233</v>
      </c>
      <c r="P39" s="7">
        <v>5</v>
      </c>
      <c r="Q39" s="7">
        <v>14139</v>
      </c>
      <c r="R39" s="7" t="s">
        <v>198</v>
      </c>
      <c r="S39" s="7" t="s">
        <v>228</v>
      </c>
      <c r="T39" s="7" t="s">
        <v>234</v>
      </c>
      <c r="U39" s="7" t="s">
        <v>46</v>
      </c>
      <c r="V39" s="7">
        <v>50</v>
      </c>
      <c r="W39" s="7" t="s">
        <v>235</v>
      </c>
      <c r="X39" s="7">
        <v>1.7</v>
      </c>
      <c r="Y39" s="7">
        <v>-9.5399999999999991</v>
      </c>
      <c r="Z39" s="7">
        <v>-14.9</v>
      </c>
      <c r="AA39" s="7">
        <v>0</v>
      </c>
      <c r="AB39" s="7" t="s">
        <v>96</v>
      </c>
      <c r="AC39" s="7" t="s">
        <v>236</v>
      </c>
      <c r="AD39" s="7">
        <v>5</v>
      </c>
      <c r="AE39" s="7">
        <v>14139</v>
      </c>
      <c r="AF39" s="7">
        <f t="shared" si="0"/>
        <v>13.02</v>
      </c>
      <c r="AG39" s="7" t="str">
        <f t="shared" si="8"/>
        <v>OK</v>
      </c>
      <c r="AH39" s="7">
        <f t="shared" si="1"/>
        <v>5.3600000000000012</v>
      </c>
      <c r="AI39" s="7" t="str">
        <f t="shared" si="2"/>
        <v>OK</v>
      </c>
      <c r="AJ39" s="7" t="str">
        <f t="shared" si="3"/>
        <v>OK</v>
      </c>
      <c r="AK39" s="7" t="str">
        <f t="shared" si="4"/>
        <v>OK</v>
      </c>
      <c r="AL39" s="7" t="str">
        <f t="shared" si="5"/>
        <v>OK</v>
      </c>
      <c r="AM39" s="7">
        <f t="shared" si="6"/>
        <v>14139</v>
      </c>
      <c r="AN39" s="8">
        <f>IF(C39="","",COUNTIF($C$2:C39,C39))</f>
        <v>1</v>
      </c>
      <c r="AO39" s="8" t="str">
        <f t="shared" si="7"/>
        <v>Zarzal - Roldanillo 10G Hilos redundancia|1</v>
      </c>
      <c r="AP39" s="8" t="str">
        <f>IF(C39="","",IF(AND(OR([1]Consulta!$C$29="",A39=[1]Consulta!$C$29),OR([1]Consulta!$E$29="",B39=[1]Consulta!$E$29),OR([1]Consulta!$G$29="",D39=[1]Consulta!$G$29,R39=[1]Consulta!$G$29)),ROW()-1,""))</f>
        <v/>
      </c>
    </row>
    <row r="40" spans="1:42" ht="15" customHeight="1" x14ac:dyDescent="0.25">
      <c r="A40" s="7" t="s">
        <v>40</v>
      </c>
      <c r="B40" s="7" t="s">
        <v>198</v>
      </c>
      <c r="C40" s="7" t="s">
        <v>237</v>
      </c>
      <c r="D40" s="7" t="s">
        <v>198</v>
      </c>
      <c r="E40" s="7" t="s">
        <v>228</v>
      </c>
      <c r="F40" s="7" t="s">
        <v>234</v>
      </c>
      <c r="G40" s="7" t="s">
        <v>217</v>
      </c>
      <c r="H40" s="7">
        <v>49</v>
      </c>
      <c r="I40" s="7" t="s">
        <v>238</v>
      </c>
      <c r="J40" s="7">
        <v>0.96</v>
      </c>
      <c r="K40" s="7">
        <v>-12.68</v>
      </c>
      <c r="L40" s="7">
        <v>-17.899999999999999</v>
      </c>
      <c r="M40" s="7">
        <v>0</v>
      </c>
      <c r="N40" s="7" t="s">
        <v>96</v>
      </c>
      <c r="O40" s="7" t="s">
        <v>239</v>
      </c>
      <c r="P40" s="7">
        <v>5</v>
      </c>
      <c r="Q40" s="7">
        <v>22349</v>
      </c>
      <c r="R40" s="7" t="s">
        <v>188</v>
      </c>
      <c r="S40" s="7" t="s">
        <v>228</v>
      </c>
      <c r="T40" s="7" t="s">
        <v>240</v>
      </c>
      <c r="U40" s="7" t="s">
        <v>217</v>
      </c>
      <c r="V40" s="7">
        <v>49</v>
      </c>
      <c r="W40" s="7" t="s">
        <v>235</v>
      </c>
      <c r="X40" s="7">
        <v>2.96</v>
      </c>
      <c r="Y40" s="7">
        <v>-15.09</v>
      </c>
      <c r="Z40" s="7">
        <v>-14.9</v>
      </c>
      <c r="AA40" s="7">
        <v>0</v>
      </c>
      <c r="AB40" s="7" t="s">
        <v>96</v>
      </c>
      <c r="AC40" s="7" t="s">
        <v>241</v>
      </c>
      <c r="AD40" s="7">
        <v>5</v>
      </c>
      <c r="AE40" s="7">
        <v>22349</v>
      </c>
      <c r="AF40" s="7">
        <f t="shared" si="0"/>
        <v>5.2199999999999989</v>
      </c>
      <c r="AG40" s="7" t="str">
        <f t="shared" si="8"/>
        <v>OK</v>
      </c>
      <c r="AH40" s="7">
        <f t="shared" si="1"/>
        <v>-0.1899999999999995</v>
      </c>
      <c r="AI40" s="7" t="str">
        <f t="shared" si="2"/>
        <v>ALARMA</v>
      </c>
      <c r="AJ40" s="7" t="str">
        <f t="shared" si="3"/>
        <v>OK</v>
      </c>
      <c r="AK40" s="7" t="str">
        <f t="shared" si="4"/>
        <v>OK</v>
      </c>
      <c r="AL40" s="7" t="str">
        <f t="shared" si="5"/>
        <v>REVISAR</v>
      </c>
      <c r="AM40" s="7">
        <f t="shared" si="6"/>
        <v>22349</v>
      </c>
      <c r="AN40" s="8">
        <f>IF(C40="","",COUNTIF($C$2:C40,C40))</f>
        <v>1</v>
      </c>
      <c r="AO40" s="8" t="str">
        <f t="shared" si="7"/>
        <v>Roldanillo - La Union 10G Hilos redundancia|1</v>
      </c>
      <c r="AP40" s="8" t="str">
        <f>IF(C40="","",IF(AND(OR([1]Consulta!$C$29="",A40=[1]Consulta!$C$29),OR([1]Consulta!$E$29="",B40=[1]Consulta!$E$29),OR([1]Consulta!$G$29="",D40=[1]Consulta!$G$29,R40=[1]Consulta!$G$29)),ROW()-1,""))</f>
        <v/>
      </c>
    </row>
    <row r="41" spans="1:42" ht="15" customHeight="1" x14ac:dyDescent="0.25">
      <c r="A41" s="7" t="s">
        <v>40</v>
      </c>
      <c r="B41" s="7" t="s">
        <v>188</v>
      </c>
      <c r="C41" s="7" t="s">
        <v>242</v>
      </c>
      <c r="D41" s="7" t="s">
        <v>188</v>
      </c>
      <c r="E41" s="7" t="s">
        <v>228</v>
      </c>
      <c r="F41" s="7" t="s">
        <v>240</v>
      </c>
      <c r="G41" s="7" t="s">
        <v>46</v>
      </c>
      <c r="H41" s="7">
        <v>52</v>
      </c>
      <c r="I41" s="7" t="s">
        <v>243</v>
      </c>
      <c r="J41" s="7">
        <v>1</v>
      </c>
      <c r="K41" s="7">
        <v>-5.46</v>
      </c>
      <c r="L41" s="7">
        <v>-16.899999999999999</v>
      </c>
      <c r="M41" s="7">
        <v>0</v>
      </c>
      <c r="N41" s="7" t="s">
        <v>96</v>
      </c>
      <c r="O41" s="7" t="s">
        <v>236</v>
      </c>
      <c r="P41" s="7">
        <v>5</v>
      </c>
      <c r="Q41" s="7">
        <v>13105</v>
      </c>
      <c r="R41" s="7" t="s">
        <v>244</v>
      </c>
      <c r="S41" s="7" t="s">
        <v>228</v>
      </c>
      <c r="T41" s="7" t="s">
        <v>245</v>
      </c>
      <c r="U41" s="7" t="s">
        <v>46</v>
      </c>
      <c r="V41" s="7">
        <v>52</v>
      </c>
      <c r="W41" s="7" t="s">
        <v>243</v>
      </c>
      <c r="X41" s="7">
        <v>1</v>
      </c>
      <c r="Y41" s="7">
        <v>-5.54</v>
      </c>
      <c r="Z41" s="7">
        <v>-16.899999999999999</v>
      </c>
      <c r="AA41" s="7">
        <v>447</v>
      </c>
      <c r="AB41" s="7" t="s">
        <v>96</v>
      </c>
      <c r="AC41" s="7" t="s">
        <v>214</v>
      </c>
      <c r="AD41" s="7">
        <v>5</v>
      </c>
      <c r="AE41" s="7">
        <v>13105</v>
      </c>
      <c r="AF41" s="7">
        <f t="shared" si="0"/>
        <v>11.439999999999998</v>
      </c>
      <c r="AG41" s="7" t="str">
        <f t="shared" si="8"/>
        <v>OK</v>
      </c>
      <c r="AH41" s="7">
        <f t="shared" si="1"/>
        <v>11.36</v>
      </c>
      <c r="AI41" s="7" t="str">
        <f t="shared" si="2"/>
        <v>OK</v>
      </c>
      <c r="AJ41" s="7" t="str">
        <f t="shared" si="3"/>
        <v>OK</v>
      </c>
      <c r="AK41" s="7" t="str">
        <f t="shared" si="4"/>
        <v>CON ERRORES</v>
      </c>
      <c r="AL41" s="7" t="str">
        <f t="shared" si="5"/>
        <v>REVISAR</v>
      </c>
      <c r="AM41" s="7">
        <f t="shared" si="6"/>
        <v>13105</v>
      </c>
      <c r="AN41" s="8">
        <f>IF(C41="","",COUNTIF($C$2:C41,C41))</f>
        <v>1</v>
      </c>
      <c r="AO41" s="8" t="str">
        <f t="shared" si="7"/>
        <v>La Union - Toro 100G ANILLO N VALLE CH27|1</v>
      </c>
      <c r="AP41" s="8" t="str">
        <f>IF(C41="","",IF(AND(OR([1]Consulta!$C$29="",A41=[1]Consulta!$C$29),OR([1]Consulta!$E$29="",B41=[1]Consulta!$E$29),OR([1]Consulta!$G$29="",D41=[1]Consulta!$G$29,R41=[1]Consulta!$G$29)),ROW()-1,""))</f>
        <v/>
      </c>
    </row>
    <row r="42" spans="1:42" ht="15" customHeight="1" x14ac:dyDescent="0.25">
      <c r="A42" s="7" t="s">
        <v>40</v>
      </c>
      <c r="B42" s="7" t="s">
        <v>75</v>
      </c>
      <c r="C42" s="7" t="s">
        <v>246</v>
      </c>
      <c r="D42" s="7" t="s">
        <v>75</v>
      </c>
      <c r="E42" s="7" t="s">
        <v>165</v>
      </c>
      <c r="F42" s="7" t="s">
        <v>166</v>
      </c>
      <c r="G42" s="7" t="s">
        <v>217</v>
      </c>
      <c r="H42" s="7" t="s">
        <v>63</v>
      </c>
      <c r="I42" s="7" t="s">
        <v>222</v>
      </c>
      <c r="J42" s="7" t="s">
        <v>222</v>
      </c>
      <c r="K42" s="7" t="s">
        <v>222</v>
      </c>
      <c r="L42" s="7" t="s">
        <v>222</v>
      </c>
      <c r="M42" s="7"/>
      <c r="N42" s="7" t="s">
        <v>96</v>
      </c>
      <c r="O42" s="7" t="s">
        <v>247</v>
      </c>
      <c r="P42" s="7">
        <v>5</v>
      </c>
      <c r="Q42" s="7">
        <v>16000</v>
      </c>
      <c r="R42" s="7" t="s">
        <v>248</v>
      </c>
      <c r="S42" s="7" t="s">
        <v>228</v>
      </c>
      <c r="T42" s="7" t="s">
        <v>249</v>
      </c>
      <c r="U42" s="7" t="s">
        <v>217</v>
      </c>
      <c r="V42" s="7">
        <v>49</v>
      </c>
      <c r="W42" s="7" t="s">
        <v>250</v>
      </c>
      <c r="X42" s="7">
        <v>-0.1</v>
      </c>
      <c r="Y42" s="7">
        <v>-14</v>
      </c>
      <c r="Z42" s="7"/>
      <c r="AA42" s="7"/>
      <c r="AB42" s="7" t="s">
        <v>96</v>
      </c>
      <c r="AC42" s="7" t="s">
        <v>251</v>
      </c>
      <c r="AD42" s="7">
        <v>5</v>
      </c>
      <c r="AE42" s="7">
        <v>16000</v>
      </c>
      <c r="AF42" s="7" t="str">
        <f t="shared" si="0"/>
        <v/>
      </c>
      <c r="AG42" s="7" t="str">
        <f t="shared" si="8"/>
        <v>N/A</v>
      </c>
      <c r="AH42" s="7" t="str">
        <f t="shared" si="1"/>
        <v/>
      </c>
      <c r="AI42" s="7" t="str">
        <f t="shared" si="2"/>
        <v>N/A</v>
      </c>
      <c r="AJ42" s="7" t="str">
        <f t="shared" si="3"/>
        <v>N/A</v>
      </c>
      <c r="AK42" s="7" t="str">
        <f t="shared" si="4"/>
        <v>N/A</v>
      </c>
      <c r="AL42" s="7" t="str">
        <f t="shared" si="5"/>
        <v>OK</v>
      </c>
      <c r="AM42" s="7">
        <f t="shared" si="6"/>
        <v>16000</v>
      </c>
      <c r="AN42" s="8">
        <f>IF(C42="","",COUNTIF($C$2:C42,C42))</f>
        <v>1</v>
      </c>
      <c r="AO42" s="8" t="str">
        <f t="shared" si="7"/>
        <v>Candelaria - Pradera 100G ANILLO N VALLE CH27|1</v>
      </c>
      <c r="AP42" s="8" t="str">
        <f>IF(C42="","",IF(AND(OR([1]Consulta!$C$29="",A42=[1]Consulta!$C$29),OR([1]Consulta!$E$29="",B42=[1]Consulta!$E$29),OR([1]Consulta!$G$29="",D42=[1]Consulta!$G$29,R42=[1]Consulta!$G$29)),ROW()-1,""))</f>
        <v/>
      </c>
    </row>
    <row r="43" spans="1:42" ht="15" customHeight="1" x14ac:dyDescent="0.25">
      <c r="A43" s="7" t="s">
        <v>40</v>
      </c>
      <c r="B43" s="7" t="s">
        <v>248</v>
      </c>
      <c r="C43" s="7" t="s">
        <v>252</v>
      </c>
      <c r="D43" s="7" t="s">
        <v>248</v>
      </c>
      <c r="E43" s="7" t="s">
        <v>228</v>
      </c>
      <c r="F43" s="7" t="s">
        <v>249</v>
      </c>
      <c r="G43" s="7" t="s">
        <v>217</v>
      </c>
      <c r="H43" s="7">
        <v>50</v>
      </c>
      <c r="I43" s="7" t="s">
        <v>253</v>
      </c>
      <c r="J43" s="7">
        <v>2.87</v>
      </c>
      <c r="K43" s="7">
        <v>-10.67</v>
      </c>
      <c r="L43" s="7">
        <v>-15.9</v>
      </c>
      <c r="M43" s="7">
        <v>2091</v>
      </c>
      <c r="N43" s="7" t="s">
        <v>96</v>
      </c>
      <c r="O43" s="7" t="s">
        <v>254</v>
      </c>
      <c r="P43" s="7">
        <v>5</v>
      </c>
      <c r="Q43" s="7">
        <v>17246</v>
      </c>
      <c r="R43" s="7" t="s">
        <v>255</v>
      </c>
      <c r="S43" s="7" t="s">
        <v>228</v>
      </c>
      <c r="T43" s="7" t="s">
        <v>256</v>
      </c>
      <c r="U43" s="7" t="s">
        <v>217</v>
      </c>
      <c r="V43" s="7">
        <v>50</v>
      </c>
      <c r="W43" s="7" t="s">
        <v>257</v>
      </c>
      <c r="X43" s="7">
        <v>1.9</v>
      </c>
      <c r="Y43" s="7">
        <v>-11.25</v>
      </c>
      <c r="Z43" s="7">
        <v>-15.9</v>
      </c>
      <c r="AA43" s="7">
        <v>1</v>
      </c>
      <c r="AB43" s="7" t="s">
        <v>96</v>
      </c>
      <c r="AC43" s="7" t="s">
        <v>258</v>
      </c>
      <c r="AD43" s="7">
        <v>5</v>
      </c>
      <c r="AE43" s="7">
        <v>17246</v>
      </c>
      <c r="AF43" s="7">
        <f t="shared" si="0"/>
        <v>5.23</v>
      </c>
      <c r="AG43" s="7" t="str">
        <f t="shared" si="8"/>
        <v>OK</v>
      </c>
      <c r="AH43" s="7">
        <f t="shared" si="1"/>
        <v>4.6500000000000004</v>
      </c>
      <c r="AI43" s="7" t="str">
        <f t="shared" si="2"/>
        <v>OK</v>
      </c>
      <c r="AJ43" s="7" t="str">
        <f t="shared" si="3"/>
        <v>CON ERRORES</v>
      </c>
      <c r="AK43" s="7" t="str">
        <f t="shared" si="4"/>
        <v>CON ERRORES</v>
      </c>
      <c r="AL43" s="7" t="str">
        <f t="shared" si="5"/>
        <v>REVISAR</v>
      </c>
      <c r="AM43" s="7">
        <f t="shared" si="6"/>
        <v>17246</v>
      </c>
      <c r="AN43" s="8">
        <f>IF(C43="","",COUNTIF($C$2:C43,C43))</f>
        <v>1</v>
      </c>
      <c r="AO43" s="8" t="str">
        <f t="shared" si="7"/>
        <v>Pradera - Florida 100G ANILLO N VALLE CH27|1</v>
      </c>
      <c r="AP43" s="8" t="str">
        <f>IF(C43="","",IF(AND(OR([1]Consulta!$C$29="",A43=[1]Consulta!$C$29),OR([1]Consulta!$E$29="",B43=[1]Consulta!$E$29),OR([1]Consulta!$G$29="",D43=[1]Consulta!$G$29,R43=[1]Consulta!$G$29)),ROW()-1,""))</f>
        <v/>
      </c>
    </row>
    <row r="44" spans="1:42" ht="15" customHeight="1" x14ac:dyDescent="0.25">
      <c r="A44" s="7" t="s">
        <v>40</v>
      </c>
      <c r="B44" s="7" t="s">
        <v>144</v>
      </c>
      <c r="C44" s="7" t="s">
        <v>259</v>
      </c>
      <c r="D44" s="7" t="s">
        <v>144</v>
      </c>
      <c r="E44" s="7" t="s">
        <v>165</v>
      </c>
      <c r="F44" s="7" t="s">
        <v>176</v>
      </c>
      <c r="G44" s="7" t="s">
        <v>217</v>
      </c>
      <c r="H44" s="7" t="s">
        <v>63</v>
      </c>
      <c r="I44" s="7" t="s">
        <v>260</v>
      </c>
      <c r="J44" s="7">
        <v>3.2</v>
      </c>
      <c r="K44" s="7" t="s">
        <v>261</v>
      </c>
      <c r="L44" s="7">
        <v>-15</v>
      </c>
      <c r="M44" s="7"/>
      <c r="N44" s="7" t="s">
        <v>96</v>
      </c>
      <c r="O44" s="7" t="s">
        <v>262</v>
      </c>
      <c r="P44" s="7">
        <v>5</v>
      </c>
      <c r="Q44" s="7">
        <v>14087</v>
      </c>
      <c r="R44" s="7" t="s">
        <v>263</v>
      </c>
      <c r="S44" s="7" t="s">
        <v>228</v>
      </c>
      <c r="T44" s="7" t="s">
        <v>264</v>
      </c>
      <c r="U44" s="7" t="s">
        <v>217</v>
      </c>
      <c r="V44" s="7">
        <v>49</v>
      </c>
      <c r="W44" s="7" t="s">
        <v>265</v>
      </c>
      <c r="X44" s="7">
        <v>3</v>
      </c>
      <c r="Y44" s="7">
        <v>-6.9</v>
      </c>
      <c r="Z44" s="7"/>
      <c r="AA44" s="7"/>
      <c r="AB44" s="7" t="s">
        <v>96</v>
      </c>
      <c r="AC44" s="7" t="s">
        <v>266</v>
      </c>
      <c r="AD44" s="7">
        <v>5</v>
      </c>
      <c r="AE44" s="7">
        <v>14087</v>
      </c>
      <c r="AF44" s="7" t="str">
        <f t="shared" si="0"/>
        <v/>
      </c>
      <c r="AG44" s="7" t="str">
        <f t="shared" si="8"/>
        <v>N/A</v>
      </c>
      <c r="AH44" s="7" t="str">
        <f t="shared" si="1"/>
        <v/>
      </c>
      <c r="AI44" s="7" t="str">
        <f t="shared" si="2"/>
        <v>N/A</v>
      </c>
      <c r="AJ44" s="7" t="str">
        <f t="shared" si="3"/>
        <v>N/A</v>
      </c>
      <c r="AK44" s="7" t="str">
        <f t="shared" si="4"/>
        <v>N/A</v>
      </c>
      <c r="AL44" s="7" t="str">
        <f t="shared" si="5"/>
        <v>OK</v>
      </c>
      <c r="AM44" s="7">
        <f t="shared" si="6"/>
        <v>14087</v>
      </c>
      <c r="AN44" s="8">
        <f>IF(C44="","",COUNTIF($C$2:C44,C44))</f>
        <v>1</v>
      </c>
      <c r="AO44" s="8" t="str">
        <f t="shared" si="7"/>
        <v>Guacari - Ginebra 100G ANILLO N VALLE CH27|1</v>
      </c>
      <c r="AP44" s="8" t="str">
        <f>IF(C44="","",IF(AND(OR([1]Consulta!$C$29="",A44=[1]Consulta!$C$29),OR([1]Consulta!$E$29="",B44=[1]Consulta!$E$29),OR([1]Consulta!$G$29="",D44=[1]Consulta!$G$29,R44=[1]Consulta!$G$29)),ROW()-1,""))</f>
        <v/>
      </c>
    </row>
    <row r="45" spans="1:42" ht="15" customHeight="1" x14ac:dyDescent="0.25">
      <c r="A45" s="7" t="s">
        <v>40</v>
      </c>
      <c r="B45" s="7" t="s">
        <v>49</v>
      </c>
      <c r="C45" s="7" t="s">
        <v>267</v>
      </c>
      <c r="D45" s="7" t="s">
        <v>49</v>
      </c>
      <c r="E45" s="7" t="s">
        <v>44</v>
      </c>
      <c r="F45" s="7" t="s">
        <v>50</v>
      </c>
      <c r="G45" s="7" t="s">
        <v>46</v>
      </c>
      <c r="H45" s="7" t="s">
        <v>57</v>
      </c>
      <c r="I45" s="7" t="s">
        <v>62</v>
      </c>
      <c r="J45" s="7">
        <v>0</v>
      </c>
      <c r="K45" s="7">
        <v>-9.9</v>
      </c>
      <c r="L45" s="7"/>
      <c r="M45" s="7"/>
      <c r="N45" s="7" t="s">
        <v>268</v>
      </c>
      <c r="O45" s="7" t="s">
        <v>269</v>
      </c>
      <c r="P45" s="7"/>
      <c r="Q45" s="7"/>
      <c r="R45" s="7" t="s">
        <v>270</v>
      </c>
      <c r="S45" s="7" t="s">
        <v>44</v>
      </c>
      <c r="T45" s="7" t="s">
        <v>271</v>
      </c>
      <c r="U45" s="7" t="s">
        <v>46</v>
      </c>
      <c r="V45" s="7" t="s">
        <v>51</v>
      </c>
      <c r="W45" s="7" t="s">
        <v>272</v>
      </c>
      <c r="X45" s="7">
        <v>0</v>
      </c>
      <c r="Y45" s="7">
        <v>-10.4</v>
      </c>
      <c r="Z45" s="7"/>
      <c r="AA45" s="7"/>
      <c r="AB45" s="7"/>
      <c r="AC45" s="7"/>
      <c r="AD45" s="7"/>
      <c r="AE45" s="7"/>
      <c r="AF45" s="7" t="str">
        <f t="shared" si="0"/>
        <v/>
      </c>
      <c r="AG45" s="7" t="str">
        <f t="shared" si="8"/>
        <v>N/A</v>
      </c>
      <c r="AH45" s="7" t="str">
        <f t="shared" si="1"/>
        <v/>
      </c>
      <c r="AI45" s="7" t="str">
        <f t="shared" si="2"/>
        <v>N/A</v>
      </c>
      <c r="AJ45" s="7" t="str">
        <f t="shared" si="3"/>
        <v>N/A</v>
      </c>
      <c r="AK45" s="7" t="str">
        <f t="shared" si="4"/>
        <v>N/A</v>
      </c>
      <c r="AL45" s="7" t="str">
        <f t="shared" si="5"/>
        <v>OK</v>
      </c>
      <c r="AM45" s="7" t="str">
        <f t="shared" si="6"/>
        <v>Ver detalle</v>
      </c>
      <c r="AN45" s="8">
        <f>IF(C45="","",COUNTIF($C$2:C45,C45))</f>
        <v>1</v>
      </c>
      <c r="AO45" s="8" t="str">
        <f t="shared" si="7"/>
        <v>Tulua - MC - Pereira 10G CH22 MC|1</v>
      </c>
      <c r="AP45" s="8" t="str">
        <f>IF(C45="","",IF(AND(OR([1]Consulta!$C$29="",A45=[1]Consulta!$C$29),OR([1]Consulta!$E$29="",B45=[1]Consulta!$E$29),OR([1]Consulta!$G$29="",D45=[1]Consulta!$G$29,R45=[1]Consulta!$G$29)),ROW()-1,""))</f>
        <v/>
      </c>
    </row>
    <row r="46" spans="1:42" ht="15" customHeight="1" x14ac:dyDescent="0.25">
      <c r="A46" s="7" t="s">
        <v>40</v>
      </c>
      <c r="B46" s="7" t="s">
        <v>49</v>
      </c>
      <c r="C46" s="7" t="s">
        <v>273</v>
      </c>
      <c r="D46" s="7" t="s">
        <v>49</v>
      </c>
      <c r="E46" s="7" t="s">
        <v>44</v>
      </c>
      <c r="F46" s="7" t="s">
        <v>50</v>
      </c>
      <c r="G46" s="7" t="s">
        <v>46</v>
      </c>
      <c r="H46" s="7" t="s">
        <v>89</v>
      </c>
      <c r="I46" s="7" t="s">
        <v>62</v>
      </c>
      <c r="J46" s="7">
        <v>0</v>
      </c>
      <c r="K46" s="7">
        <v>-11.3</v>
      </c>
      <c r="L46" s="7"/>
      <c r="M46" s="7"/>
      <c r="N46" s="7" t="s">
        <v>274</v>
      </c>
      <c r="O46" s="7" t="s">
        <v>275</v>
      </c>
      <c r="P46" s="7">
        <v>10</v>
      </c>
      <c r="Q46" s="7">
        <v>159000</v>
      </c>
      <c r="R46" s="7" t="s">
        <v>270</v>
      </c>
      <c r="S46" s="7" t="s">
        <v>44</v>
      </c>
      <c r="T46" s="7" t="s">
        <v>271</v>
      </c>
      <c r="U46" s="7" t="s">
        <v>46</v>
      </c>
      <c r="V46" s="7" t="s">
        <v>276</v>
      </c>
      <c r="W46" s="7" t="s">
        <v>272</v>
      </c>
      <c r="X46" s="7">
        <v>0</v>
      </c>
      <c r="Y46" s="7">
        <v>-12.9</v>
      </c>
      <c r="Z46" s="7"/>
      <c r="AA46" s="7"/>
      <c r="AB46" s="7" t="s">
        <v>277</v>
      </c>
      <c r="AC46" s="7"/>
      <c r="AD46" s="7"/>
      <c r="AE46" s="7"/>
      <c r="AF46" s="7" t="str">
        <f t="shared" si="0"/>
        <v/>
      </c>
      <c r="AG46" s="7" t="str">
        <f t="shared" si="8"/>
        <v>N/A</v>
      </c>
      <c r="AH46" s="7" t="str">
        <f t="shared" si="1"/>
        <v/>
      </c>
      <c r="AI46" s="7" t="str">
        <f t="shared" si="2"/>
        <v>N/A</v>
      </c>
      <c r="AJ46" s="7" t="str">
        <f t="shared" si="3"/>
        <v>N/A</v>
      </c>
      <c r="AK46" s="7" t="str">
        <f t="shared" si="4"/>
        <v>N/A</v>
      </c>
      <c r="AL46" s="7" t="str">
        <f t="shared" si="5"/>
        <v>OK</v>
      </c>
      <c r="AM46" s="7">
        <f t="shared" si="6"/>
        <v>159000</v>
      </c>
      <c r="AN46" s="8">
        <f>IF(C46="","",COUNTIF($C$2:C46,C46))</f>
        <v>1</v>
      </c>
      <c r="AO46" s="8" t="str">
        <f t="shared" si="7"/>
        <v>Tulua - UFINET - Pereira 10G CH22 MC|1</v>
      </c>
      <c r="AP46" s="8" t="str">
        <f>IF(C46="","",IF(AND(OR([1]Consulta!$C$29="",A46=[1]Consulta!$C$29),OR([1]Consulta!$E$29="",B46=[1]Consulta!$E$29),OR([1]Consulta!$G$29="",D46=[1]Consulta!$G$29,R46=[1]Consulta!$G$29)),ROW()-1,""))</f>
        <v/>
      </c>
    </row>
    <row r="47" spans="1:42" ht="15" customHeight="1" x14ac:dyDescent="0.25">
      <c r="A47" s="7" t="s">
        <v>40</v>
      </c>
      <c r="B47" s="7" t="s">
        <v>49</v>
      </c>
      <c r="C47" s="7" t="s">
        <v>278</v>
      </c>
      <c r="D47" s="7" t="s">
        <v>49</v>
      </c>
      <c r="E47" s="7" t="s">
        <v>228</v>
      </c>
      <c r="F47" s="7" t="s">
        <v>279</v>
      </c>
      <c r="G47" s="7" t="s">
        <v>217</v>
      </c>
      <c r="H47" s="7">
        <v>50</v>
      </c>
      <c r="I47" s="7" t="s">
        <v>280</v>
      </c>
      <c r="J47" s="7">
        <v>3.15</v>
      </c>
      <c r="K47" s="7">
        <v>-7.8</v>
      </c>
      <c r="L47" s="7">
        <v>-15.9</v>
      </c>
      <c r="M47" s="7">
        <v>3</v>
      </c>
      <c r="N47" s="7" t="s">
        <v>96</v>
      </c>
      <c r="O47" s="7" t="s">
        <v>281</v>
      </c>
      <c r="P47" s="7">
        <v>10</v>
      </c>
      <c r="Q47" s="7">
        <v>12000</v>
      </c>
      <c r="R47" s="7" t="s">
        <v>282</v>
      </c>
      <c r="S47" s="7" t="s">
        <v>228</v>
      </c>
      <c r="T47" s="7" t="s">
        <v>283</v>
      </c>
      <c r="U47" s="7" t="s">
        <v>217</v>
      </c>
      <c r="V47" s="7">
        <v>50</v>
      </c>
      <c r="W47" s="7" t="s">
        <v>243</v>
      </c>
      <c r="X47" s="7">
        <v>2.69</v>
      </c>
      <c r="Y47" s="7">
        <v>-5.95</v>
      </c>
      <c r="Z47" s="7">
        <v>-15.9</v>
      </c>
      <c r="AA47" s="7">
        <v>59</v>
      </c>
      <c r="AB47" s="7" t="s">
        <v>96</v>
      </c>
      <c r="AC47" s="7" t="s">
        <v>284</v>
      </c>
      <c r="AD47" s="7">
        <v>5</v>
      </c>
      <c r="AE47" s="7">
        <v>12000</v>
      </c>
      <c r="AF47" s="7">
        <f t="shared" si="0"/>
        <v>8.1000000000000014</v>
      </c>
      <c r="AG47" s="7" t="str">
        <f t="shared" si="8"/>
        <v>OK</v>
      </c>
      <c r="AH47" s="7">
        <f t="shared" si="1"/>
        <v>9.9499999999999993</v>
      </c>
      <c r="AI47" s="7" t="str">
        <f t="shared" si="2"/>
        <v>OK</v>
      </c>
      <c r="AJ47" s="7" t="str">
        <f t="shared" si="3"/>
        <v>CON ERRORES</v>
      </c>
      <c r="AK47" s="7" t="str">
        <f t="shared" si="4"/>
        <v>CON ERRORES</v>
      </c>
      <c r="AL47" s="7" t="str">
        <f t="shared" si="5"/>
        <v>REVISAR</v>
      </c>
      <c r="AM47" s="7">
        <f t="shared" si="6"/>
        <v>12000</v>
      </c>
      <c r="AN47" s="8">
        <f>IF(C47="","",COUNTIF($C$2:C47,C47))</f>
        <v>1</v>
      </c>
      <c r="AO47" s="8" t="str">
        <f t="shared" si="7"/>
        <v>Tulua - Andalucia 100G ANILLO N VALLE CH27|1</v>
      </c>
      <c r="AP47" s="8" t="str">
        <f>IF(C47="","",IF(AND(OR([1]Consulta!$C$29="",A47=[1]Consulta!$C$29),OR([1]Consulta!$E$29="",B47=[1]Consulta!$E$29),OR([1]Consulta!$G$29="",D47=[1]Consulta!$G$29,R47=[1]Consulta!$G$29)),ROW()-1,""))</f>
        <v/>
      </c>
    </row>
    <row r="48" spans="1:42" ht="15" customHeight="1" x14ac:dyDescent="0.25">
      <c r="A48" s="7" t="s">
        <v>40</v>
      </c>
      <c r="B48" s="7" t="s">
        <v>49</v>
      </c>
      <c r="C48" s="7" t="s">
        <v>285</v>
      </c>
      <c r="D48" s="7" t="s">
        <v>49</v>
      </c>
      <c r="E48" s="7" t="s">
        <v>228</v>
      </c>
      <c r="F48" s="7" t="s">
        <v>279</v>
      </c>
      <c r="G48" s="7" t="s">
        <v>217</v>
      </c>
      <c r="H48" s="7">
        <v>51</v>
      </c>
      <c r="I48" s="7" t="s">
        <v>243</v>
      </c>
      <c r="J48" s="7">
        <v>2.2000000000000002</v>
      </c>
      <c r="K48" s="7">
        <v>-14.12</v>
      </c>
      <c r="L48" s="7">
        <v>-15.9</v>
      </c>
      <c r="M48" s="7">
        <v>1121</v>
      </c>
      <c r="N48" s="7" t="s">
        <v>96</v>
      </c>
      <c r="O48" s="7" t="s">
        <v>286</v>
      </c>
      <c r="P48" s="7">
        <v>10</v>
      </c>
      <c r="Q48" s="7">
        <v>19320</v>
      </c>
      <c r="R48" s="7" t="s">
        <v>287</v>
      </c>
      <c r="S48" s="7" t="s">
        <v>228</v>
      </c>
      <c r="T48" s="7" t="s">
        <v>288</v>
      </c>
      <c r="U48" s="7" t="s">
        <v>217</v>
      </c>
      <c r="V48" s="7">
        <v>51</v>
      </c>
      <c r="W48" s="7" t="s">
        <v>243</v>
      </c>
      <c r="X48" s="7">
        <v>1</v>
      </c>
      <c r="Y48" s="7">
        <v>-11.16</v>
      </c>
      <c r="Z48" s="7">
        <v>-15.9</v>
      </c>
      <c r="AA48" s="7">
        <v>7154</v>
      </c>
      <c r="AB48" s="7" t="s">
        <v>96</v>
      </c>
      <c r="AC48" s="7" t="s">
        <v>289</v>
      </c>
      <c r="AD48" s="7">
        <v>5</v>
      </c>
      <c r="AE48" s="7">
        <v>19320</v>
      </c>
      <c r="AF48" s="7">
        <f t="shared" si="0"/>
        <v>1.7800000000000011</v>
      </c>
      <c r="AG48" s="7" t="str">
        <f t="shared" si="8"/>
        <v>OK</v>
      </c>
      <c r="AH48" s="7">
        <f t="shared" si="1"/>
        <v>4.74</v>
      </c>
      <c r="AI48" s="7" t="str">
        <f t="shared" si="2"/>
        <v>OK</v>
      </c>
      <c r="AJ48" s="7" t="str">
        <f t="shared" si="3"/>
        <v>CON ERRORES</v>
      </c>
      <c r="AK48" s="7" t="str">
        <f t="shared" si="4"/>
        <v>CON ERRORES</v>
      </c>
      <c r="AL48" s="7" t="str">
        <f t="shared" si="5"/>
        <v>REVISAR</v>
      </c>
      <c r="AM48" s="7">
        <f t="shared" si="6"/>
        <v>19320</v>
      </c>
      <c r="AN48" s="8">
        <f>IF(C48="","",COUNTIF($C$2:C48,C48))</f>
        <v>1</v>
      </c>
      <c r="AO48" s="8" t="str">
        <f t="shared" si="7"/>
        <v>Tulua - Riofrio 100G ANILLO N VALLE CH27|1</v>
      </c>
      <c r="AP48" s="8" t="str">
        <f>IF(C48="","",IF(AND(OR([1]Consulta!$C$29="",A48=[1]Consulta!$C$29),OR([1]Consulta!$E$29="",B48=[1]Consulta!$E$29),OR([1]Consulta!$G$29="",D48=[1]Consulta!$G$29,R48=[1]Consulta!$G$29)),ROW()-1,""))</f>
        <v/>
      </c>
    </row>
    <row r="49" spans="1:42" ht="15" customHeight="1" x14ac:dyDescent="0.25">
      <c r="A49" s="7" t="s">
        <v>40</v>
      </c>
      <c r="B49" s="7" t="s">
        <v>287</v>
      </c>
      <c r="C49" s="7" t="s">
        <v>290</v>
      </c>
      <c r="D49" s="7" t="s">
        <v>287</v>
      </c>
      <c r="E49" s="7" t="s">
        <v>228</v>
      </c>
      <c r="F49" s="7" t="s">
        <v>288</v>
      </c>
      <c r="G49" s="7" t="s">
        <v>217</v>
      </c>
      <c r="H49" s="7">
        <v>49</v>
      </c>
      <c r="I49" s="7" t="s">
        <v>291</v>
      </c>
      <c r="J49" s="7">
        <v>3.28</v>
      </c>
      <c r="K49" s="7">
        <v>-13.7</v>
      </c>
      <c r="L49" s="7">
        <v>-14.9</v>
      </c>
      <c r="M49" s="7">
        <v>135</v>
      </c>
      <c r="N49" s="7" t="s">
        <v>96</v>
      </c>
      <c r="O49" s="7" t="s">
        <v>254</v>
      </c>
      <c r="P49" s="7">
        <v>5</v>
      </c>
      <c r="Q49" s="7">
        <v>12621</v>
      </c>
      <c r="R49" s="7" t="s">
        <v>292</v>
      </c>
      <c r="S49" s="7" t="s">
        <v>228</v>
      </c>
      <c r="T49" s="7" t="s">
        <v>293</v>
      </c>
      <c r="U49" s="7" t="s">
        <v>217</v>
      </c>
      <c r="V49" s="7">
        <v>49</v>
      </c>
      <c r="W49" s="7" t="s">
        <v>291</v>
      </c>
      <c r="X49" s="7">
        <v>2.7</v>
      </c>
      <c r="Y49" s="7">
        <v>-11.9</v>
      </c>
      <c r="Z49" s="7">
        <v>-14.9</v>
      </c>
      <c r="AA49" s="7"/>
      <c r="AB49" s="7" t="s">
        <v>96</v>
      </c>
      <c r="AC49" s="7" t="s">
        <v>254</v>
      </c>
      <c r="AD49" s="7">
        <v>5</v>
      </c>
      <c r="AE49" s="7">
        <v>12621</v>
      </c>
      <c r="AF49" s="7">
        <f t="shared" si="0"/>
        <v>1.2000000000000011</v>
      </c>
      <c r="AG49" s="7" t="str">
        <f t="shared" si="8"/>
        <v>OK</v>
      </c>
      <c r="AH49" s="7">
        <f t="shared" si="1"/>
        <v>3</v>
      </c>
      <c r="AI49" s="7" t="str">
        <f t="shared" si="2"/>
        <v>OK</v>
      </c>
      <c r="AJ49" s="7" t="str">
        <f t="shared" si="3"/>
        <v>CON ERRORES</v>
      </c>
      <c r="AK49" s="7" t="str">
        <f t="shared" si="4"/>
        <v>N/A</v>
      </c>
      <c r="AL49" s="7" t="str">
        <f t="shared" si="5"/>
        <v>REVISAR</v>
      </c>
      <c r="AM49" s="7">
        <f t="shared" si="6"/>
        <v>12621</v>
      </c>
      <c r="AN49" s="8">
        <f>IF(C49="","",COUNTIF($C$2:C49,C49))</f>
        <v>1</v>
      </c>
      <c r="AO49" s="8" t="str">
        <f t="shared" si="7"/>
        <v>Riofrio - Trujillo 100G ANILLO N VALLE CH27|1</v>
      </c>
      <c r="AP49" s="8" t="str">
        <f>IF(C49="","",IF(AND(OR([1]Consulta!$C$29="",A49=[1]Consulta!$C$29),OR([1]Consulta!$E$29="",B49=[1]Consulta!$E$29),OR([1]Consulta!$G$29="",D49=[1]Consulta!$G$29,R49=[1]Consulta!$G$29)),ROW()-1,""))</f>
        <v/>
      </c>
    </row>
    <row r="50" spans="1:42" ht="15" customHeight="1" x14ac:dyDescent="0.25">
      <c r="A50" s="7" t="s">
        <v>294</v>
      </c>
      <c r="B50" s="7" t="s">
        <v>41</v>
      </c>
      <c r="C50" s="7" t="s">
        <v>295</v>
      </c>
      <c r="D50" s="7" t="s">
        <v>43</v>
      </c>
      <c r="E50" s="7" t="s">
        <v>296</v>
      </c>
      <c r="F50" s="7" t="s">
        <v>297</v>
      </c>
      <c r="G50" s="7" t="s">
        <v>46</v>
      </c>
      <c r="H50" s="7" t="s">
        <v>298</v>
      </c>
      <c r="I50" s="7" t="s">
        <v>299</v>
      </c>
      <c r="J50" s="7">
        <v>0.13</v>
      </c>
      <c r="K50" s="7">
        <v>-7.7</v>
      </c>
      <c r="L50" s="7">
        <v>-10.6</v>
      </c>
      <c r="M50" s="7">
        <v>0</v>
      </c>
      <c r="N50" s="7" t="s">
        <v>300</v>
      </c>
      <c r="O50" s="7" t="s">
        <v>301</v>
      </c>
      <c r="P50" s="7">
        <v>10</v>
      </c>
      <c r="Q50" s="7"/>
      <c r="R50" s="7" t="s">
        <v>302</v>
      </c>
      <c r="S50" s="7" t="s">
        <v>296</v>
      </c>
      <c r="T50" s="7" t="s">
        <v>303</v>
      </c>
      <c r="U50" s="7" t="s">
        <v>46</v>
      </c>
      <c r="V50" s="7" t="s">
        <v>298</v>
      </c>
      <c r="W50" s="7" t="s">
        <v>299</v>
      </c>
      <c r="X50" s="7">
        <v>-0.85</v>
      </c>
      <c r="Y50" s="7">
        <v>-9.85</v>
      </c>
      <c r="Z50" s="7">
        <v>-10.6</v>
      </c>
      <c r="AA50" s="7">
        <v>0</v>
      </c>
      <c r="AB50" s="7"/>
      <c r="AC50" s="7"/>
      <c r="AD50" s="7"/>
      <c r="AE50" s="7"/>
      <c r="AF50" s="7">
        <f t="shared" si="0"/>
        <v>2.8999999999999995</v>
      </c>
      <c r="AG50" s="7" t="str">
        <f t="shared" si="8"/>
        <v>OK</v>
      </c>
      <c r="AH50" s="7">
        <f t="shared" si="1"/>
        <v>0.75</v>
      </c>
      <c r="AI50" s="7" t="str">
        <f t="shared" si="2"/>
        <v>OK</v>
      </c>
      <c r="AJ50" s="7" t="str">
        <f t="shared" si="3"/>
        <v>OK</v>
      </c>
      <c r="AK50" s="7" t="str">
        <f t="shared" si="4"/>
        <v>OK</v>
      </c>
      <c r="AL50" s="7" t="str">
        <f t="shared" si="5"/>
        <v>OK</v>
      </c>
      <c r="AM50" s="7" t="str">
        <f t="shared" si="6"/>
        <v>Ver detalle</v>
      </c>
      <c r="AN50" s="8">
        <f>IF(C50="","",COUNTIF($C$2:C50,C50))</f>
        <v>1</v>
      </c>
      <c r="AO50" s="8" t="str">
        <f t="shared" si="7"/>
        <v>Vipasa - Municipal 100G ANILLO CALI|1</v>
      </c>
      <c r="AP50" s="8">
        <f>IF(C50="","",IF(AND(OR([1]Consulta!$C$29="",A50=[1]Consulta!$C$29),OR([1]Consulta!$E$29="",B50=[1]Consulta!$E$29),OR([1]Consulta!$G$29="",D50=[1]Consulta!$G$29,R50=[1]Consulta!$G$29)),ROW()-1,""))</f>
        <v>49</v>
      </c>
    </row>
    <row r="51" spans="1:42" ht="15" customHeight="1" x14ac:dyDescent="0.25">
      <c r="A51" s="7" t="s">
        <v>294</v>
      </c>
      <c r="B51" s="7" t="s">
        <v>41</v>
      </c>
      <c r="C51" s="7" t="s">
        <v>304</v>
      </c>
      <c r="D51" s="7" t="s">
        <v>302</v>
      </c>
      <c r="E51" s="7" t="s">
        <v>296</v>
      </c>
      <c r="F51" s="7" t="s">
        <v>303</v>
      </c>
      <c r="G51" s="7" t="s">
        <v>46</v>
      </c>
      <c r="H51" s="7" t="s">
        <v>305</v>
      </c>
      <c r="I51" s="7" t="s">
        <v>306</v>
      </c>
      <c r="J51" s="7">
        <v>2.4</v>
      </c>
      <c r="K51" s="7">
        <v>-14.89</v>
      </c>
      <c r="L51" s="7">
        <v>-15.41</v>
      </c>
      <c r="M51" s="7">
        <v>261520</v>
      </c>
      <c r="N51" s="7" t="s">
        <v>300</v>
      </c>
      <c r="O51" s="7" t="s">
        <v>307</v>
      </c>
      <c r="P51" s="7">
        <v>5</v>
      </c>
      <c r="Q51" s="7"/>
      <c r="R51" s="7" t="s">
        <v>308</v>
      </c>
      <c r="S51" s="7" t="s">
        <v>296</v>
      </c>
      <c r="T51" s="7" t="s">
        <v>309</v>
      </c>
      <c r="U51" s="7" t="s">
        <v>46</v>
      </c>
      <c r="V51" s="7" t="s">
        <v>305</v>
      </c>
      <c r="W51" s="7" t="s">
        <v>306</v>
      </c>
      <c r="X51" s="7">
        <v>2.1</v>
      </c>
      <c r="Y51" s="7">
        <v>-14.91</v>
      </c>
      <c r="Z51" s="7">
        <v>-15.41</v>
      </c>
      <c r="AA51" s="7">
        <v>6366324</v>
      </c>
      <c r="AB51" s="7" t="s">
        <v>300</v>
      </c>
      <c r="AC51" s="7" t="s">
        <v>310</v>
      </c>
      <c r="AD51" s="7">
        <v>5</v>
      </c>
      <c r="AE51" s="7"/>
      <c r="AF51" s="7">
        <f t="shared" si="0"/>
        <v>0.51999999999999957</v>
      </c>
      <c r="AG51" s="7" t="str">
        <f t="shared" si="8"/>
        <v>OK</v>
      </c>
      <c r="AH51" s="7">
        <f t="shared" si="1"/>
        <v>0.5</v>
      </c>
      <c r="AI51" s="7" t="str">
        <f t="shared" si="2"/>
        <v>OK</v>
      </c>
      <c r="AJ51" s="7" t="str">
        <f t="shared" si="3"/>
        <v>CON ERRORES</v>
      </c>
      <c r="AK51" s="7" t="str">
        <f t="shared" si="4"/>
        <v>CON ERRORES</v>
      </c>
      <c r="AL51" s="7" t="str">
        <f t="shared" si="5"/>
        <v>REVISAR</v>
      </c>
      <c r="AM51" s="7" t="str">
        <f t="shared" si="6"/>
        <v>Ver detalle</v>
      </c>
      <c r="AN51" s="8">
        <f>IF(C51="","",COUNTIF($C$2:C51,C51))</f>
        <v>1</v>
      </c>
      <c r="AO51" s="8" t="str">
        <f t="shared" si="7"/>
        <v>Municipal - Pance 100G ANILLO CALI|1</v>
      </c>
      <c r="AP51" s="8">
        <f>IF(C51="","",IF(AND(OR([1]Consulta!$C$29="",A51=[1]Consulta!$C$29),OR([1]Consulta!$E$29="",B51=[1]Consulta!$E$29),OR([1]Consulta!$G$29="",D51=[1]Consulta!$G$29,R51=[1]Consulta!$G$29)),ROW()-1,""))</f>
        <v>50</v>
      </c>
    </row>
    <row r="52" spans="1:42" ht="15" customHeight="1" x14ac:dyDescent="0.25">
      <c r="A52" s="7" t="s">
        <v>294</v>
      </c>
      <c r="B52" s="7" t="s">
        <v>41</v>
      </c>
      <c r="C52" s="7" t="s">
        <v>311</v>
      </c>
      <c r="D52" s="7" t="s">
        <v>308</v>
      </c>
      <c r="E52" s="7" t="s">
        <v>296</v>
      </c>
      <c r="F52" s="7" t="s">
        <v>309</v>
      </c>
      <c r="G52" s="7" t="s">
        <v>46</v>
      </c>
      <c r="H52" s="7" t="s">
        <v>298</v>
      </c>
      <c r="I52" s="7" t="s">
        <v>299</v>
      </c>
      <c r="J52" s="7">
        <v>-0.4</v>
      </c>
      <c r="K52" s="7">
        <v>-11.61</v>
      </c>
      <c r="L52" s="7">
        <v>1.25</v>
      </c>
      <c r="M52" s="7">
        <v>20829</v>
      </c>
      <c r="N52" s="7" t="s">
        <v>300</v>
      </c>
      <c r="O52" s="7" t="s">
        <v>312</v>
      </c>
      <c r="P52" s="7">
        <v>5</v>
      </c>
      <c r="Q52" s="7"/>
      <c r="R52" s="7" t="s">
        <v>313</v>
      </c>
      <c r="S52" s="7" t="s">
        <v>296</v>
      </c>
      <c r="T52" s="7" t="s">
        <v>314</v>
      </c>
      <c r="U52" s="7" t="s">
        <v>46</v>
      </c>
      <c r="V52" s="7" t="s">
        <v>298</v>
      </c>
      <c r="W52" s="7" t="s">
        <v>299</v>
      </c>
      <c r="X52" s="7">
        <v>1.1499999999999999</v>
      </c>
      <c r="Y52" s="7">
        <v>-11.6</v>
      </c>
      <c r="Z52" s="7">
        <v>-20.2</v>
      </c>
      <c r="AA52" s="7">
        <v>0</v>
      </c>
      <c r="AB52" s="7"/>
      <c r="AC52" s="7"/>
      <c r="AD52" s="7"/>
      <c r="AE52" s="7"/>
      <c r="AF52" s="7">
        <f t="shared" si="0"/>
        <v>-12.86</v>
      </c>
      <c r="AG52" s="7" t="str">
        <f t="shared" si="8"/>
        <v>ALARMA</v>
      </c>
      <c r="AH52" s="7">
        <f t="shared" si="1"/>
        <v>8.6</v>
      </c>
      <c r="AI52" s="7" t="str">
        <f t="shared" si="2"/>
        <v>OK</v>
      </c>
      <c r="AJ52" s="7" t="str">
        <f t="shared" si="3"/>
        <v>CON ERRORES</v>
      </c>
      <c r="AK52" s="7" t="str">
        <f t="shared" si="4"/>
        <v>OK</v>
      </c>
      <c r="AL52" s="7" t="str">
        <f t="shared" si="5"/>
        <v>REVISAR</v>
      </c>
      <c r="AM52" s="7" t="str">
        <f t="shared" si="6"/>
        <v>Ver detalle</v>
      </c>
      <c r="AN52" s="8">
        <f>IF(C52="","",COUNTIF($C$2:C52,C52))</f>
        <v>1</v>
      </c>
      <c r="AO52" s="8" t="str">
        <f t="shared" si="7"/>
        <v>Pance - Melendez 100G ANILLO CALI|1</v>
      </c>
      <c r="AP52" s="8" t="str">
        <f>IF(C52="","",IF(AND(OR([1]Consulta!$C$29="",A52=[1]Consulta!$C$29),OR([1]Consulta!$E$29="",B52=[1]Consulta!$E$29),OR([1]Consulta!$G$29="",D52=[1]Consulta!$G$29,R52=[1]Consulta!$G$29)),ROW()-1,""))</f>
        <v/>
      </c>
    </row>
    <row r="53" spans="1:42" ht="15" customHeight="1" x14ac:dyDescent="0.25">
      <c r="A53" s="7" t="s">
        <v>294</v>
      </c>
      <c r="B53" s="7" t="s">
        <v>41</v>
      </c>
      <c r="C53" s="7" t="s">
        <v>315</v>
      </c>
      <c r="D53" s="7" t="s">
        <v>308</v>
      </c>
      <c r="E53" s="7" t="s">
        <v>296</v>
      </c>
      <c r="F53" s="7" t="s">
        <v>309</v>
      </c>
      <c r="G53" s="7" t="s">
        <v>46</v>
      </c>
      <c r="H53" s="7" t="s">
        <v>316</v>
      </c>
      <c r="I53" s="7" t="s">
        <v>299</v>
      </c>
      <c r="J53" s="7">
        <v>2</v>
      </c>
      <c r="K53" s="7">
        <v>-3.59</v>
      </c>
      <c r="L53" s="7">
        <v>-10.6</v>
      </c>
      <c r="M53" s="7">
        <v>4920</v>
      </c>
      <c r="N53" s="7" t="s">
        <v>300</v>
      </c>
      <c r="O53" s="7"/>
      <c r="P53" s="7"/>
      <c r="Q53" s="7"/>
      <c r="R53" s="7" t="s">
        <v>317</v>
      </c>
      <c r="S53" s="7" t="s">
        <v>296</v>
      </c>
      <c r="T53" s="7" t="s">
        <v>318</v>
      </c>
      <c r="U53" s="7" t="s">
        <v>46</v>
      </c>
      <c r="V53" s="7" t="s">
        <v>316</v>
      </c>
      <c r="W53" s="7" t="s">
        <v>299</v>
      </c>
      <c r="X53" s="7">
        <v>2</v>
      </c>
      <c r="Y53" s="7">
        <v>-11.1</v>
      </c>
      <c r="Z53" s="7">
        <v>-10.6</v>
      </c>
      <c r="AA53" s="7">
        <v>405</v>
      </c>
      <c r="AB53" s="7"/>
      <c r="AC53" s="7"/>
      <c r="AD53" s="7"/>
      <c r="AE53" s="7"/>
      <c r="AF53" s="7">
        <f t="shared" si="0"/>
        <v>7.01</v>
      </c>
      <c r="AG53" s="7" t="str">
        <f t="shared" si="8"/>
        <v>OK</v>
      </c>
      <c r="AH53" s="7">
        <f t="shared" si="1"/>
        <v>-0.5</v>
      </c>
      <c r="AI53" s="7" t="str">
        <f t="shared" si="2"/>
        <v>ALARMA</v>
      </c>
      <c r="AJ53" s="7" t="str">
        <f t="shared" si="3"/>
        <v>CON ERRORES</v>
      </c>
      <c r="AK53" s="7" t="str">
        <f t="shared" si="4"/>
        <v>CON ERRORES</v>
      </c>
      <c r="AL53" s="7" t="str">
        <f t="shared" si="5"/>
        <v>REVISAR</v>
      </c>
      <c r="AM53" s="7" t="str">
        <f t="shared" si="6"/>
        <v>Ver detalle</v>
      </c>
      <c r="AN53" s="8">
        <f>IF(C53="","",COUNTIF($C$2:C53,C53))</f>
        <v>1</v>
      </c>
      <c r="AO53" s="8" t="str">
        <f t="shared" si="7"/>
        <v>Pance - Wave DC (Etix) 100G ANILLO CALI|1</v>
      </c>
      <c r="AP53" s="8" t="str">
        <f>IF(C53="","",IF(AND(OR([1]Consulta!$C$29="",A53=[1]Consulta!$C$29),OR([1]Consulta!$E$29="",B53=[1]Consulta!$E$29),OR([1]Consulta!$G$29="",D53=[1]Consulta!$G$29,R53=[1]Consulta!$G$29)),ROW()-1,""))</f>
        <v/>
      </c>
    </row>
    <row r="54" spans="1:42" ht="15" customHeight="1" x14ac:dyDescent="0.25">
      <c r="A54" s="7" t="s">
        <v>294</v>
      </c>
      <c r="B54" s="7" t="s">
        <v>41</v>
      </c>
      <c r="C54" s="7" t="s">
        <v>319</v>
      </c>
      <c r="D54" s="10" t="s">
        <v>317</v>
      </c>
      <c r="E54" s="7" t="s">
        <v>296</v>
      </c>
      <c r="F54" s="7" t="s">
        <v>318</v>
      </c>
      <c r="G54" s="7" t="s">
        <v>46</v>
      </c>
      <c r="H54" s="7" t="s">
        <v>305</v>
      </c>
      <c r="I54" s="7" t="s">
        <v>306</v>
      </c>
      <c r="J54" s="7">
        <v>0.4</v>
      </c>
      <c r="K54" s="7">
        <v>-12.86</v>
      </c>
      <c r="L54" s="7">
        <v>-20.92</v>
      </c>
      <c r="M54" s="7">
        <v>0</v>
      </c>
      <c r="N54" s="7"/>
      <c r="O54" s="7"/>
      <c r="P54" s="7"/>
      <c r="Q54" s="7"/>
      <c r="R54" s="7" t="s">
        <v>313</v>
      </c>
      <c r="S54" s="7" t="s">
        <v>296</v>
      </c>
      <c r="T54" s="7" t="s">
        <v>314</v>
      </c>
      <c r="U54" s="7" t="s">
        <v>46</v>
      </c>
      <c r="V54" s="7" t="s">
        <v>316</v>
      </c>
      <c r="W54" s="7" t="s">
        <v>306</v>
      </c>
      <c r="X54" s="7">
        <v>0.4</v>
      </c>
      <c r="Y54" s="7">
        <v>-11.99</v>
      </c>
      <c r="Z54" s="7">
        <v>-20.92</v>
      </c>
      <c r="AA54" s="7">
        <v>23</v>
      </c>
      <c r="AB54" s="7"/>
      <c r="AC54" s="7"/>
      <c r="AD54" s="7"/>
      <c r="AE54" s="7"/>
      <c r="AF54" s="7">
        <f t="shared" si="0"/>
        <v>8.0600000000000023</v>
      </c>
      <c r="AG54" s="7" t="str">
        <f t="shared" si="8"/>
        <v>OK</v>
      </c>
      <c r="AH54" s="7">
        <f t="shared" si="1"/>
        <v>8.9300000000000015</v>
      </c>
      <c r="AI54" s="7" t="str">
        <f t="shared" si="2"/>
        <v>OK</v>
      </c>
      <c r="AJ54" s="7" t="str">
        <f t="shared" si="3"/>
        <v>OK</v>
      </c>
      <c r="AK54" s="7" t="str">
        <f t="shared" si="4"/>
        <v>CON ERRORES</v>
      </c>
      <c r="AL54" s="7" t="str">
        <f t="shared" si="5"/>
        <v>REVISAR</v>
      </c>
      <c r="AM54" s="7" t="str">
        <f t="shared" si="6"/>
        <v>Ver detalle</v>
      </c>
      <c r="AN54" s="8">
        <f>IF(C54="","",COUNTIF($C$2:C54,C54))</f>
        <v>1</v>
      </c>
      <c r="AO54" s="8" t="str">
        <f t="shared" si="7"/>
        <v>Wave DC (Etix) - Melendez 100G ANILLO CALI|1</v>
      </c>
      <c r="AP54" s="8" t="str">
        <f>IF(C54="","",IF(AND(OR([1]Consulta!$C$29="",A54=[1]Consulta!$C$29),OR([1]Consulta!$E$29="",B54=[1]Consulta!$E$29),OR([1]Consulta!$G$29="",D54=[1]Consulta!$G$29,R54=[1]Consulta!$G$29)),ROW()-1,""))</f>
        <v/>
      </c>
    </row>
    <row r="55" spans="1:42" ht="15" customHeight="1" x14ac:dyDescent="0.25">
      <c r="A55" s="7" t="s">
        <v>294</v>
      </c>
      <c r="B55" s="7" t="s">
        <v>41</v>
      </c>
      <c r="C55" s="7" t="s">
        <v>320</v>
      </c>
      <c r="D55" s="7" t="s">
        <v>313</v>
      </c>
      <c r="E55" s="7" t="s">
        <v>296</v>
      </c>
      <c r="F55" s="7" t="s">
        <v>314</v>
      </c>
      <c r="G55" s="7" t="s">
        <v>46</v>
      </c>
      <c r="H55" s="7" t="s">
        <v>305</v>
      </c>
      <c r="I55" s="7" t="s">
        <v>321</v>
      </c>
      <c r="J55" s="7">
        <v>0.3</v>
      </c>
      <c r="K55" s="7">
        <v>-14.94</v>
      </c>
      <c r="L55" s="7">
        <v>-20.92</v>
      </c>
      <c r="M55" s="7">
        <v>1083</v>
      </c>
      <c r="N55" s="7"/>
      <c r="O55" s="7" t="s">
        <v>322</v>
      </c>
      <c r="P55" s="7"/>
      <c r="Q55" s="7"/>
      <c r="R55" s="7" t="s">
        <v>323</v>
      </c>
      <c r="S55" s="7" t="s">
        <v>296</v>
      </c>
      <c r="T55" s="7" t="s">
        <v>324</v>
      </c>
      <c r="U55" s="7" t="s">
        <v>46</v>
      </c>
      <c r="V55" s="7" t="s">
        <v>305</v>
      </c>
      <c r="W55" s="7" t="s">
        <v>321</v>
      </c>
      <c r="X55" s="7">
        <v>0.3</v>
      </c>
      <c r="Y55" s="7">
        <v>-14.12</v>
      </c>
      <c r="Z55" s="7">
        <v>-20.92</v>
      </c>
      <c r="AA55" s="7">
        <v>8022</v>
      </c>
      <c r="AB55" s="7"/>
      <c r="AC55" s="7"/>
      <c r="AD55" s="7"/>
      <c r="AE55" s="7"/>
      <c r="AF55" s="7">
        <f t="shared" si="0"/>
        <v>5.9800000000000022</v>
      </c>
      <c r="AG55" s="7" t="str">
        <f t="shared" si="8"/>
        <v>OK</v>
      </c>
      <c r="AH55" s="7">
        <f t="shared" si="1"/>
        <v>6.8000000000000025</v>
      </c>
      <c r="AI55" s="7" t="str">
        <f t="shared" si="2"/>
        <v>OK</v>
      </c>
      <c r="AJ55" s="7" t="str">
        <f t="shared" si="3"/>
        <v>CON ERRORES</v>
      </c>
      <c r="AK55" s="7" t="str">
        <f t="shared" si="4"/>
        <v>CON ERRORES</v>
      </c>
      <c r="AL55" s="7" t="str">
        <f t="shared" si="5"/>
        <v>REVISAR</v>
      </c>
      <c r="AM55" s="7" t="str">
        <f t="shared" si="6"/>
        <v>Ver detalle</v>
      </c>
      <c r="AN55" s="8">
        <f>IF(C55="","",COUNTIF($C$2:C55,C55))</f>
        <v>1</v>
      </c>
      <c r="AO55" s="8" t="str">
        <f t="shared" si="7"/>
        <v>Melendez - Roosevelt 100G ANILLO CALI|1</v>
      </c>
      <c r="AP55" s="8" t="str">
        <f>IF(C55="","",IF(AND(OR([1]Consulta!$C$29="",A55=[1]Consulta!$C$29),OR([1]Consulta!$E$29="",B55=[1]Consulta!$E$29),OR([1]Consulta!$G$29="",D55=[1]Consulta!$G$29,R55=[1]Consulta!$G$29)),ROW()-1,""))</f>
        <v/>
      </c>
    </row>
    <row r="56" spans="1:42" ht="15" customHeight="1" x14ac:dyDescent="0.25">
      <c r="A56" s="7" t="s">
        <v>294</v>
      </c>
      <c r="B56" s="7" t="s">
        <v>41</v>
      </c>
      <c r="C56" s="7" t="s">
        <v>325</v>
      </c>
      <c r="D56" s="7" t="s">
        <v>323</v>
      </c>
      <c r="E56" s="7" t="s">
        <v>296</v>
      </c>
      <c r="F56" s="7" t="s">
        <v>324</v>
      </c>
      <c r="G56" s="7" t="s">
        <v>46</v>
      </c>
      <c r="H56" s="7" t="s">
        <v>298</v>
      </c>
      <c r="I56" s="7" t="s">
        <v>299</v>
      </c>
      <c r="J56" s="7">
        <v>0.2</v>
      </c>
      <c r="K56" s="7">
        <v>-10.47</v>
      </c>
      <c r="L56" s="7">
        <v>-10.6</v>
      </c>
      <c r="M56" s="7">
        <v>31610</v>
      </c>
      <c r="N56" s="7"/>
      <c r="O56" s="7" t="s">
        <v>326</v>
      </c>
      <c r="P56" s="7"/>
      <c r="Q56" s="7"/>
      <c r="R56" s="7" t="s">
        <v>327</v>
      </c>
      <c r="S56" s="7" t="s">
        <v>296</v>
      </c>
      <c r="T56" s="7" t="s">
        <v>328</v>
      </c>
      <c r="U56" s="7" t="s">
        <v>46</v>
      </c>
      <c r="V56" s="7" t="s">
        <v>298</v>
      </c>
      <c r="W56" s="7" t="s">
        <v>299</v>
      </c>
      <c r="X56" s="7">
        <v>0.2</v>
      </c>
      <c r="Y56" s="7">
        <v>-8.91</v>
      </c>
      <c r="Z56" s="7">
        <v>-10.6</v>
      </c>
      <c r="AA56" s="7">
        <v>15954</v>
      </c>
      <c r="AB56" s="7"/>
      <c r="AC56" s="7"/>
      <c r="AD56" s="7"/>
      <c r="AE56" s="7"/>
      <c r="AF56" s="7">
        <f t="shared" si="0"/>
        <v>0.12999999999999901</v>
      </c>
      <c r="AG56" s="7" t="str">
        <f t="shared" si="8"/>
        <v>OK</v>
      </c>
      <c r="AH56" s="7">
        <f t="shared" si="1"/>
        <v>1.6899999999999995</v>
      </c>
      <c r="AI56" s="7" t="str">
        <f t="shared" si="2"/>
        <v>OK</v>
      </c>
      <c r="AJ56" s="7" t="str">
        <f t="shared" si="3"/>
        <v>CON ERRORES</v>
      </c>
      <c r="AK56" s="7" t="str">
        <f t="shared" si="4"/>
        <v>CON ERRORES</v>
      </c>
      <c r="AL56" s="7" t="str">
        <f t="shared" si="5"/>
        <v>REVISAR</v>
      </c>
      <c r="AM56" s="7" t="str">
        <f t="shared" si="6"/>
        <v>Ver detalle</v>
      </c>
      <c r="AN56" s="8">
        <f>IF(C56="","",COUNTIF($C$2:C56,C56))</f>
        <v>1</v>
      </c>
      <c r="AO56" s="8" t="str">
        <f t="shared" si="7"/>
        <v>Roosevelt - Cali Norte 100G ANILLO CALI|1</v>
      </c>
      <c r="AP56" s="8" t="str">
        <f>IF(C56="","",IF(AND(OR([1]Consulta!$C$29="",A56=[1]Consulta!$C$29),OR([1]Consulta!$E$29="",B56=[1]Consulta!$E$29),OR([1]Consulta!$G$29="",D56=[1]Consulta!$G$29,R56=[1]Consulta!$G$29)),ROW()-1,""))</f>
        <v/>
      </c>
    </row>
    <row r="57" spans="1:42" ht="15" customHeight="1" x14ac:dyDescent="0.25">
      <c r="A57" s="7" t="s">
        <v>294</v>
      </c>
      <c r="B57" s="7" t="s">
        <v>41</v>
      </c>
      <c r="C57" s="7" t="s">
        <v>329</v>
      </c>
      <c r="D57" s="7" t="s">
        <v>327</v>
      </c>
      <c r="E57" s="7" t="s">
        <v>296</v>
      </c>
      <c r="F57" s="7" t="s">
        <v>328</v>
      </c>
      <c r="G57" s="7" t="s">
        <v>46</v>
      </c>
      <c r="H57" s="7" t="s">
        <v>305</v>
      </c>
      <c r="I57" s="7" t="s">
        <v>299</v>
      </c>
      <c r="J57" s="7">
        <v>0.4</v>
      </c>
      <c r="K57" s="7">
        <v>-2.9</v>
      </c>
      <c r="L57" s="7">
        <v>-10.6</v>
      </c>
      <c r="M57" s="7">
        <v>0</v>
      </c>
      <c r="N57" s="7"/>
      <c r="O57" s="7"/>
      <c r="P57" s="7"/>
      <c r="Q57" s="7"/>
      <c r="R57" s="7" t="s">
        <v>43</v>
      </c>
      <c r="S57" s="7" t="s">
        <v>330</v>
      </c>
      <c r="T57" s="7" t="s">
        <v>331</v>
      </c>
      <c r="U57" s="7" t="s">
        <v>46</v>
      </c>
      <c r="V57" s="7" t="s">
        <v>332</v>
      </c>
      <c r="W57" s="7" t="s">
        <v>299</v>
      </c>
      <c r="X57" s="7">
        <v>1.7</v>
      </c>
      <c r="Y57" s="7">
        <v>-40.04</v>
      </c>
      <c r="Z57" s="7">
        <v>-19</v>
      </c>
      <c r="AA57" s="7">
        <v>0</v>
      </c>
      <c r="AB57" s="7"/>
      <c r="AC57" s="7"/>
      <c r="AD57" s="7"/>
      <c r="AE57" s="7"/>
      <c r="AF57" s="7">
        <f t="shared" si="0"/>
        <v>7.6999999999999993</v>
      </c>
      <c r="AG57" s="7" t="str">
        <f t="shared" si="8"/>
        <v>OK</v>
      </c>
      <c r="AH57" s="7">
        <f t="shared" si="1"/>
        <v>-21.04</v>
      </c>
      <c r="AI57" s="7" t="str">
        <f t="shared" si="2"/>
        <v>ALARMA</v>
      </c>
      <c r="AJ57" s="7" t="str">
        <f t="shared" si="3"/>
        <v>OK</v>
      </c>
      <c r="AK57" s="7" t="str">
        <f t="shared" si="4"/>
        <v>OK</v>
      </c>
      <c r="AL57" s="7" t="str">
        <f t="shared" si="5"/>
        <v>REVISAR</v>
      </c>
      <c r="AM57" s="7" t="str">
        <f t="shared" si="6"/>
        <v>Ver detalle</v>
      </c>
      <c r="AN57" s="8">
        <f>IF(C57="","",COUNTIF($C$2:C57,C57))</f>
        <v>1</v>
      </c>
      <c r="AO57" s="8" t="str">
        <f t="shared" si="7"/>
        <v>Cali Norte - Vipasa 100G ANILLO CALI|1</v>
      </c>
      <c r="AP57" s="8" t="str">
        <f>IF(C57="","",IF(AND(OR([1]Consulta!$C$29="",A57=[1]Consulta!$C$29),OR([1]Consulta!$E$29="",B57=[1]Consulta!$E$29),OR([1]Consulta!$G$29="",D57=[1]Consulta!$G$29,R57=[1]Consulta!$G$29)),ROW()-1,""))</f>
        <v/>
      </c>
    </row>
    <row r="58" spans="1:42" ht="15" customHeight="1" x14ac:dyDescent="0.25">
      <c r="A58" s="7" t="s">
        <v>294</v>
      </c>
      <c r="B58" s="7" t="s">
        <v>41</v>
      </c>
      <c r="C58" s="7" t="s">
        <v>333</v>
      </c>
      <c r="D58" s="7" t="s">
        <v>43</v>
      </c>
      <c r="E58" s="7" t="s">
        <v>330</v>
      </c>
      <c r="F58" s="7" t="s">
        <v>331</v>
      </c>
      <c r="G58" s="7" t="s">
        <v>217</v>
      </c>
      <c r="H58" s="7" t="s">
        <v>334</v>
      </c>
      <c r="I58" s="7" t="s">
        <v>335</v>
      </c>
      <c r="J58" s="7">
        <v>-2.67</v>
      </c>
      <c r="K58" s="7">
        <v>-7.92</v>
      </c>
      <c r="L58" s="7">
        <v>-14.4</v>
      </c>
      <c r="M58" s="7">
        <v>13513</v>
      </c>
      <c r="N58" s="7" t="s">
        <v>336</v>
      </c>
      <c r="O58" s="7" t="s">
        <v>337</v>
      </c>
      <c r="P58" s="7">
        <v>15</v>
      </c>
      <c r="Q58" s="7"/>
      <c r="R58" s="7" t="s">
        <v>338</v>
      </c>
      <c r="S58" s="7" t="s">
        <v>268</v>
      </c>
      <c r="T58" s="7" t="s">
        <v>268</v>
      </c>
      <c r="U58" s="7" t="s">
        <v>217</v>
      </c>
      <c r="V58" s="7" t="s">
        <v>268</v>
      </c>
      <c r="W58" s="7" t="s">
        <v>268</v>
      </c>
      <c r="X58" s="7" t="s">
        <v>268</v>
      </c>
      <c r="Y58" s="7" t="s">
        <v>268</v>
      </c>
      <c r="Z58" s="7"/>
      <c r="AA58" s="7" t="s">
        <v>339</v>
      </c>
      <c r="AB58" s="7"/>
      <c r="AC58" s="7"/>
      <c r="AD58" s="7"/>
      <c r="AE58" s="7"/>
      <c r="AF58" s="7">
        <f t="shared" si="0"/>
        <v>6.48</v>
      </c>
      <c r="AG58" s="7" t="str">
        <f t="shared" si="8"/>
        <v>OK</v>
      </c>
      <c r="AH58" s="7" t="str">
        <f t="shared" si="1"/>
        <v/>
      </c>
      <c r="AI58" s="7" t="str">
        <f t="shared" si="2"/>
        <v>N/A</v>
      </c>
      <c r="AJ58" s="7" t="str">
        <f t="shared" si="3"/>
        <v>CON ERRORES</v>
      </c>
      <c r="AK58" s="7" t="str">
        <f t="shared" si="4"/>
        <v>N/A</v>
      </c>
      <c r="AL58" s="7" t="str">
        <f t="shared" si="5"/>
        <v>REVISAR</v>
      </c>
      <c r="AM58" s="7" t="str">
        <f t="shared" si="6"/>
        <v>Ver detalle</v>
      </c>
      <c r="AN58" s="8">
        <f>IF(C58="","",COUNTIF($C$2:C58,C58))</f>
        <v>1</v>
      </c>
      <c r="AO58" s="8" t="str">
        <f t="shared" si="7"/>
        <v>Vipasa - PERIFERIAS to IXA|1</v>
      </c>
      <c r="AP58" s="8" t="str">
        <f>IF(C58="","",IF(AND(OR([1]Consulta!$C$29="",A58=[1]Consulta!$C$29),OR([1]Consulta!$E$29="",B58=[1]Consulta!$E$29),OR([1]Consulta!$G$29="",D58=[1]Consulta!$G$29,R58=[1]Consulta!$G$29)),ROW()-1,""))</f>
        <v/>
      </c>
    </row>
    <row r="59" spans="1:42" ht="15" customHeight="1" x14ac:dyDescent="0.25">
      <c r="A59" s="7" t="s">
        <v>294</v>
      </c>
      <c r="B59" s="7" t="s">
        <v>41</v>
      </c>
      <c r="C59" s="7" t="s">
        <v>333</v>
      </c>
      <c r="D59" s="7" t="s">
        <v>43</v>
      </c>
      <c r="E59" s="7" t="s">
        <v>330</v>
      </c>
      <c r="F59" s="7" t="s">
        <v>331</v>
      </c>
      <c r="G59" s="7" t="s">
        <v>217</v>
      </c>
      <c r="H59" s="7" t="s">
        <v>340</v>
      </c>
      <c r="I59" s="7" t="s">
        <v>335</v>
      </c>
      <c r="J59" s="7">
        <v>-2.42</v>
      </c>
      <c r="K59" s="7">
        <v>-13.31</v>
      </c>
      <c r="L59" s="7">
        <v>-14.4</v>
      </c>
      <c r="M59" s="7">
        <v>67</v>
      </c>
      <c r="N59" s="7" t="s">
        <v>336</v>
      </c>
      <c r="O59" s="7" t="s">
        <v>341</v>
      </c>
      <c r="P59" s="7">
        <v>15</v>
      </c>
      <c r="Q59" s="7"/>
      <c r="R59" s="7" t="s">
        <v>338</v>
      </c>
      <c r="S59" s="7" t="s">
        <v>268</v>
      </c>
      <c r="T59" s="7" t="s">
        <v>268</v>
      </c>
      <c r="U59" s="7" t="s">
        <v>217</v>
      </c>
      <c r="V59" s="7" t="s">
        <v>268</v>
      </c>
      <c r="W59" s="7" t="s">
        <v>268</v>
      </c>
      <c r="X59" s="7" t="s">
        <v>268</v>
      </c>
      <c r="Y59" s="7" t="s">
        <v>268</v>
      </c>
      <c r="Z59" s="7"/>
      <c r="AA59" s="7" t="s">
        <v>339</v>
      </c>
      <c r="AB59" s="7"/>
      <c r="AC59" s="7"/>
      <c r="AD59" s="7"/>
      <c r="AE59" s="7"/>
      <c r="AF59" s="7">
        <f t="shared" si="0"/>
        <v>1.0899999999999999</v>
      </c>
      <c r="AG59" s="7" t="str">
        <f t="shared" si="8"/>
        <v>OK</v>
      </c>
      <c r="AH59" s="7" t="str">
        <f t="shared" si="1"/>
        <v/>
      </c>
      <c r="AI59" s="7" t="str">
        <f t="shared" si="2"/>
        <v>N/A</v>
      </c>
      <c r="AJ59" s="7" t="str">
        <f t="shared" si="3"/>
        <v>CON ERRORES</v>
      </c>
      <c r="AK59" s="7" t="str">
        <f t="shared" si="4"/>
        <v>N/A</v>
      </c>
      <c r="AL59" s="7" t="str">
        <f t="shared" si="5"/>
        <v>REVISAR</v>
      </c>
      <c r="AM59" s="7" t="str">
        <f t="shared" si="6"/>
        <v>Ver detalle</v>
      </c>
      <c r="AN59" s="8">
        <f>IF(C59="","",COUNTIF($C$2:C59,C59))</f>
        <v>2</v>
      </c>
      <c r="AO59" s="8" t="str">
        <f t="shared" si="7"/>
        <v>Vipasa - PERIFERIAS to IXA|2</v>
      </c>
      <c r="AP59" s="8" t="str">
        <f>IF(C59="","",IF(AND(OR([1]Consulta!$C$29="",A59=[1]Consulta!$C$29),OR([1]Consulta!$E$29="",B59=[1]Consulta!$E$29),OR([1]Consulta!$G$29="",D59=[1]Consulta!$G$29,R59=[1]Consulta!$G$29)),ROW()-1,""))</f>
        <v/>
      </c>
    </row>
    <row r="60" spans="1:42" ht="15" customHeight="1" x14ac:dyDescent="0.25">
      <c r="A60" s="7" t="s">
        <v>294</v>
      </c>
      <c r="B60" s="7" t="s">
        <v>41</v>
      </c>
      <c r="C60" s="7" t="s">
        <v>342</v>
      </c>
      <c r="D60" s="7" t="s">
        <v>43</v>
      </c>
      <c r="E60" s="7" t="s">
        <v>330</v>
      </c>
      <c r="F60" s="7" t="s">
        <v>331</v>
      </c>
      <c r="G60" s="7" t="s">
        <v>46</v>
      </c>
      <c r="H60" s="7" t="s">
        <v>343</v>
      </c>
      <c r="I60" s="7" t="s">
        <v>344</v>
      </c>
      <c r="J60" s="7">
        <v>4</v>
      </c>
      <c r="K60" s="7">
        <v>-10.199999999999999</v>
      </c>
      <c r="L60" s="7">
        <v>-40</v>
      </c>
      <c r="M60" s="7">
        <v>0</v>
      </c>
      <c r="N60" s="7" t="s">
        <v>300</v>
      </c>
      <c r="O60" s="7"/>
      <c r="P60" s="7"/>
      <c r="Q60" s="7">
        <v>36000</v>
      </c>
      <c r="R60" s="7" t="s">
        <v>323</v>
      </c>
      <c r="S60" s="7" t="s">
        <v>345</v>
      </c>
      <c r="T60" s="7" t="s">
        <v>346</v>
      </c>
      <c r="U60" s="7" t="s">
        <v>46</v>
      </c>
      <c r="V60" s="7" t="s">
        <v>102</v>
      </c>
      <c r="W60" s="7" t="s">
        <v>344</v>
      </c>
      <c r="X60" s="7">
        <v>4</v>
      </c>
      <c r="Y60" s="7">
        <v>-19.100000000000001</v>
      </c>
      <c r="Z60" s="7">
        <v>-40</v>
      </c>
      <c r="AA60" s="7">
        <v>0</v>
      </c>
      <c r="AB60" s="7" t="s">
        <v>300</v>
      </c>
      <c r="AC60" s="7"/>
      <c r="AD60" s="7"/>
      <c r="AE60" s="7"/>
      <c r="AF60" s="7">
        <f t="shared" si="0"/>
        <v>29.8</v>
      </c>
      <c r="AG60" s="7" t="str">
        <f t="shared" si="8"/>
        <v>OK</v>
      </c>
      <c r="AH60" s="7">
        <f t="shared" si="1"/>
        <v>20.9</v>
      </c>
      <c r="AI60" s="7" t="str">
        <f t="shared" si="2"/>
        <v>OK</v>
      </c>
      <c r="AJ60" s="7" t="str">
        <f t="shared" si="3"/>
        <v>OK</v>
      </c>
      <c r="AK60" s="7" t="str">
        <f t="shared" si="4"/>
        <v>OK</v>
      </c>
      <c r="AL60" s="7" t="str">
        <f t="shared" si="5"/>
        <v>OK</v>
      </c>
      <c r="AM60" s="7">
        <f t="shared" si="6"/>
        <v>36000</v>
      </c>
      <c r="AN60" s="8">
        <f>IF(C60="","",COUNTIF($C$2:C60,C60))</f>
        <v>1</v>
      </c>
      <c r="AO60" s="8" t="str">
        <f t="shared" si="7"/>
        <v>Vipasa - Roosevelt (Wave DC (Etix) LadoA)|1</v>
      </c>
      <c r="AP60" s="8" t="str">
        <f>IF(C60="","",IF(AND(OR([1]Consulta!$C$29="",A60=[1]Consulta!$C$29),OR([1]Consulta!$E$29="",B60=[1]Consulta!$E$29),OR([1]Consulta!$G$29="",D60=[1]Consulta!$G$29,R60=[1]Consulta!$G$29)),ROW()-1,""))</f>
        <v/>
      </c>
    </row>
    <row r="61" spans="1:42" ht="15" customHeight="1" x14ac:dyDescent="0.25">
      <c r="A61" s="7" t="s">
        <v>294</v>
      </c>
      <c r="B61" s="7" t="s">
        <v>41</v>
      </c>
      <c r="C61" s="7" t="s">
        <v>347</v>
      </c>
      <c r="D61" s="7" t="s">
        <v>323</v>
      </c>
      <c r="E61" s="7" t="s">
        <v>345</v>
      </c>
      <c r="F61" s="7" t="s">
        <v>346</v>
      </c>
      <c r="G61" s="7" t="s">
        <v>46</v>
      </c>
      <c r="H61" s="7" t="s">
        <v>102</v>
      </c>
      <c r="I61" s="7" t="s">
        <v>344</v>
      </c>
      <c r="J61" s="7">
        <v>4</v>
      </c>
      <c r="K61" s="7">
        <v>-15.3</v>
      </c>
      <c r="L61" s="7">
        <v>-40</v>
      </c>
      <c r="M61" s="7">
        <v>0</v>
      </c>
      <c r="N61" s="7" t="s">
        <v>300</v>
      </c>
      <c r="O61" s="7" t="s">
        <v>348</v>
      </c>
      <c r="P61" s="7"/>
      <c r="Q61" s="7"/>
      <c r="R61" s="7" t="s">
        <v>317</v>
      </c>
      <c r="S61" s="7" t="s">
        <v>345</v>
      </c>
      <c r="T61" s="7" t="s">
        <v>349</v>
      </c>
      <c r="U61" s="7" t="s">
        <v>46</v>
      </c>
      <c r="V61" s="7" t="s">
        <v>93</v>
      </c>
      <c r="W61" s="7" t="s">
        <v>344</v>
      </c>
      <c r="X61" s="7">
        <v>4</v>
      </c>
      <c r="Y61" s="7">
        <v>-15.6</v>
      </c>
      <c r="Z61" s="7">
        <v>-40</v>
      </c>
      <c r="AA61" s="7">
        <v>0</v>
      </c>
      <c r="AB61" s="7" t="s">
        <v>300</v>
      </c>
      <c r="AC61" s="7" t="s">
        <v>350</v>
      </c>
      <c r="AD61" s="7"/>
      <c r="AE61" s="7"/>
      <c r="AF61" s="7">
        <f t="shared" si="0"/>
        <v>24.7</v>
      </c>
      <c r="AG61" s="7" t="str">
        <f t="shared" si="8"/>
        <v>OK</v>
      </c>
      <c r="AH61" s="7">
        <f t="shared" si="1"/>
        <v>24.4</v>
      </c>
      <c r="AI61" s="7" t="str">
        <f t="shared" si="2"/>
        <v>OK</v>
      </c>
      <c r="AJ61" s="7" t="str">
        <f t="shared" si="3"/>
        <v>OK</v>
      </c>
      <c r="AK61" s="7" t="str">
        <f t="shared" si="4"/>
        <v>OK</v>
      </c>
      <c r="AL61" s="7" t="str">
        <f t="shared" si="5"/>
        <v>OK</v>
      </c>
      <c r="AM61" s="7" t="str">
        <f t="shared" si="6"/>
        <v>Ver detalle</v>
      </c>
      <c r="AN61" s="8">
        <f>IF(C61="","",COUNTIF($C$2:C61,C61))</f>
        <v>1</v>
      </c>
      <c r="AO61" s="8" t="str">
        <f t="shared" si="7"/>
        <v>Roosevelt - Wave DC (Etix) Lado A|1</v>
      </c>
      <c r="AP61" s="8" t="str">
        <f>IF(C61="","",IF(AND(OR([1]Consulta!$C$29="",A61=[1]Consulta!$C$29),OR([1]Consulta!$E$29="",B61=[1]Consulta!$E$29),OR([1]Consulta!$G$29="",D61=[1]Consulta!$G$29,R61=[1]Consulta!$G$29)),ROW()-1,""))</f>
        <v/>
      </c>
    </row>
    <row r="62" spans="1:42" ht="15" customHeight="1" x14ac:dyDescent="0.25">
      <c r="A62" s="7" t="s">
        <v>294</v>
      </c>
      <c r="B62" s="7" t="s">
        <v>41</v>
      </c>
      <c r="C62" s="7" t="s">
        <v>351</v>
      </c>
      <c r="D62" s="7" t="s">
        <v>43</v>
      </c>
      <c r="E62" s="7" t="s">
        <v>330</v>
      </c>
      <c r="F62" s="7" t="s">
        <v>331</v>
      </c>
      <c r="G62" s="7" t="s">
        <v>46</v>
      </c>
      <c r="H62" s="7" t="s">
        <v>352</v>
      </c>
      <c r="I62" s="7" t="s">
        <v>344</v>
      </c>
      <c r="J62" s="7">
        <v>4</v>
      </c>
      <c r="K62" s="7">
        <v>-21</v>
      </c>
      <c r="L62" s="7">
        <v>-40</v>
      </c>
      <c r="M62" s="7">
        <v>0</v>
      </c>
      <c r="N62" s="7"/>
      <c r="O62" s="7"/>
      <c r="P62" s="7"/>
      <c r="Q62" s="7">
        <v>15000</v>
      </c>
      <c r="R62" s="7" t="s">
        <v>317</v>
      </c>
      <c r="S62" s="7" t="s">
        <v>345</v>
      </c>
      <c r="T62" s="7" t="s">
        <v>349</v>
      </c>
      <c r="U62" s="7" t="s">
        <v>46</v>
      </c>
      <c r="V62" s="7" t="s">
        <v>102</v>
      </c>
      <c r="W62" s="7" t="s">
        <v>344</v>
      </c>
      <c r="X62" s="7">
        <v>4</v>
      </c>
      <c r="Y62" s="7">
        <v>30.96</v>
      </c>
      <c r="Z62" s="7">
        <v>-40</v>
      </c>
      <c r="AA62" s="7">
        <v>0</v>
      </c>
      <c r="AB62" s="7"/>
      <c r="AC62" s="7"/>
      <c r="AD62" s="7"/>
      <c r="AE62" s="7">
        <v>15000</v>
      </c>
      <c r="AF62" s="7">
        <f t="shared" si="0"/>
        <v>19</v>
      </c>
      <c r="AG62" s="7" t="str">
        <f t="shared" si="8"/>
        <v>OK</v>
      </c>
      <c r="AH62" s="7">
        <f t="shared" si="1"/>
        <v>70.960000000000008</v>
      </c>
      <c r="AI62" s="7" t="str">
        <f t="shared" si="2"/>
        <v>OK</v>
      </c>
      <c r="AJ62" s="7" t="str">
        <f t="shared" si="3"/>
        <v>OK</v>
      </c>
      <c r="AK62" s="7" t="str">
        <f t="shared" si="4"/>
        <v>OK</v>
      </c>
      <c r="AL62" s="7" t="str">
        <f t="shared" si="5"/>
        <v>OK</v>
      </c>
      <c r="AM62" s="7">
        <f t="shared" si="6"/>
        <v>15000</v>
      </c>
      <c r="AN62" s="8">
        <f>IF(C62="","",COUNTIF($C$2:C62,C62))</f>
        <v>1</v>
      </c>
      <c r="AO62" s="8" t="str">
        <f t="shared" si="7"/>
        <v>Vipasa - Wave DC (Etix) Lado B|1</v>
      </c>
      <c r="AP62" s="8" t="str">
        <f>IF(C62="","",IF(AND(OR([1]Consulta!$C$29="",A62=[1]Consulta!$C$29),OR([1]Consulta!$E$29="",B62=[1]Consulta!$E$29),OR([1]Consulta!$G$29="",D62=[1]Consulta!$G$29,R62=[1]Consulta!$G$29)),ROW()-1,""))</f>
        <v/>
      </c>
    </row>
    <row r="63" spans="1:42" ht="15" customHeight="1" x14ac:dyDescent="0.25">
      <c r="A63" s="7" t="s">
        <v>294</v>
      </c>
      <c r="B63" s="7" t="s">
        <v>41</v>
      </c>
      <c r="C63" s="7" t="s">
        <v>353</v>
      </c>
      <c r="D63" s="7" t="s">
        <v>43</v>
      </c>
      <c r="E63" s="7" t="s">
        <v>296</v>
      </c>
      <c r="F63" s="7" t="s">
        <v>297</v>
      </c>
      <c r="G63" s="7" t="s">
        <v>217</v>
      </c>
      <c r="H63" s="7" t="s">
        <v>354</v>
      </c>
      <c r="I63" s="7" t="s">
        <v>355</v>
      </c>
      <c r="J63" s="7">
        <v>2.4</v>
      </c>
      <c r="K63" s="7">
        <v>-16.2</v>
      </c>
      <c r="L63" s="7">
        <v>-15</v>
      </c>
      <c r="M63" s="7">
        <v>34218</v>
      </c>
      <c r="N63" s="7" t="s">
        <v>300</v>
      </c>
      <c r="O63" s="7" t="s">
        <v>356</v>
      </c>
      <c r="P63" s="7">
        <v>10</v>
      </c>
      <c r="Q63" s="7"/>
      <c r="R63" s="7" t="s">
        <v>357</v>
      </c>
      <c r="S63" s="7" t="s">
        <v>211</v>
      </c>
      <c r="T63" s="7" t="s">
        <v>358</v>
      </c>
      <c r="U63" s="7" t="s">
        <v>217</v>
      </c>
      <c r="V63" s="7" t="s">
        <v>359</v>
      </c>
      <c r="W63" s="7" t="s">
        <v>360</v>
      </c>
      <c r="X63" s="7">
        <v>2.2999999999999998</v>
      </c>
      <c r="Y63" s="7">
        <v>-14.7</v>
      </c>
      <c r="Z63" s="7">
        <v>-15</v>
      </c>
      <c r="AA63" s="7">
        <v>0</v>
      </c>
      <c r="AB63" s="7"/>
      <c r="AC63" s="7"/>
      <c r="AD63" s="7"/>
      <c r="AE63" s="7"/>
      <c r="AF63" s="7">
        <f t="shared" si="0"/>
        <v>-1.1999999999999993</v>
      </c>
      <c r="AG63" s="7" t="str">
        <f t="shared" si="8"/>
        <v>ALARMA</v>
      </c>
      <c r="AH63" s="7">
        <f t="shared" si="1"/>
        <v>0.30000000000000071</v>
      </c>
      <c r="AI63" s="7" t="str">
        <f t="shared" si="2"/>
        <v>OK</v>
      </c>
      <c r="AJ63" s="7" t="str">
        <f t="shared" si="3"/>
        <v>CON ERRORES</v>
      </c>
      <c r="AK63" s="7" t="str">
        <f t="shared" si="4"/>
        <v>OK</v>
      </c>
      <c r="AL63" s="7" t="str">
        <f t="shared" si="5"/>
        <v>REVISAR</v>
      </c>
      <c r="AM63" s="7" t="str">
        <f t="shared" si="6"/>
        <v>Ver detalle</v>
      </c>
      <c r="AN63" s="8">
        <f>IF(C63="","",COUNTIF($C$2:C63,C63))</f>
        <v>1</v>
      </c>
      <c r="AO63" s="8" t="str">
        <f t="shared" si="7"/>
        <v>Vipasa - Poblado|1</v>
      </c>
      <c r="AP63" s="8" t="str">
        <f>IF(C63="","",IF(AND(OR([1]Consulta!$C$29="",A63=[1]Consulta!$C$29),OR([1]Consulta!$E$29="",B63=[1]Consulta!$E$29),OR([1]Consulta!$G$29="",D63=[1]Consulta!$G$29,R63=[1]Consulta!$G$29)),ROW()-1,""))</f>
        <v/>
      </c>
    </row>
    <row r="64" spans="1:42" ht="15" customHeight="1" x14ac:dyDescent="0.25">
      <c r="A64" s="7" t="s">
        <v>294</v>
      </c>
      <c r="B64" s="7" t="s">
        <v>41</v>
      </c>
      <c r="C64" s="7" t="s">
        <v>361</v>
      </c>
      <c r="D64" s="7" t="s">
        <v>43</v>
      </c>
      <c r="E64" s="7" t="s">
        <v>296</v>
      </c>
      <c r="F64" s="7" t="s">
        <v>297</v>
      </c>
      <c r="G64" s="7" t="s">
        <v>217</v>
      </c>
      <c r="H64" s="7" t="s">
        <v>362</v>
      </c>
      <c r="I64" s="7" t="s">
        <v>355</v>
      </c>
      <c r="J64" s="7">
        <v>3.19</v>
      </c>
      <c r="K64" s="7">
        <v>-2.82</v>
      </c>
      <c r="L64" s="7">
        <v>-15</v>
      </c>
      <c r="M64" s="7">
        <v>0</v>
      </c>
      <c r="N64" s="7" t="s">
        <v>300</v>
      </c>
      <c r="O64" s="7" t="s">
        <v>363</v>
      </c>
      <c r="P64" s="7">
        <v>10</v>
      </c>
      <c r="Q64" s="7"/>
      <c r="R64" s="7" t="s">
        <v>364</v>
      </c>
      <c r="S64" s="7" t="s">
        <v>228</v>
      </c>
      <c r="T64" s="7" t="s">
        <v>365</v>
      </c>
      <c r="U64" s="7" t="s">
        <v>217</v>
      </c>
      <c r="V64" s="7">
        <v>50</v>
      </c>
      <c r="W64" s="7" t="s">
        <v>366</v>
      </c>
      <c r="X64" s="7">
        <v>3.1</v>
      </c>
      <c r="Y64" s="7">
        <v>-2.4</v>
      </c>
      <c r="Z64" s="7">
        <v>-17.899999999999999</v>
      </c>
      <c r="AA64" s="7">
        <v>927</v>
      </c>
      <c r="AB64" s="7"/>
      <c r="AC64" s="7"/>
      <c r="AD64" s="7"/>
      <c r="AE64" s="7"/>
      <c r="AF64" s="7">
        <f t="shared" si="0"/>
        <v>12.18</v>
      </c>
      <c r="AG64" s="7" t="str">
        <f t="shared" si="8"/>
        <v>OK</v>
      </c>
      <c r="AH64" s="7">
        <f t="shared" si="1"/>
        <v>15.499999999999998</v>
      </c>
      <c r="AI64" s="7" t="str">
        <f t="shared" si="2"/>
        <v>OK</v>
      </c>
      <c r="AJ64" s="7" t="str">
        <f t="shared" si="3"/>
        <v>OK</v>
      </c>
      <c r="AK64" s="7" t="str">
        <f t="shared" si="4"/>
        <v>CON ERRORES</v>
      </c>
      <c r="AL64" s="7" t="str">
        <f t="shared" si="5"/>
        <v>REVISAR</v>
      </c>
      <c r="AM64" s="7" t="str">
        <f t="shared" si="6"/>
        <v>Ver detalle</v>
      </c>
      <c r="AN64" s="8">
        <f>IF(C64="","",COUNTIF($C$2:C64,C64))</f>
        <v>1</v>
      </c>
      <c r="AO64" s="8" t="str">
        <f t="shared" si="7"/>
        <v>Vipasa - Calima|1</v>
      </c>
      <c r="AP64" s="8" t="str">
        <f>IF(C64="","",IF(AND(OR([1]Consulta!$C$29="",A64=[1]Consulta!$C$29),OR([1]Consulta!$E$29="",B64=[1]Consulta!$E$29),OR([1]Consulta!$G$29="",D64=[1]Consulta!$G$29,R64=[1]Consulta!$G$29)),ROW()-1,""))</f>
        <v/>
      </c>
    </row>
    <row r="65" spans="1:42" ht="15" customHeight="1" x14ac:dyDescent="0.25">
      <c r="A65" s="7" t="s">
        <v>294</v>
      </c>
      <c r="B65" s="7" t="s">
        <v>41</v>
      </c>
      <c r="C65" s="7" t="s">
        <v>367</v>
      </c>
      <c r="D65" s="7" t="s">
        <v>302</v>
      </c>
      <c r="E65" s="7" t="s">
        <v>296</v>
      </c>
      <c r="F65" s="7" t="s">
        <v>303</v>
      </c>
      <c r="G65" s="7" t="s">
        <v>217</v>
      </c>
      <c r="H65" s="7" t="s">
        <v>354</v>
      </c>
      <c r="I65" s="7" t="s">
        <v>355</v>
      </c>
      <c r="J65" s="7">
        <v>1.7</v>
      </c>
      <c r="K65" s="7">
        <v>-12.24</v>
      </c>
      <c r="L65" s="7">
        <v>-23.01</v>
      </c>
      <c r="M65" s="7">
        <v>0</v>
      </c>
      <c r="N65" s="7"/>
      <c r="O65" s="7"/>
      <c r="P65" s="7"/>
      <c r="Q65" s="7"/>
      <c r="R65" s="7" t="s">
        <v>357</v>
      </c>
      <c r="S65" s="7" t="s">
        <v>211</v>
      </c>
      <c r="T65" s="7" t="s">
        <v>358</v>
      </c>
      <c r="U65" s="7" t="s">
        <v>217</v>
      </c>
      <c r="V65" s="7" t="s">
        <v>368</v>
      </c>
      <c r="W65" s="7" t="s">
        <v>360</v>
      </c>
      <c r="X65" s="7">
        <v>2.4</v>
      </c>
      <c r="Y65" s="7">
        <v>-11.1</v>
      </c>
      <c r="Z65" s="7">
        <v>-17</v>
      </c>
      <c r="AA65" s="7">
        <v>0</v>
      </c>
      <c r="AB65" s="7"/>
      <c r="AC65" s="7"/>
      <c r="AD65" s="7"/>
      <c r="AE65" s="7"/>
      <c r="AF65" s="7">
        <f t="shared" si="0"/>
        <v>10.770000000000001</v>
      </c>
      <c r="AG65" s="7" t="str">
        <f t="shared" si="8"/>
        <v>OK</v>
      </c>
      <c r="AH65" s="7">
        <f t="shared" si="1"/>
        <v>5.9</v>
      </c>
      <c r="AI65" s="7" t="str">
        <f t="shared" si="2"/>
        <v>OK</v>
      </c>
      <c r="AJ65" s="7" t="str">
        <f t="shared" si="3"/>
        <v>OK</v>
      </c>
      <c r="AK65" s="7" t="str">
        <f t="shared" si="4"/>
        <v>OK</v>
      </c>
      <c r="AL65" s="7" t="str">
        <f t="shared" si="5"/>
        <v>OK</v>
      </c>
      <c r="AM65" s="7" t="str">
        <f t="shared" si="6"/>
        <v>Ver detalle</v>
      </c>
      <c r="AN65" s="8">
        <f>IF(C65="","",COUNTIF($C$2:C65,C65))</f>
        <v>1</v>
      </c>
      <c r="AO65" s="8" t="str">
        <f t="shared" si="7"/>
        <v>Municipal - Poblado|1</v>
      </c>
      <c r="AP65" s="8">
        <f>IF(C65="","",IF(AND(OR([1]Consulta!$C$29="",A65=[1]Consulta!$C$29),OR([1]Consulta!$E$29="",B65=[1]Consulta!$E$29),OR([1]Consulta!$G$29="",D65=[1]Consulta!$G$29,R65=[1]Consulta!$G$29)),ROW()-1,""))</f>
        <v>64</v>
      </c>
    </row>
    <row r="66" spans="1:42" ht="15" customHeight="1" x14ac:dyDescent="0.25">
      <c r="A66" s="7" t="s">
        <v>294</v>
      </c>
      <c r="B66" s="7" t="s">
        <v>41</v>
      </c>
      <c r="C66" s="7" t="s">
        <v>369</v>
      </c>
      <c r="D66" s="7" t="s">
        <v>302</v>
      </c>
      <c r="E66" s="7" t="s">
        <v>296</v>
      </c>
      <c r="F66" s="7" t="s">
        <v>303</v>
      </c>
      <c r="G66" s="7" t="s">
        <v>217</v>
      </c>
      <c r="H66" s="7" t="s">
        <v>362</v>
      </c>
      <c r="I66" s="7" t="s">
        <v>355</v>
      </c>
      <c r="J66" s="7">
        <v>3.09</v>
      </c>
      <c r="K66" s="7">
        <v>-6.04</v>
      </c>
      <c r="L66" s="7">
        <v>-23.01</v>
      </c>
      <c r="M66" s="7">
        <v>0</v>
      </c>
      <c r="N66" s="7"/>
      <c r="O66" s="7"/>
      <c r="P66" s="7"/>
      <c r="Q66" s="7"/>
      <c r="R66" s="7" t="s">
        <v>364</v>
      </c>
      <c r="S66" s="7" t="s">
        <v>228</v>
      </c>
      <c r="T66" s="7" t="s">
        <v>365</v>
      </c>
      <c r="U66" s="7" t="s">
        <v>217</v>
      </c>
      <c r="V66" s="7">
        <v>52</v>
      </c>
      <c r="W66" s="7" t="s">
        <v>360</v>
      </c>
      <c r="X66" s="7">
        <v>3.9</v>
      </c>
      <c r="Y66" s="7">
        <v>-5.93</v>
      </c>
      <c r="Z66" s="7">
        <v>-15.9</v>
      </c>
      <c r="AA66" s="7">
        <v>0</v>
      </c>
      <c r="AB66" s="7"/>
      <c r="AC66" s="7"/>
      <c r="AD66" s="7"/>
      <c r="AE66" s="7"/>
      <c r="AF66" s="7">
        <f t="shared" ref="AF66:AF129" si="9">IF(C66="","",IF(AND(ISNUMBER(K66),ISNUMBER(L66)),K66-L66,""))</f>
        <v>16.970000000000002</v>
      </c>
      <c r="AG66" s="7" t="str">
        <f t="shared" si="8"/>
        <v>OK</v>
      </c>
      <c r="AH66" s="7">
        <f t="shared" ref="AH66:AH129" si="10">IF(C66="","",IF(AND(ISNUMBER(Y66),ISNUMBER(Z66)),Y66-Z66,""))</f>
        <v>9.9700000000000006</v>
      </c>
      <c r="AI66" s="7" t="str">
        <f t="shared" ref="AI66:AI129" si="11">IF(C66="","",IF(AH66="","N/A",IF(AH66&lt;0,"ALARMA","OK")))</f>
        <v>OK</v>
      </c>
      <c r="AJ66" s="7" t="str">
        <f t="shared" ref="AJ66:AJ129" si="12">IF(C66="","",IF(ISNUMBER(M66),IF(M66&gt;0,"CON ERRORES","OK"),"N/A"))</f>
        <v>OK</v>
      </c>
      <c r="AK66" s="7" t="str">
        <f t="shared" ref="AK66:AK129" si="13">IF(C66="","",IF(ISNUMBER(AA66),IF(AA66&gt;0,"CON ERRORES","OK"),"N/A"))</f>
        <v>OK</v>
      </c>
      <c r="AL66" s="7" t="str">
        <f t="shared" ref="AL66:AL129" si="14">IF(C66="","",IF(OR(AG66="ALARMA",AI66="ALARMA",AJ66="CON ERRORES",AK66="CON ERRORES"),"REVISAR","OK"))</f>
        <v>OK</v>
      </c>
      <c r="AM66" s="7" t="str">
        <f t="shared" ref="AM66:AM129" si="15">IF(C66="","",IF(ISNUMBER(Q66),Q66,IF(ISNUMBER(AE66),AE66,"Ver detalle")))</f>
        <v>Ver detalle</v>
      </c>
      <c r="AN66" s="8">
        <f>IF(C66="","",COUNTIF($C$2:C66,C66))</f>
        <v>1</v>
      </c>
      <c r="AO66" s="8" t="str">
        <f t="shared" ref="AO66:AO129" si="16">IF(C66="","",C66&amp;"|"&amp;AN66)</f>
        <v>Municipal - Calima|1</v>
      </c>
      <c r="AP66" s="8">
        <f>IF(C66="","",IF(AND(OR([1]Consulta!$C$29="",A66=[1]Consulta!$C$29),OR([1]Consulta!$E$29="",B66=[1]Consulta!$E$29),OR([1]Consulta!$G$29="",D66=[1]Consulta!$G$29,R66=[1]Consulta!$G$29)),ROW()-1,""))</f>
        <v>65</v>
      </c>
    </row>
    <row r="67" spans="1:42" ht="15" customHeight="1" x14ac:dyDescent="0.25">
      <c r="A67" s="7" t="s">
        <v>294</v>
      </c>
      <c r="B67" s="7" t="s">
        <v>41</v>
      </c>
      <c r="C67" s="7" t="s">
        <v>370</v>
      </c>
      <c r="D67" s="7" t="s">
        <v>308</v>
      </c>
      <c r="E67" s="7" t="s">
        <v>345</v>
      </c>
      <c r="F67" s="7" t="s">
        <v>371</v>
      </c>
      <c r="G67" s="7" t="s">
        <v>46</v>
      </c>
      <c r="H67" s="7" t="s">
        <v>372</v>
      </c>
      <c r="I67" s="7" t="s">
        <v>373</v>
      </c>
      <c r="J67" s="7">
        <v>1.03</v>
      </c>
      <c r="K67" s="7">
        <v>-11.15</v>
      </c>
      <c r="L67" s="7">
        <v>-23.46</v>
      </c>
      <c r="M67" s="7"/>
      <c r="N67" s="7" t="s">
        <v>300</v>
      </c>
      <c r="O67" s="7" t="s">
        <v>374</v>
      </c>
      <c r="P67" s="7">
        <v>3</v>
      </c>
      <c r="Q67" s="7">
        <v>14584</v>
      </c>
      <c r="R67" s="7" t="s">
        <v>375</v>
      </c>
      <c r="S67" s="7" t="s">
        <v>345</v>
      </c>
      <c r="T67" s="7" t="s">
        <v>376</v>
      </c>
      <c r="U67" s="7" t="s">
        <v>46</v>
      </c>
      <c r="V67" s="7" t="s">
        <v>372</v>
      </c>
      <c r="W67" s="7" t="s">
        <v>373</v>
      </c>
      <c r="X67" s="7">
        <v>1.7</v>
      </c>
      <c r="Y67" s="7">
        <v>-10.220000000000001</v>
      </c>
      <c r="Z67" s="7">
        <v>-23.46</v>
      </c>
      <c r="AA67" s="7"/>
      <c r="AB67" s="7" t="s">
        <v>300</v>
      </c>
      <c r="AC67" s="7" t="s">
        <v>377</v>
      </c>
      <c r="AD67" s="7">
        <v>3</v>
      </c>
      <c r="AE67" s="7">
        <v>14584</v>
      </c>
      <c r="AF67" s="7">
        <f t="shared" si="9"/>
        <v>12.31</v>
      </c>
      <c r="AG67" s="7" t="str">
        <f t="shared" ref="AG67:AG130" si="17">IF(C67="","",IF(AF67="","N/A",IF(AF67&lt;0,"ALARMA","OK")))</f>
        <v>OK</v>
      </c>
      <c r="AH67" s="7">
        <f t="shared" si="10"/>
        <v>13.24</v>
      </c>
      <c r="AI67" s="7" t="str">
        <f t="shared" si="11"/>
        <v>OK</v>
      </c>
      <c r="AJ67" s="7" t="str">
        <f t="shared" si="12"/>
        <v>N/A</v>
      </c>
      <c r="AK67" s="7" t="str">
        <f t="shared" si="13"/>
        <v>N/A</v>
      </c>
      <c r="AL67" s="7" t="str">
        <f t="shared" si="14"/>
        <v>OK</v>
      </c>
      <c r="AM67" s="7">
        <f t="shared" si="15"/>
        <v>14584</v>
      </c>
      <c r="AN67" s="8">
        <f>IF(C67="","",COUNTIF($C$2:C67,C67))</f>
        <v>1</v>
      </c>
      <c r="AO67" s="8" t="str">
        <f t="shared" si="16"/>
        <v>Pance - Jamundi|1</v>
      </c>
      <c r="AP67" s="8" t="str">
        <f>IF(C67="","",IF(AND(OR([1]Consulta!$C$29="",A67=[1]Consulta!$C$29),OR([1]Consulta!$E$29="",B67=[1]Consulta!$E$29),OR([1]Consulta!$G$29="",D67=[1]Consulta!$G$29,R67=[1]Consulta!$G$29)),ROW()-1,""))</f>
        <v/>
      </c>
    </row>
    <row r="68" spans="1:42" ht="15" customHeight="1" x14ac:dyDescent="0.25">
      <c r="A68" s="7" t="s">
        <v>294</v>
      </c>
      <c r="B68" s="7" t="s">
        <v>41</v>
      </c>
      <c r="C68" s="7" t="s">
        <v>370</v>
      </c>
      <c r="D68" s="7" t="s">
        <v>308</v>
      </c>
      <c r="E68" s="7" t="s">
        <v>345</v>
      </c>
      <c r="F68" s="7" t="s">
        <v>371</v>
      </c>
      <c r="G68" s="7" t="s">
        <v>217</v>
      </c>
      <c r="H68" s="7" t="s">
        <v>378</v>
      </c>
      <c r="I68" s="7" t="s">
        <v>280</v>
      </c>
      <c r="J68" s="7">
        <v>3.28</v>
      </c>
      <c r="K68" s="7">
        <v>-4.0999999999999996</v>
      </c>
      <c r="L68" s="7">
        <v>-16</v>
      </c>
      <c r="M68" s="7"/>
      <c r="N68" s="7" t="s">
        <v>300</v>
      </c>
      <c r="O68" s="7" t="s">
        <v>379</v>
      </c>
      <c r="P68" s="7">
        <v>3</v>
      </c>
      <c r="Q68" s="7">
        <v>14674</v>
      </c>
      <c r="R68" s="7" t="s">
        <v>375</v>
      </c>
      <c r="S68" s="7" t="s">
        <v>345</v>
      </c>
      <c r="T68" s="7" t="s">
        <v>376</v>
      </c>
      <c r="U68" s="7" t="s">
        <v>217</v>
      </c>
      <c r="V68" s="7" t="s">
        <v>380</v>
      </c>
      <c r="W68" s="7" t="s">
        <v>381</v>
      </c>
      <c r="X68" s="7">
        <v>4.03</v>
      </c>
      <c r="Y68" s="7">
        <v>-3.13</v>
      </c>
      <c r="Z68" s="7">
        <v>-16</v>
      </c>
      <c r="AA68" s="7"/>
      <c r="AB68" s="7" t="s">
        <v>300</v>
      </c>
      <c r="AC68" s="7" t="s">
        <v>382</v>
      </c>
      <c r="AD68" s="7">
        <v>3</v>
      </c>
      <c r="AE68" s="7">
        <v>14674</v>
      </c>
      <c r="AF68" s="7">
        <f t="shared" si="9"/>
        <v>11.9</v>
      </c>
      <c r="AG68" s="7" t="str">
        <f t="shared" si="17"/>
        <v>OK</v>
      </c>
      <c r="AH68" s="7">
        <f t="shared" si="10"/>
        <v>12.870000000000001</v>
      </c>
      <c r="AI68" s="7" t="str">
        <f t="shared" si="11"/>
        <v>OK</v>
      </c>
      <c r="AJ68" s="7" t="str">
        <f t="shared" si="12"/>
        <v>N/A</v>
      </c>
      <c r="AK68" s="7" t="str">
        <f t="shared" si="13"/>
        <v>N/A</v>
      </c>
      <c r="AL68" s="7" t="str">
        <f t="shared" si="14"/>
        <v>OK</v>
      </c>
      <c r="AM68" s="7">
        <f t="shared" si="15"/>
        <v>14674</v>
      </c>
      <c r="AN68" s="8">
        <f>IF(C68="","",COUNTIF($C$2:C68,C68))</f>
        <v>2</v>
      </c>
      <c r="AO68" s="8" t="str">
        <f t="shared" si="16"/>
        <v>Pance - Jamundi|2</v>
      </c>
      <c r="AP68" s="8" t="str">
        <f>IF(C68="","",IF(AND(OR([1]Consulta!$C$29="",A68=[1]Consulta!$C$29),OR([1]Consulta!$E$29="",B68=[1]Consulta!$E$29),OR([1]Consulta!$G$29="",D68=[1]Consulta!$G$29,R68=[1]Consulta!$G$29)),ROW()-1,""))</f>
        <v/>
      </c>
    </row>
    <row r="69" spans="1:42" ht="15" customHeight="1" x14ac:dyDescent="0.25">
      <c r="A69" s="7" t="s">
        <v>294</v>
      </c>
      <c r="B69" s="7" t="s">
        <v>41</v>
      </c>
      <c r="C69" s="7" t="s">
        <v>383</v>
      </c>
      <c r="D69" s="7" t="s">
        <v>308</v>
      </c>
      <c r="E69" s="7" t="s">
        <v>345</v>
      </c>
      <c r="F69" s="7" t="s">
        <v>371</v>
      </c>
      <c r="G69" s="7" t="s">
        <v>46</v>
      </c>
      <c r="H69" s="7" t="s">
        <v>384</v>
      </c>
      <c r="I69" s="7" t="s">
        <v>373</v>
      </c>
      <c r="J69" s="7">
        <v>1.7</v>
      </c>
      <c r="K69" s="7">
        <v>-18.3</v>
      </c>
      <c r="L69" s="7">
        <v>-23.46</v>
      </c>
      <c r="M69" s="7"/>
      <c r="N69" s="7" t="s">
        <v>300</v>
      </c>
      <c r="O69" s="7" t="s">
        <v>385</v>
      </c>
      <c r="P69" s="7">
        <v>3</v>
      </c>
      <c r="Q69" s="7">
        <v>25179</v>
      </c>
      <c r="R69" s="7" t="s">
        <v>386</v>
      </c>
      <c r="S69" s="7" t="s">
        <v>387</v>
      </c>
      <c r="T69" s="7" t="s">
        <v>388</v>
      </c>
      <c r="U69" s="7" t="s">
        <v>46</v>
      </c>
      <c r="V69" s="7" t="s">
        <v>102</v>
      </c>
      <c r="W69" s="7" t="s">
        <v>373</v>
      </c>
      <c r="X69" s="7">
        <v>1.7</v>
      </c>
      <c r="Y69" s="7">
        <v>-18.7</v>
      </c>
      <c r="Z69" s="7">
        <v>-23.46</v>
      </c>
      <c r="AA69" s="7"/>
      <c r="AB69" s="7" t="s">
        <v>300</v>
      </c>
      <c r="AC69" s="7" t="s">
        <v>310</v>
      </c>
      <c r="AD69" s="7">
        <v>3</v>
      </c>
      <c r="AE69" s="7">
        <v>25232</v>
      </c>
      <c r="AF69" s="7">
        <f t="shared" si="9"/>
        <v>5.16</v>
      </c>
      <c r="AG69" s="7" t="str">
        <f t="shared" si="17"/>
        <v>OK</v>
      </c>
      <c r="AH69" s="7">
        <f t="shared" si="10"/>
        <v>4.7600000000000016</v>
      </c>
      <c r="AI69" s="7" t="str">
        <f t="shared" si="11"/>
        <v>OK</v>
      </c>
      <c r="AJ69" s="7" t="str">
        <f t="shared" si="12"/>
        <v>N/A</v>
      </c>
      <c r="AK69" s="7" t="str">
        <f t="shared" si="13"/>
        <v>N/A</v>
      </c>
      <c r="AL69" s="7" t="str">
        <f t="shared" si="14"/>
        <v>OK</v>
      </c>
      <c r="AM69" s="7">
        <f t="shared" si="15"/>
        <v>25179</v>
      </c>
      <c r="AN69" s="8">
        <f>IF(C69="","",COUNTIF($C$2:C69,C69))</f>
        <v>1</v>
      </c>
      <c r="AO69" s="8" t="str">
        <f t="shared" si="16"/>
        <v>Pance - Puerto Tejada|1</v>
      </c>
      <c r="AP69" s="8" t="str">
        <f>IF(C69="","",IF(AND(OR([1]Consulta!$C$29="",A69=[1]Consulta!$C$29),OR([1]Consulta!$E$29="",B69=[1]Consulta!$E$29),OR([1]Consulta!$G$29="",D69=[1]Consulta!$G$29,R69=[1]Consulta!$G$29)),ROW()-1,""))</f>
        <v/>
      </c>
    </row>
    <row r="70" spans="1:42" ht="15" customHeight="1" x14ac:dyDescent="0.25">
      <c r="A70" s="7" t="s">
        <v>294</v>
      </c>
      <c r="B70" s="7" t="s">
        <v>386</v>
      </c>
      <c r="C70" s="7" t="s">
        <v>389</v>
      </c>
      <c r="D70" s="7" t="s">
        <v>386</v>
      </c>
      <c r="E70" s="7" t="s">
        <v>98</v>
      </c>
      <c r="F70" s="7" t="s">
        <v>390</v>
      </c>
      <c r="G70" s="7" t="s">
        <v>46</v>
      </c>
      <c r="H70" s="7" t="s">
        <v>372</v>
      </c>
      <c r="I70" s="7" t="s">
        <v>344</v>
      </c>
      <c r="J70" s="7">
        <v>4.0999999999999996</v>
      </c>
      <c r="K70" s="7">
        <v>-19.95</v>
      </c>
      <c r="L70" s="7">
        <v>-30.96</v>
      </c>
      <c r="M70" s="7">
        <v>0</v>
      </c>
      <c r="N70" s="7" t="s">
        <v>300</v>
      </c>
      <c r="O70" s="7" t="s">
        <v>391</v>
      </c>
      <c r="P70" s="7">
        <v>3</v>
      </c>
      <c r="Q70" s="7">
        <v>36932</v>
      </c>
      <c r="R70" s="7" t="s">
        <v>392</v>
      </c>
      <c r="S70" s="7" t="s">
        <v>345</v>
      </c>
      <c r="T70" s="7" t="s">
        <v>346</v>
      </c>
      <c r="U70" s="7" t="s">
        <v>46</v>
      </c>
      <c r="V70" s="7" t="s">
        <v>372</v>
      </c>
      <c r="W70" s="7" t="s">
        <v>344</v>
      </c>
      <c r="X70" s="7">
        <v>4.21</v>
      </c>
      <c r="Y70" s="7">
        <v>-19.7</v>
      </c>
      <c r="Z70" s="7">
        <v>-30.96</v>
      </c>
      <c r="AA70" s="7">
        <v>0</v>
      </c>
      <c r="AB70" s="7" t="s">
        <v>300</v>
      </c>
      <c r="AC70" s="7" t="s">
        <v>393</v>
      </c>
      <c r="AD70" s="7">
        <v>3</v>
      </c>
      <c r="AE70" s="7">
        <v>36934</v>
      </c>
      <c r="AF70" s="7">
        <f t="shared" si="9"/>
        <v>11.010000000000002</v>
      </c>
      <c r="AG70" s="7" t="str">
        <f t="shared" si="17"/>
        <v>OK</v>
      </c>
      <c r="AH70" s="7">
        <f t="shared" si="10"/>
        <v>11.260000000000002</v>
      </c>
      <c r="AI70" s="7" t="str">
        <f t="shared" si="11"/>
        <v>OK</v>
      </c>
      <c r="AJ70" s="7" t="str">
        <f t="shared" si="12"/>
        <v>OK</v>
      </c>
      <c r="AK70" s="7" t="str">
        <f t="shared" si="13"/>
        <v>OK</v>
      </c>
      <c r="AL70" s="7" t="str">
        <f t="shared" si="14"/>
        <v>OK</v>
      </c>
      <c r="AM70" s="7">
        <f t="shared" si="15"/>
        <v>36932</v>
      </c>
      <c r="AN70" s="8">
        <f>IF(C70="","",COUNTIF($C$2:C70,C70))</f>
        <v>1</v>
      </c>
      <c r="AO70" s="8" t="str">
        <f t="shared" si="16"/>
        <v>Puerto Tejada - Santander de Quilichao|1</v>
      </c>
      <c r="AP70" s="8" t="str">
        <f>IF(C70="","",IF(AND(OR([1]Consulta!$C$29="",A70=[1]Consulta!$C$29),OR([1]Consulta!$E$29="",B70=[1]Consulta!$E$29),OR([1]Consulta!$G$29="",D70=[1]Consulta!$G$29,R70=[1]Consulta!$G$29)),ROW()-1,""))</f>
        <v/>
      </c>
    </row>
    <row r="71" spans="1:42" ht="15" customHeight="1" x14ac:dyDescent="0.25">
      <c r="A71" s="7" t="s">
        <v>294</v>
      </c>
      <c r="B71" s="7" t="s">
        <v>386</v>
      </c>
      <c r="C71" s="7" t="s">
        <v>394</v>
      </c>
      <c r="D71" s="7" t="s">
        <v>386</v>
      </c>
      <c r="E71" s="7" t="s">
        <v>98</v>
      </c>
      <c r="F71" s="7" t="s">
        <v>390</v>
      </c>
      <c r="G71" s="7" t="s">
        <v>46</v>
      </c>
      <c r="H71" s="7" t="s">
        <v>93</v>
      </c>
      <c r="I71" s="7" t="s">
        <v>395</v>
      </c>
      <c r="J71" s="7">
        <v>1.3</v>
      </c>
      <c r="K71" s="7">
        <v>-15.3</v>
      </c>
      <c r="L71" s="7">
        <v>-22.51</v>
      </c>
      <c r="M71" s="7">
        <v>0</v>
      </c>
      <c r="N71" s="7" t="s">
        <v>300</v>
      </c>
      <c r="O71" s="7" t="s">
        <v>396</v>
      </c>
      <c r="P71" s="7">
        <v>3</v>
      </c>
      <c r="Q71" s="7">
        <v>30621</v>
      </c>
      <c r="R71" s="7" t="s">
        <v>375</v>
      </c>
      <c r="S71" s="7" t="s">
        <v>345</v>
      </c>
      <c r="T71" s="7" t="s">
        <v>346</v>
      </c>
      <c r="U71" s="7" t="s">
        <v>46</v>
      </c>
      <c r="V71" s="7" t="s">
        <v>93</v>
      </c>
      <c r="W71" s="7" t="s">
        <v>373</v>
      </c>
      <c r="X71" s="7">
        <v>1.3</v>
      </c>
      <c r="Y71" s="7">
        <v>-18.5</v>
      </c>
      <c r="Z71" s="7">
        <v>-23.46</v>
      </c>
      <c r="AA71" s="7">
        <v>0</v>
      </c>
      <c r="AB71" s="7" t="s">
        <v>300</v>
      </c>
      <c r="AC71" s="7" t="s">
        <v>397</v>
      </c>
      <c r="AD71" s="7">
        <v>3</v>
      </c>
      <c r="AE71" s="7">
        <v>30621</v>
      </c>
      <c r="AF71" s="7">
        <f t="shared" si="9"/>
        <v>7.2100000000000009</v>
      </c>
      <c r="AG71" s="7" t="str">
        <f t="shared" si="17"/>
        <v>OK</v>
      </c>
      <c r="AH71" s="7">
        <f t="shared" si="10"/>
        <v>4.9600000000000009</v>
      </c>
      <c r="AI71" s="7" t="str">
        <f t="shared" si="11"/>
        <v>OK</v>
      </c>
      <c r="AJ71" s="7" t="str">
        <f t="shared" si="12"/>
        <v>OK</v>
      </c>
      <c r="AK71" s="7" t="str">
        <f t="shared" si="13"/>
        <v>OK</v>
      </c>
      <c r="AL71" s="7" t="str">
        <f t="shared" si="14"/>
        <v>OK</v>
      </c>
      <c r="AM71" s="7">
        <f t="shared" si="15"/>
        <v>30621</v>
      </c>
      <c r="AN71" s="8">
        <f>IF(C71="","",COUNTIF($C$2:C71,C71))</f>
        <v>1</v>
      </c>
      <c r="AO71" s="8" t="str">
        <f t="shared" si="16"/>
        <v>Puerto Tejada - Jamundi|1</v>
      </c>
      <c r="AP71" s="8" t="str">
        <f>IF(C71="","",IF(AND(OR([1]Consulta!$C$29="",A71=[1]Consulta!$C$29),OR([1]Consulta!$E$29="",B71=[1]Consulta!$E$29),OR([1]Consulta!$G$29="",D71=[1]Consulta!$G$29,R71=[1]Consulta!$G$29)),ROW()-1,""))</f>
        <v/>
      </c>
    </row>
    <row r="72" spans="1:42" ht="15" customHeight="1" x14ac:dyDescent="0.25">
      <c r="A72" s="7" t="s">
        <v>294</v>
      </c>
      <c r="B72" s="7" t="s">
        <v>41</v>
      </c>
      <c r="C72" s="7" t="s">
        <v>398</v>
      </c>
      <c r="D72" s="7" t="s">
        <v>327</v>
      </c>
      <c r="E72" s="7" t="s">
        <v>296</v>
      </c>
      <c r="F72" s="7" t="s">
        <v>328</v>
      </c>
      <c r="G72" s="7" t="s">
        <v>217</v>
      </c>
      <c r="H72" s="7" t="s">
        <v>399</v>
      </c>
      <c r="I72" s="7" t="s">
        <v>400</v>
      </c>
      <c r="J72" s="7">
        <v>-0.2</v>
      </c>
      <c r="K72" s="7">
        <v>-2.86</v>
      </c>
      <c r="L72" s="7">
        <v>-14.5</v>
      </c>
      <c r="M72" s="7">
        <v>0</v>
      </c>
      <c r="N72" s="7" t="s">
        <v>300</v>
      </c>
      <c r="O72" s="7" t="s">
        <v>401</v>
      </c>
      <c r="P72" s="7">
        <v>10</v>
      </c>
      <c r="Q72" s="7"/>
      <c r="R72" s="7" t="s">
        <v>402</v>
      </c>
      <c r="S72" s="7" t="s">
        <v>228</v>
      </c>
      <c r="T72" s="7" t="s">
        <v>403</v>
      </c>
      <c r="U72" s="7" t="s">
        <v>217</v>
      </c>
      <c r="V72" s="7">
        <v>51</v>
      </c>
      <c r="W72" s="7" t="s">
        <v>404</v>
      </c>
      <c r="X72" s="7">
        <v>-0.4</v>
      </c>
      <c r="Y72" s="7">
        <v>-2.35</v>
      </c>
      <c r="Z72" s="7"/>
      <c r="AA72" s="7">
        <v>0</v>
      </c>
      <c r="AB72" s="7"/>
      <c r="AC72" s="7"/>
      <c r="AD72" s="7"/>
      <c r="AE72" s="7"/>
      <c r="AF72" s="7">
        <f t="shared" si="9"/>
        <v>11.64</v>
      </c>
      <c r="AG72" s="7" t="str">
        <f t="shared" si="17"/>
        <v>OK</v>
      </c>
      <c r="AH72" s="7" t="str">
        <f t="shared" si="10"/>
        <v/>
      </c>
      <c r="AI72" s="7" t="str">
        <f t="shared" si="11"/>
        <v>N/A</v>
      </c>
      <c r="AJ72" s="7" t="str">
        <f t="shared" si="12"/>
        <v>OK</v>
      </c>
      <c r="AK72" s="7" t="str">
        <f t="shared" si="13"/>
        <v>OK</v>
      </c>
      <c r="AL72" s="7" t="str">
        <f t="shared" si="14"/>
        <v>OK</v>
      </c>
      <c r="AM72" s="7" t="str">
        <f t="shared" si="15"/>
        <v>Ver detalle</v>
      </c>
      <c r="AN72" s="8">
        <f>IF(C72="","",COUNTIF($C$2:C72,C72))</f>
        <v>1</v>
      </c>
      <c r="AO72" s="8" t="str">
        <f t="shared" si="16"/>
        <v>Cali Norte - Torre de Cali|1</v>
      </c>
      <c r="AP72" s="8" t="str">
        <f>IF(C72="","",IF(AND(OR([1]Consulta!$C$29="",A72=[1]Consulta!$C$29),OR([1]Consulta!$E$29="",B72=[1]Consulta!$E$29),OR([1]Consulta!$G$29="",D72=[1]Consulta!$G$29,R72=[1]Consulta!$G$29)),ROW()-1,""))</f>
        <v/>
      </c>
    </row>
    <row r="73" spans="1:42" ht="15" customHeight="1" x14ac:dyDescent="0.25">
      <c r="A73" s="7" t="s">
        <v>294</v>
      </c>
      <c r="B73" s="7" t="s">
        <v>41</v>
      </c>
      <c r="C73" s="7" t="s">
        <v>405</v>
      </c>
      <c r="D73" s="7" t="s">
        <v>323</v>
      </c>
      <c r="E73" s="7" t="s">
        <v>296</v>
      </c>
      <c r="F73" s="7" t="s">
        <v>324</v>
      </c>
      <c r="G73" s="7" t="s">
        <v>217</v>
      </c>
      <c r="H73" s="7" t="s">
        <v>406</v>
      </c>
      <c r="I73" s="7" t="s">
        <v>400</v>
      </c>
      <c r="J73" s="7">
        <v>0.9</v>
      </c>
      <c r="K73" s="7">
        <v>-11.22</v>
      </c>
      <c r="L73" s="7">
        <v>-14.5</v>
      </c>
      <c r="M73" s="7">
        <v>1951</v>
      </c>
      <c r="N73" s="7" t="s">
        <v>300</v>
      </c>
      <c r="O73" s="7" t="s">
        <v>407</v>
      </c>
      <c r="P73" s="7">
        <v>10</v>
      </c>
      <c r="Q73" s="7"/>
      <c r="R73" s="7" t="s">
        <v>402</v>
      </c>
      <c r="S73" s="7" t="s">
        <v>228</v>
      </c>
      <c r="T73" s="7" t="s">
        <v>403</v>
      </c>
      <c r="U73" s="7" t="s">
        <v>217</v>
      </c>
      <c r="V73" s="7">
        <v>52</v>
      </c>
      <c r="W73" s="7" t="s">
        <v>404</v>
      </c>
      <c r="X73" s="7">
        <v>0.4</v>
      </c>
      <c r="Y73" s="7">
        <v>-12.74</v>
      </c>
      <c r="Z73" s="7"/>
      <c r="AA73" s="7">
        <v>110</v>
      </c>
      <c r="AB73" s="7"/>
      <c r="AC73" s="7"/>
      <c r="AD73" s="7"/>
      <c r="AE73" s="7"/>
      <c r="AF73" s="7">
        <f t="shared" si="9"/>
        <v>3.2799999999999994</v>
      </c>
      <c r="AG73" s="7" t="str">
        <f t="shared" si="17"/>
        <v>OK</v>
      </c>
      <c r="AH73" s="7" t="str">
        <f t="shared" si="10"/>
        <v/>
      </c>
      <c r="AI73" s="7" t="str">
        <f t="shared" si="11"/>
        <v>N/A</v>
      </c>
      <c r="AJ73" s="7" t="str">
        <f t="shared" si="12"/>
        <v>CON ERRORES</v>
      </c>
      <c r="AK73" s="7" t="str">
        <f t="shared" si="13"/>
        <v>CON ERRORES</v>
      </c>
      <c r="AL73" s="7" t="str">
        <f t="shared" si="14"/>
        <v>REVISAR</v>
      </c>
      <c r="AM73" s="7" t="str">
        <f t="shared" si="15"/>
        <v>Ver detalle</v>
      </c>
      <c r="AN73" s="8">
        <f>IF(C73="","",COUNTIF($C$2:C73,C73))</f>
        <v>1</v>
      </c>
      <c r="AO73" s="8" t="str">
        <f t="shared" si="16"/>
        <v>Roosevelt - Torre de Cali|1</v>
      </c>
      <c r="AP73" s="8" t="str">
        <f>IF(C73="","",IF(AND(OR([1]Consulta!$C$29="",A73=[1]Consulta!$C$29),OR([1]Consulta!$E$29="",B73=[1]Consulta!$E$29),OR([1]Consulta!$G$29="",D73=[1]Consulta!$G$29,R73=[1]Consulta!$G$29)),ROW()-1,""))</f>
        <v/>
      </c>
    </row>
    <row r="74" spans="1:42" ht="15" customHeight="1" x14ac:dyDescent="0.25">
      <c r="A74" s="7" t="s">
        <v>294</v>
      </c>
      <c r="B74" s="7" t="s">
        <v>41</v>
      </c>
      <c r="C74" s="7" t="s">
        <v>408</v>
      </c>
      <c r="D74" s="7" t="s">
        <v>43</v>
      </c>
      <c r="E74" s="7" t="s">
        <v>91</v>
      </c>
      <c r="F74" s="7" t="s">
        <v>92</v>
      </c>
      <c r="G74" s="7" t="s">
        <v>46</v>
      </c>
      <c r="H74" s="7" t="s">
        <v>102</v>
      </c>
      <c r="I74" s="7" t="s">
        <v>373</v>
      </c>
      <c r="J74" s="7">
        <v>0.8</v>
      </c>
      <c r="K74" s="7">
        <v>-16.2</v>
      </c>
      <c r="L74" s="7">
        <v>-23.7</v>
      </c>
      <c r="M74" s="7"/>
      <c r="N74" s="7"/>
      <c r="O74" s="7"/>
      <c r="P74" s="7"/>
      <c r="Q74" s="7"/>
      <c r="R74" s="7" t="s">
        <v>409</v>
      </c>
      <c r="S74" s="7" t="s">
        <v>91</v>
      </c>
      <c r="T74" s="7" t="s">
        <v>410</v>
      </c>
      <c r="U74" s="7" t="s">
        <v>46</v>
      </c>
      <c r="V74" s="7" t="s">
        <v>372</v>
      </c>
      <c r="W74" s="7" t="s">
        <v>373</v>
      </c>
      <c r="X74" s="7">
        <v>0.9</v>
      </c>
      <c r="Y74" s="7">
        <v>-11.7</v>
      </c>
      <c r="Z74" s="7">
        <v>-23.3</v>
      </c>
      <c r="AA74" s="7"/>
      <c r="AB74" s="7"/>
      <c r="AC74" s="7"/>
      <c r="AD74" s="7"/>
      <c r="AE74" s="7"/>
      <c r="AF74" s="7">
        <f t="shared" si="9"/>
        <v>7.5</v>
      </c>
      <c r="AG74" s="7" t="str">
        <f t="shared" si="17"/>
        <v>OK</v>
      </c>
      <c r="AH74" s="7">
        <f t="shared" si="10"/>
        <v>11.600000000000001</v>
      </c>
      <c r="AI74" s="7" t="str">
        <f t="shared" si="11"/>
        <v>OK</v>
      </c>
      <c r="AJ74" s="7" t="str">
        <f t="shared" si="12"/>
        <v>N/A</v>
      </c>
      <c r="AK74" s="7" t="str">
        <f t="shared" si="13"/>
        <v>N/A</v>
      </c>
      <c r="AL74" s="7" t="str">
        <f t="shared" si="14"/>
        <v>OK</v>
      </c>
      <c r="AM74" s="7" t="str">
        <f t="shared" si="15"/>
        <v>Ver detalle</v>
      </c>
      <c r="AN74" s="8">
        <f>IF(C74="","",COUNTIF($C$2:C74,C74))</f>
        <v>1</v>
      </c>
      <c r="AO74" s="8" t="str">
        <f t="shared" si="16"/>
        <v>Vipasa - Yumbo|1</v>
      </c>
      <c r="AP74" s="8" t="str">
        <f>IF(C74="","",IF(AND(OR([1]Consulta!$C$29="",A74=[1]Consulta!$C$29),OR([1]Consulta!$E$29="",B74=[1]Consulta!$E$29),OR([1]Consulta!$G$29="",D74=[1]Consulta!$G$29,R74=[1]Consulta!$G$29)),ROW()-1,""))</f>
        <v/>
      </c>
    </row>
    <row r="75" spans="1:42" ht="15" customHeight="1" x14ac:dyDescent="0.25">
      <c r="A75" s="7" t="s">
        <v>294</v>
      </c>
      <c r="B75" s="7" t="s">
        <v>409</v>
      </c>
      <c r="C75" s="7" t="s">
        <v>411</v>
      </c>
      <c r="D75" s="7" t="s">
        <v>412</v>
      </c>
      <c r="E75" s="7" t="s">
        <v>91</v>
      </c>
      <c r="F75" s="7" t="s">
        <v>413</v>
      </c>
      <c r="G75" s="7" t="s">
        <v>46</v>
      </c>
      <c r="H75" s="7" t="s">
        <v>372</v>
      </c>
      <c r="I75" s="7" t="s">
        <v>373</v>
      </c>
      <c r="J75" s="7">
        <v>-2.5</v>
      </c>
      <c r="K75" s="7">
        <v>-2.5</v>
      </c>
      <c r="L75" s="7">
        <v>-23.3</v>
      </c>
      <c r="M75" s="7"/>
      <c r="N75" s="7"/>
      <c r="O75" s="7"/>
      <c r="P75" s="7"/>
      <c r="Q75" s="7"/>
      <c r="R75" s="7" t="s">
        <v>409</v>
      </c>
      <c r="S75" s="7" t="s">
        <v>91</v>
      </c>
      <c r="T75" s="7" t="s">
        <v>410</v>
      </c>
      <c r="U75" s="7" t="s">
        <v>46</v>
      </c>
      <c r="V75" s="7" t="s">
        <v>102</v>
      </c>
      <c r="W75" s="7" t="s">
        <v>373</v>
      </c>
      <c r="X75" s="7">
        <v>0.7</v>
      </c>
      <c r="Y75" s="7">
        <v>-7.5</v>
      </c>
      <c r="Z75" s="7">
        <v>-23.3</v>
      </c>
      <c r="AA75" s="7">
        <v>0</v>
      </c>
      <c r="AB75" s="7"/>
      <c r="AC75" s="7"/>
      <c r="AD75" s="7"/>
      <c r="AE75" s="7"/>
      <c r="AF75" s="7">
        <f t="shared" si="9"/>
        <v>20.8</v>
      </c>
      <c r="AG75" s="7" t="str">
        <f t="shared" si="17"/>
        <v>OK</v>
      </c>
      <c r="AH75" s="7">
        <f t="shared" si="10"/>
        <v>15.8</v>
      </c>
      <c r="AI75" s="7" t="str">
        <f t="shared" si="11"/>
        <v>OK</v>
      </c>
      <c r="AJ75" s="7" t="str">
        <f t="shared" si="12"/>
        <v>N/A</v>
      </c>
      <c r="AK75" s="7" t="str">
        <f t="shared" si="13"/>
        <v>OK</v>
      </c>
      <c r="AL75" s="7" t="str">
        <f t="shared" si="14"/>
        <v>OK</v>
      </c>
      <c r="AM75" s="7" t="str">
        <f t="shared" si="15"/>
        <v>Ver detalle</v>
      </c>
      <c r="AN75" s="8">
        <f>IF(C75="","",COUNTIF($C$2:C75,C75))</f>
        <v>1</v>
      </c>
      <c r="AO75" s="8" t="str">
        <f t="shared" si="16"/>
        <v>Cencar - Yumbo|1</v>
      </c>
      <c r="AP75" s="8" t="str">
        <f>IF(C75="","",IF(AND(OR([1]Consulta!$C$29="",A75=[1]Consulta!$C$29),OR([1]Consulta!$E$29="",B75=[1]Consulta!$E$29),OR([1]Consulta!$G$29="",D75=[1]Consulta!$G$29,R75=[1]Consulta!$G$29)),ROW()-1,""))</f>
        <v/>
      </c>
    </row>
    <row r="76" spans="1:42" ht="15" customHeight="1" x14ac:dyDescent="0.25">
      <c r="A76" s="7" t="s">
        <v>294</v>
      </c>
      <c r="B76" s="7" t="s">
        <v>409</v>
      </c>
      <c r="C76" s="7" t="s">
        <v>414</v>
      </c>
      <c r="D76" s="7" t="s">
        <v>412</v>
      </c>
      <c r="E76" s="7" t="s">
        <v>91</v>
      </c>
      <c r="F76" s="7" t="s">
        <v>413</v>
      </c>
      <c r="G76" s="7" t="s">
        <v>46</v>
      </c>
      <c r="H76" s="7" t="s">
        <v>102</v>
      </c>
      <c r="I76" s="7" t="s">
        <v>373</v>
      </c>
      <c r="J76" s="7">
        <v>0.2</v>
      </c>
      <c r="K76" s="7">
        <v>-4.17</v>
      </c>
      <c r="L76" s="7">
        <v>-23.3</v>
      </c>
      <c r="M76" s="7"/>
      <c r="N76" s="7"/>
      <c r="O76" s="7" t="s">
        <v>415</v>
      </c>
      <c r="P76" s="7">
        <v>10</v>
      </c>
      <c r="Q76" s="7">
        <v>17258</v>
      </c>
      <c r="R76" s="7" t="s">
        <v>43</v>
      </c>
      <c r="S76" s="7" t="s">
        <v>91</v>
      </c>
      <c r="T76" s="7" t="s">
        <v>92</v>
      </c>
      <c r="U76" s="7" t="s">
        <v>46</v>
      </c>
      <c r="V76" s="7" t="s">
        <v>372</v>
      </c>
      <c r="W76" s="7" t="s">
        <v>373</v>
      </c>
      <c r="X76" s="7">
        <v>0.7</v>
      </c>
      <c r="Y76" s="7">
        <v>-12.72</v>
      </c>
      <c r="Z76" s="7">
        <v>-23.3</v>
      </c>
      <c r="AA76" s="7"/>
      <c r="AB76" s="7"/>
      <c r="AC76" s="7" t="s">
        <v>416</v>
      </c>
      <c r="AD76" s="7"/>
      <c r="AE76" s="7"/>
      <c r="AF76" s="7">
        <f t="shared" si="9"/>
        <v>19.130000000000003</v>
      </c>
      <c r="AG76" s="7" t="str">
        <f t="shared" si="17"/>
        <v>OK</v>
      </c>
      <c r="AH76" s="7">
        <f t="shared" si="10"/>
        <v>10.58</v>
      </c>
      <c r="AI76" s="7" t="str">
        <f t="shared" si="11"/>
        <v>OK</v>
      </c>
      <c r="AJ76" s="7" t="str">
        <f t="shared" si="12"/>
        <v>N/A</v>
      </c>
      <c r="AK76" s="7" t="str">
        <f t="shared" si="13"/>
        <v>N/A</v>
      </c>
      <c r="AL76" s="7" t="str">
        <f t="shared" si="14"/>
        <v>OK</v>
      </c>
      <c r="AM76" s="7">
        <f t="shared" si="15"/>
        <v>17258</v>
      </c>
      <c r="AN76" s="8">
        <f>IF(C76="","",COUNTIF($C$2:C76,C76))</f>
        <v>1</v>
      </c>
      <c r="AO76" s="8" t="str">
        <f t="shared" si="16"/>
        <v>Cencar - Vipasa|1</v>
      </c>
      <c r="AP76" s="8" t="str">
        <f>IF(C76="","",IF(AND(OR([1]Consulta!$C$29="",A76=[1]Consulta!$C$29),OR([1]Consulta!$E$29="",B76=[1]Consulta!$E$29),OR([1]Consulta!$G$29="",D76=[1]Consulta!$G$29,R76=[1]Consulta!$G$29)),ROW()-1,""))</f>
        <v/>
      </c>
    </row>
    <row r="77" spans="1:42" ht="15" customHeight="1" x14ac:dyDescent="0.25">
      <c r="A77" s="7" t="s">
        <v>294</v>
      </c>
      <c r="B77" s="7" t="s">
        <v>417</v>
      </c>
      <c r="C77" s="7" t="s">
        <v>418</v>
      </c>
      <c r="D77" s="7" t="s">
        <v>419</v>
      </c>
      <c r="E77" s="7" t="s">
        <v>228</v>
      </c>
      <c r="F77" s="7" t="s">
        <v>420</v>
      </c>
      <c r="G77" s="7" t="s">
        <v>217</v>
      </c>
      <c r="H77" s="7">
        <v>49</v>
      </c>
      <c r="I77" s="7" t="s">
        <v>421</v>
      </c>
      <c r="J77" s="7">
        <v>-2.7</v>
      </c>
      <c r="K77" s="7">
        <v>-2.5</v>
      </c>
      <c r="L77" s="7">
        <v>-13.9</v>
      </c>
      <c r="M77" s="7">
        <v>0</v>
      </c>
      <c r="N77" s="7" t="s">
        <v>300</v>
      </c>
      <c r="O77" s="7" t="s">
        <v>268</v>
      </c>
      <c r="P77" s="7">
        <v>3</v>
      </c>
      <c r="Q77" s="7">
        <v>0</v>
      </c>
      <c r="R77" s="7" t="s">
        <v>338</v>
      </c>
      <c r="S77" s="7" t="s">
        <v>268</v>
      </c>
      <c r="T77" s="7" t="s">
        <v>268</v>
      </c>
      <c r="U77" s="7" t="s">
        <v>217</v>
      </c>
      <c r="V77" s="7" t="s">
        <v>268</v>
      </c>
      <c r="W77" s="7" t="s">
        <v>268</v>
      </c>
      <c r="X77" s="7" t="s">
        <v>268</v>
      </c>
      <c r="Y77" s="7" t="s">
        <v>268</v>
      </c>
      <c r="Z77" s="7"/>
      <c r="AA77" s="7" t="s">
        <v>339</v>
      </c>
      <c r="AB77" s="7" t="s">
        <v>268</v>
      </c>
      <c r="AC77" s="7" t="s">
        <v>268</v>
      </c>
      <c r="AD77" s="7" t="s">
        <v>268</v>
      </c>
      <c r="AE77" s="7">
        <v>0</v>
      </c>
      <c r="AF77" s="7">
        <f t="shared" si="9"/>
        <v>11.4</v>
      </c>
      <c r="AG77" s="7" t="str">
        <f t="shared" si="17"/>
        <v>OK</v>
      </c>
      <c r="AH77" s="7" t="str">
        <f t="shared" si="10"/>
        <v/>
      </c>
      <c r="AI77" s="7" t="str">
        <f t="shared" si="11"/>
        <v>N/A</v>
      </c>
      <c r="AJ77" s="7" t="str">
        <f t="shared" si="12"/>
        <v>OK</v>
      </c>
      <c r="AK77" s="7" t="str">
        <f t="shared" si="13"/>
        <v>N/A</v>
      </c>
      <c r="AL77" s="7" t="str">
        <f t="shared" si="14"/>
        <v>OK</v>
      </c>
      <c r="AM77" s="7">
        <f t="shared" si="15"/>
        <v>0</v>
      </c>
      <c r="AN77" s="8">
        <f>IF(C77="","",COUNTIF($C$2:C77,C77))</f>
        <v>1</v>
      </c>
      <c r="AO77" s="8" t="str">
        <f t="shared" si="16"/>
        <v>Buenvaentura IXA - PERIFERIAS to IXA|1</v>
      </c>
      <c r="AP77" s="8" t="str">
        <f>IF(C77="","",IF(AND(OR([1]Consulta!$C$29="",A77=[1]Consulta!$C$29),OR([1]Consulta!$E$29="",B77=[1]Consulta!$E$29),OR([1]Consulta!$G$29="",D77=[1]Consulta!$G$29,R77=[1]Consulta!$G$29)),ROW()-1,""))</f>
        <v/>
      </c>
    </row>
    <row r="78" spans="1:42" ht="15" customHeight="1" x14ac:dyDescent="0.25">
      <c r="A78" s="7" t="s">
        <v>294</v>
      </c>
      <c r="B78" s="7" t="s">
        <v>417</v>
      </c>
      <c r="C78" s="7" t="s">
        <v>422</v>
      </c>
      <c r="D78" s="7" t="s">
        <v>419</v>
      </c>
      <c r="E78" s="7" t="s">
        <v>228</v>
      </c>
      <c r="F78" s="7" t="s">
        <v>420</v>
      </c>
      <c r="G78" s="7" t="s">
        <v>217</v>
      </c>
      <c r="H78" s="7">
        <v>50</v>
      </c>
      <c r="I78" s="7" t="s">
        <v>238</v>
      </c>
      <c r="J78" s="7">
        <v>2.5</v>
      </c>
      <c r="K78" s="7">
        <v>-14.1</v>
      </c>
      <c r="L78" s="7">
        <v>-17.899999999999999</v>
      </c>
      <c r="M78" s="7">
        <v>10071</v>
      </c>
      <c r="N78" s="7" t="s">
        <v>300</v>
      </c>
      <c r="O78" s="7" t="s">
        <v>423</v>
      </c>
      <c r="P78" s="7">
        <v>3</v>
      </c>
      <c r="Q78" s="7">
        <v>15800</v>
      </c>
      <c r="R78" s="7" t="s">
        <v>424</v>
      </c>
      <c r="S78" s="7" t="s">
        <v>228</v>
      </c>
      <c r="T78" s="7" t="s">
        <v>425</v>
      </c>
      <c r="U78" s="7" t="s">
        <v>217</v>
      </c>
      <c r="V78" s="7">
        <v>50</v>
      </c>
      <c r="W78" s="7" t="s">
        <v>235</v>
      </c>
      <c r="X78" s="7">
        <v>3.4</v>
      </c>
      <c r="Y78" s="7">
        <v>-10.71</v>
      </c>
      <c r="Z78" s="7">
        <v>-17.899999999999999</v>
      </c>
      <c r="AA78" s="7">
        <v>13168</v>
      </c>
      <c r="AB78" s="7" t="s">
        <v>300</v>
      </c>
      <c r="AC78" s="7" t="s">
        <v>426</v>
      </c>
      <c r="AD78" s="7">
        <v>3</v>
      </c>
      <c r="AE78" s="7">
        <v>15800</v>
      </c>
      <c r="AF78" s="7">
        <f t="shared" si="9"/>
        <v>3.7999999999999989</v>
      </c>
      <c r="AG78" s="7" t="str">
        <f t="shared" si="17"/>
        <v>OK</v>
      </c>
      <c r="AH78" s="7">
        <f t="shared" si="10"/>
        <v>7.1899999999999977</v>
      </c>
      <c r="AI78" s="7" t="str">
        <f t="shared" si="11"/>
        <v>OK</v>
      </c>
      <c r="AJ78" s="7" t="str">
        <f t="shared" si="12"/>
        <v>CON ERRORES</v>
      </c>
      <c r="AK78" s="7" t="str">
        <f t="shared" si="13"/>
        <v>CON ERRORES</v>
      </c>
      <c r="AL78" s="7" t="str">
        <f t="shared" si="14"/>
        <v>REVISAR</v>
      </c>
      <c r="AM78" s="7">
        <f t="shared" si="15"/>
        <v>15800</v>
      </c>
      <c r="AN78" s="8">
        <f>IF(C78="","",COUNTIF($C$2:C78,C78))</f>
        <v>1</v>
      </c>
      <c r="AO78" s="8" t="str">
        <f t="shared" si="16"/>
        <v>Buenvaentura IXA - Buenvaentura Exito|1</v>
      </c>
      <c r="AP78" s="8" t="str">
        <f>IF(C78="","",IF(AND(OR([1]Consulta!$C$29="",A78=[1]Consulta!$C$29),OR([1]Consulta!$E$29="",B78=[1]Consulta!$E$29),OR([1]Consulta!$G$29="",D78=[1]Consulta!$G$29,R78=[1]Consulta!$G$29)),ROW()-1,""))</f>
        <v/>
      </c>
    </row>
    <row r="79" spans="1:42" ht="15" customHeight="1" x14ac:dyDescent="0.25">
      <c r="A79" s="7" t="s">
        <v>294</v>
      </c>
      <c r="B79" s="7" t="s">
        <v>417</v>
      </c>
      <c r="C79" s="7" t="s">
        <v>422</v>
      </c>
      <c r="D79" s="7" t="s">
        <v>419</v>
      </c>
      <c r="E79" s="7" t="s">
        <v>228</v>
      </c>
      <c r="F79" s="7" t="s">
        <v>420</v>
      </c>
      <c r="G79" s="7" t="s">
        <v>217</v>
      </c>
      <c r="H79" s="7">
        <v>52</v>
      </c>
      <c r="I79" s="7" t="s">
        <v>238</v>
      </c>
      <c r="J79" s="7">
        <v>2.5</v>
      </c>
      <c r="K79" s="7">
        <v>-13.94</v>
      </c>
      <c r="L79" s="7">
        <v>-17.899999999999999</v>
      </c>
      <c r="M79" s="7">
        <v>30</v>
      </c>
      <c r="N79" s="7" t="s">
        <v>300</v>
      </c>
      <c r="O79" s="7" t="s">
        <v>427</v>
      </c>
      <c r="P79" s="7">
        <v>3</v>
      </c>
      <c r="Q79" s="7">
        <v>14436</v>
      </c>
      <c r="R79" s="7" t="s">
        <v>424</v>
      </c>
      <c r="S79" s="7" t="s">
        <v>228</v>
      </c>
      <c r="T79" s="7" t="s">
        <v>425</v>
      </c>
      <c r="U79" s="7" t="s">
        <v>217</v>
      </c>
      <c r="V79" s="7">
        <v>51</v>
      </c>
      <c r="W79" s="7" t="s">
        <v>235</v>
      </c>
      <c r="X79" s="7">
        <v>3.4</v>
      </c>
      <c r="Y79" s="7">
        <v>-12.62</v>
      </c>
      <c r="Z79" s="7">
        <v>-17.899999999999999</v>
      </c>
      <c r="AA79" s="7">
        <v>263</v>
      </c>
      <c r="AB79" s="7" t="s">
        <v>300</v>
      </c>
      <c r="AC79" s="7" t="s">
        <v>428</v>
      </c>
      <c r="AD79" s="7">
        <v>3</v>
      </c>
      <c r="AE79" s="7">
        <v>14436</v>
      </c>
      <c r="AF79" s="7">
        <f t="shared" si="9"/>
        <v>3.9599999999999991</v>
      </c>
      <c r="AG79" s="7" t="str">
        <f t="shared" si="17"/>
        <v>OK</v>
      </c>
      <c r="AH79" s="7">
        <f t="shared" si="10"/>
        <v>5.2799999999999994</v>
      </c>
      <c r="AI79" s="7" t="str">
        <f t="shared" si="11"/>
        <v>OK</v>
      </c>
      <c r="AJ79" s="7" t="str">
        <f t="shared" si="12"/>
        <v>CON ERRORES</v>
      </c>
      <c r="AK79" s="7" t="str">
        <f t="shared" si="13"/>
        <v>CON ERRORES</v>
      </c>
      <c r="AL79" s="7" t="str">
        <f t="shared" si="14"/>
        <v>REVISAR</v>
      </c>
      <c r="AM79" s="7">
        <f t="shared" si="15"/>
        <v>14436</v>
      </c>
      <c r="AN79" s="8">
        <f>IF(C79="","",COUNTIF($C$2:C79,C79))</f>
        <v>2</v>
      </c>
      <c r="AO79" s="8" t="str">
        <f t="shared" si="16"/>
        <v>Buenvaentura IXA - Buenvaentura Exito|2</v>
      </c>
      <c r="AP79" s="8" t="str">
        <f>IF(C79="","",IF(AND(OR([1]Consulta!$C$29="",A79=[1]Consulta!$C$29),OR([1]Consulta!$E$29="",B79=[1]Consulta!$E$29),OR([1]Consulta!$G$29="",D79=[1]Consulta!$G$29,R79=[1]Consulta!$G$29)),ROW()-1,""))</f>
        <v/>
      </c>
    </row>
    <row r="80" spans="1:42" ht="15" customHeight="1" x14ac:dyDescent="0.25">
      <c r="A80" s="7" t="s">
        <v>294</v>
      </c>
      <c r="B80" s="7" t="s">
        <v>417</v>
      </c>
      <c r="C80" s="7" t="s">
        <v>429</v>
      </c>
      <c r="D80" s="7" t="s">
        <v>430</v>
      </c>
      <c r="E80" s="7" t="s">
        <v>228</v>
      </c>
      <c r="F80" s="7" t="s">
        <v>420</v>
      </c>
      <c r="G80" s="7" t="s">
        <v>217</v>
      </c>
      <c r="H80" s="7">
        <v>51</v>
      </c>
      <c r="I80" s="7" t="s">
        <v>280</v>
      </c>
      <c r="J80" s="7">
        <v>2.9</v>
      </c>
      <c r="K80" s="7">
        <v>0.96</v>
      </c>
      <c r="L80" s="7">
        <v>1.1000000000000001</v>
      </c>
      <c r="M80" s="7">
        <v>1</v>
      </c>
      <c r="N80" s="7" t="s">
        <v>300</v>
      </c>
      <c r="O80" s="7" t="s">
        <v>431</v>
      </c>
      <c r="P80" s="7">
        <v>3</v>
      </c>
      <c r="Q80" s="7">
        <v>86</v>
      </c>
      <c r="R80" s="7" t="s">
        <v>430</v>
      </c>
      <c r="S80" s="7" t="s">
        <v>228</v>
      </c>
      <c r="T80" s="7" t="s">
        <v>432</v>
      </c>
      <c r="U80" s="7" t="s">
        <v>217</v>
      </c>
      <c r="V80" s="7">
        <v>52</v>
      </c>
      <c r="W80" s="7" t="s">
        <v>381</v>
      </c>
      <c r="X80" s="7">
        <v>2.5</v>
      </c>
      <c r="Y80" s="7">
        <v>-2.94</v>
      </c>
      <c r="Z80" s="7">
        <v>1.1000000000000001</v>
      </c>
      <c r="AA80" s="7">
        <v>0</v>
      </c>
      <c r="AB80" s="7" t="s">
        <v>268</v>
      </c>
      <c r="AC80" s="7" t="s">
        <v>268</v>
      </c>
      <c r="AD80" s="7" t="s">
        <v>268</v>
      </c>
      <c r="AE80" s="7">
        <v>0</v>
      </c>
      <c r="AF80" s="7">
        <f t="shared" si="9"/>
        <v>-0.14000000000000012</v>
      </c>
      <c r="AG80" s="7" t="str">
        <f t="shared" si="17"/>
        <v>ALARMA</v>
      </c>
      <c r="AH80" s="7">
        <f t="shared" si="10"/>
        <v>-4.04</v>
      </c>
      <c r="AI80" s="7" t="str">
        <f t="shared" si="11"/>
        <v>ALARMA</v>
      </c>
      <c r="AJ80" s="7" t="str">
        <f t="shared" si="12"/>
        <v>CON ERRORES</v>
      </c>
      <c r="AK80" s="7" t="str">
        <f t="shared" si="13"/>
        <v>OK</v>
      </c>
      <c r="AL80" s="7" t="str">
        <f t="shared" si="14"/>
        <v>REVISAR</v>
      </c>
      <c r="AM80" s="7">
        <f t="shared" si="15"/>
        <v>86</v>
      </c>
      <c r="AN80" s="8">
        <f>IF(C80="","",COUNTIF($C$2:C80,C80))</f>
        <v>1</v>
      </c>
      <c r="AO80" s="8" t="str">
        <f t="shared" si="16"/>
        <v>Buenvaentura IXA - Buenvaentura Pacific|1</v>
      </c>
      <c r="AP80" s="8" t="str">
        <f>IF(C80="","",IF(AND(OR([1]Consulta!$C$29="",A80=[1]Consulta!$C$29),OR([1]Consulta!$E$29="",B80=[1]Consulta!$E$29),OR([1]Consulta!$G$29="",D80=[1]Consulta!$G$29,R80=[1]Consulta!$G$29)),ROW()-1,""))</f>
        <v/>
      </c>
    </row>
    <row r="81" spans="1:42" ht="15" customHeight="1" x14ac:dyDescent="0.25">
      <c r="A81" s="7" t="s">
        <v>294</v>
      </c>
      <c r="B81" s="7" t="s">
        <v>433</v>
      </c>
      <c r="C81" s="7" t="s">
        <v>434</v>
      </c>
      <c r="D81" s="7" t="s">
        <v>433</v>
      </c>
      <c r="E81" s="7" t="s">
        <v>228</v>
      </c>
      <c r="F81" s="7" t="s">
        <v>435</v>
      </c>
      <c r="G81" s="7" t="s">
        <v>217</v>
      </c>
      <c r="H81" s="7">
        <v>51</v>
      </c>
      <c r="I81" s="7" t="s">
        <v>436</v>
      </c>
      <c r="J81" s="7">
        <v>-1.1000000000000001</v>
      </c>
      <c r="K81" s="7">
        <v>-4.8</v>
      </c>
      <c r="L81" s="7"/>
      <c r="M81" s="7">
        <v>0</v>
      </c>
      <c r="N81" s="7" t="s">
        <v>268</v>
      </c>
      <c r="O81" s="7" t="s">
        <v>268</v>
      </c>
      <c r="P81" s="7" t="s">
        <v>268</v>
      </c>
      <c r="Q81" s="7">
        <v>0</v>
      </c>
      <c r="R81" s="7" t="s">
        <v>338</v>
      </c>
      <c r="S81" s="7" t="s">
        <v>268</v>
      </c>
      <c r="T81" s="7" t="s">
        <v>268</v>
      </c>
      <c r="U81" s="7" t="s">
        <v>217</v>
      </c>
      <c r="V81" s="7" t="s">
        <v>268</v>
      </c>
      <c r="W81" s="7" t="s">
        <v>268</v>
      </c>
      <c r="X81" s="7" t="s">
        <v>268</v>
      </c>
      <c r="Y81" s="7" t="s">
        <v>268</v>
      </c>
      <c r="Z81" s="7"/>
      <c r="AA81" s="7" t="s">
        <v>339</v>
      </c>
      <c r="AB81" s="7" t="s">
        <v>268</v>
      </c>
      <c r="AC81" s="7" t="s">
        <v>268</v>
      </c>
      <c r="AD81" s="7" t="s">
        <v>268</v>
      </c>
      <c r="AE81" s="7">
        <v>0</v>
      </c>
      <c r="AF81" s="7" t="str">
        <f t="shared" si="9"/>
        <v/>
      </c>
      <c r="AG81" s="7" t="str">
        <f t="shared" si="17"/>
        <v>N/A</v>
      </c>
      <c r="AH81" s="7" t="str">
        <f t="shared" si="10"/>
        <v/>
      </c>
      <c r="AI81" s="7" t="str">
        <f t="shared" si="11"/>
        <v>N/A</v>
      </c>
      <c r="AJ81" s="7" t="str">
        <f t="shared" si="12"/>
        <v>OK</v>
      </c>
      <c r="AK81" s="7" t="str">
        <f t="shared" si="13"/>
        <v>N/A</v>
      </c>
      <c r="AL81" s="7" t="str">
        <f t="shared" si="14"/>
        <v>OK</v>
      </c>
      <c r="AM81" s="7">
        <f t="shared" si="15"/>
        <v>0</v>
      </c>
      <c r="AN81" s="8">
        <f>IF(C81="","",COUNTIF($C$2:C81,C81))</f>
        <v>1</v>
      </c>
      <c r="AO81" s="8" t="str">
        <f t="shared" si="16"/>
        <v>Pasto - PERIFERIAS to IXA|1</v>
      </c>
      <c r="AP81" s="8" t="str">
        <f>IF(C81="","",IF(AND(OR([1]Consulta!$C$29="",A81=[1]Consulta!$C$29),OR([1]Consulta!$E$29="",B81=[1]Consulta!$E$29),OR([1]Consulta!$G$29="",D81=[1]Consulta!$G$29,R81=[1]Consulta!$G$29)),ROW()-1,""))</f>
        <v/>
      </c>
    </row>
    <row r="82" spans="1:42" ht="15" customHeight="1" x14ac:dyDescent="0.25">
      <c r="A82" s="7" t="s">
        <v>294</v>
      </c>
      <c r="B82" s="7" t="s">
        <v>433</v>
      </c>
      <c r="C82" s="7" t="s">
        <v>434</v>
      </c>
      <c r="D82" s="7" t="s">
        <v>433</v>
      </c>
      <c r="E82" s="7" t="s">
        <v>228</v>
      </c>
      <c r="F82" s="7" t="s">
        <v>435</v>
      </c>
      <c r="G82" s="7" t="s">
        <v>217</v>
      </c>
      <c r="H82" s="7">
        <v>52</v>
      </c>
      <c r="I82" s="7" t="s">
        <v>437</v>
      </c>
      <c r="J82" s="7">
        <v>-3.2</v>
      </c>
      <c r="K82" s="7">
        <v>-3.26</v>
      </c>
      <c r="L82" s="7">
        <v>1</v>
      </c>
      <c r="M82" s="7">
        <v>0</v>
      </c>
      <c r="N82" s="7" t="s">
        <v>268</v>
      </c>
      <c r="O82" s="7" t="s">
        <v>268</v>
      </c>
      <c r="P82" s="7" t="s">
        <v>268</v>
      </c>
      <c r="Q82" s="7">
        <v>0</v>
      </c>
      <c r="R82" s="7" t="s">
        <v>338</v>
      </c>
      <c r="S82" s="7" t="s">
        <v>268</v>
      </c>
      <c r="T82" s="7" t="s">
        <v>268</v>
      </c>
      <c r="U82" s="7" t="s">
        <v>217</v>
      </c>
      <c r="V82" s="7" t="s">
        <v>268</v>
      </c>
      <c r="W82" s="7" t="s">
        <v>268</v>
      </c>
      <c r="X82" s="7" t="s">
        <v>268</v>
      </c>
      <c r="Y82" s="7" t="s">
        <v>268</v>
      </c>
      <c r="Z82" s="7"/>
      <c r="AA82" s="7" t="s">
        <v>339</v>
      </c>
      <c r="AB82" s="7" t="s">
        <v>268</v>
      </c>
      <c r="AC82" s="7" t="s">
        <v>268</v>
      </c>
      <c r="AD82" s="7" t="s">
        <v>268</v>
      </c>
      <c r="AE82" s="7">
        <v>0</v>
      </c>
      <c r="AF82" s="7">
        <f t="shared" si="9"/>
        <v>-4.26</v>
      </c>
      <c r="AG82" s="7" t="str">
        <f t="shared" si="17"/>
        <v>ALARMA</v>
      </c>
      <c r="AH82" s="7" t="str">
        <f t="shared" si="10"/>
        <v/>
      </c>
      <c r="AI82" s="7" t="str">
        <f t="shared" si="11"/>
        <v>N/A</v>
      </c>
      <c r="AJ82" s="7" t="str">
        <f t="shared" si="12"/>
        <v>OK</v>
      </c>
      <c r="AK82" s="7" t="str">
        <f t="shared" si="13"/>
        <v>N/A</v>
      </c>
      <c r="AL82" s="7" t="str">
        <f t="shared" si="14"/>
        <v>REVISAR</v>
      </c>
      <c r="AM82" s="7">
        <f t="shared" si="15"/>
        <v>0</v>
      </c>
      <c r="AN82" s="8">
        <f>IF(C82="","",COUNTIF($C$2:C82,C82))</f>
        <v>2</v>
      </c>
      <c r="AO82" s="8" t="str">
        <f t="shared" si="16"/>
        <v>Pasto - PERIFERIAS to IXA|2</v>
      </c>
      <c r="AP82" s="8" t="str">
        <f>IF(C82="","",IF(AND(OR([1]Consulta!$C$29="",A82=[1]Consulta!$C$29),OR([1]Consulta!$E$29="",B82=[1]Consulta!$E$29),OR([1]Consulta!$G$29="",D82=[1]Consulta!$G$29,R82=[1]Consulta!$G$29)),ROW()-1,""))</f>
        <v/>
      </c>
    </row>
    <row r="83" spans="1:42" ht="15" customHeight="1" x14ac:dyDescent="0.25">
      <c r="A83" s="7" t="s">
        <v>294</v>
      </c>
      <c r="B83" s="7" t="s">
        <v>433</v>
      </c>
      <c r="C83" s="7" t="s">
        <v>438</v>
      </c>
      <c r="D83" s="7" t="s">
        <v>439</v>
      </c>
      <c r="E83" s="7" t="s">
        <v>228</v>
      </c>
      <c r="F83" s="7" t="s">
        <v>435</v>
      </c>
      <c r="G83" s="7" t="s">
        <v>217</v>
      </c>
      <c r="H83" s="7">
        <v>49</v>
      </c>
      <c r="I83" s="7" t="s">
        <v>440</v>
      </c>
      <c r="J83" s="7">
        <v>-1.1000000000000001</v>
      </c>
      <c r="K83" s="7">
        <v>-6.3</v>
      </c>
      <c r="L83" s="7">
        <v>-19.600000000000001</v>
      </c>
      <c r="M83" s="7">
        <v>0</v>
      </c>
      <c r="N83" s="7" t="s">
        <v>300</v>
      </c>
      <c r="O83" s="7" t="s">
        <v>441</v>
      </c>
      <c r="P83" s="7">
        <v>3</v>
      </c>
      <c r="Q83" s="7">
        <v>12448</v>
      </c>
      <c r="R83" s="7" t="s">
        <v>433</v>
      </c>
      <c r="S83" s="7" t="s">
        <v>345</v>
      </c>
      <c r="T83" s="7" t="s">
        <v>442</v>
      </c>
      <c r="U83" s="7" t="s">
        <v>217</v>
      </c>
      <c r="V83" s="7" t="s">
        <v>443</v>
      </c>
      <c r="W83" s="7" t="s">
        <v>444</v>
      </c>
      <c r="X83" s="7">
        <v>-0.5</v>
      </c>
      <c r="Y83" s="7">
        <v>-9.48</v>
      </c>
      <c r="Z83" s="7">
        <v>-20</v>
      </c>
      <c r="AA83" s="7">
        <v>0</v>
      </c>
      <c r="AB83" s="7" t="s">
        <v>300</v>
      </c>
      <c r="AC83" s="7" t="s">
        <v>445</v>
      </c>
      <c r="AD83" s="7">
        <v>3</v>
      </c>
      <c r="AE83" s="7">
        <v>12448</v>
      </c>
      <c r="AF83" s="7">
        <f t="shared" si="9"/>
        <v>13.3</v>
      </c>
      <c r="AG83" s="7" t="str">
        <f t="shared" si="17"/>
        <v>OK</v>
      </c>
      <c r="AH83" s="7">
        <f t="shared" si="10"/>
        <v>10.52</v>
      </c>
      <c r="AI83" s="7" t="str">
        <f t="shared" si="11"/>
        <v>OK</v>
      </c>
      <c r="AJ83" s="7" t="str">
        <f t="shared" si="12"/>
        <v>OK</v>
      </c>
      <c r="AK83" s="7" t="str">
        <f t="shared" si="13"/>
        <v>OK</v>
      </c>
      <c r="AL83" s="7" t="str">
        <f t="shared" si="14"/>
        <v>OK</v>
      </c>
      <c r="AM83" s="7">
        <f t="shared" si="15"/>
        <v>12448</v>
      </c>
      <c r="AN83" s="8">
        <f>IF(C83="","",COUNTIF($C$2:C83,C83))</f>
        <v>1</v>
      </c>
      <c r="AO83" s="8" t="str">
        <f t="shared" si="16"/>
        <v>Pasto IXA - Pasto|1</v>
      </c>
      <c r="AP83" s="8" t="str">
        <f>IF(C83="","",IF(AND(OR([1]Consulta!$C$29="",A83=[1]Consulta!$C$29),OR([1]Consulta!$E$29="",B83=[1]Consulta!$E$29),OR([1]Consulta!$G$29="",D83=[1]Consulta!$G$29,R83=[1]Consulta!$G$29)),ROW()-1,""))</f>
        <v/>
      </c>
    </row>
    <row r="84" spans="1:42" ht="15" customHeight="1" x14ac:dyDescent="0.25">
      <c r="A84" s="7" t="s">
        <v>294</v>
      </c>
      <c r="B84" s="7" t="s">
        <v>433</v>
      </c>
      <c r="C84" s="7" t="s">
        <v>438</v>
      </c>
      <c r="D84" s="7" t="s">
        <v>439</v>
      </c>
      <c r="E84" s="7" t="s">
        <v>228</v>
      </c>
      <c r="F84" s="7" t="s">
        <v>435</v>
      </c>
      <c r="G84" s="7" t="s">
        <v>217</v>
      </c>
      <c r="H84" s="7">
        <v>50</v>
      </c>
      <c r="I84" s="7" t="s">
        <v>446</v>
      </c>
      <c r="J84" s="7">
        <v>-1.4</v>
      </c>
      <c r="K84" s="7">
        <v>-5.18</v>
      </c>
      <c r="L84" s="7">
        <v>-19.899999999999999</v>
      </c>
      <c r="M84" s="7">
        <v>0</v>
      </c>
      <c r="N84" s="7" t="s">
        <v>300</v>
      </c>
      <c r="O84" s="7" t="s">
        <v>441</v>
      </c>
      <c r="P84" s="7">
        <v>3</v>
      </c>
      <c r="Q84" s="7">
        <v>8458</v>
      </c>
      <c r="R84" s="7" t="s">
        <v>433</v>
      </c>
      <c r="S84" s="7" t="s">
        <v>345</v>
      </c>
      <c r="T84" s="7" t="s">
        <v>442</v>
      </c>
      <c r="U84" s="7" t="s">
        <v>217</v>
      </c>
      <c r="V84" s="7" t="s">
        <v>447</v>
      </c>
      <c r="W84" s="7" t="s">
        <v>448</v>
      </c>
      <c r="X84" s="7">
        <v>-0.3</v>
      </c>
      <c r="Y84" s="7">
        <v>-4.7</v>
      </c>
      <c r="Z84" s="7">
        <v>-20</v>
      </c>
      <c r="AA84" s="7">
        <v>0</v>
      </c>
      <c r="AB84" s="7" t="s">
        <v>300</v>
      </c>
      <c r="AC84" s="7" t="s">
        <v>449</v>
      </c>
      <c r="AD84" s="7">
        <v>3</v>
      </c>
      <c r="AE84" s="7">
        <v>8458</v>
      </c>
      <c r="AF84" s="7">
        <f t="shared" si="9"/>
        <v>14.719999999999999</v>
      </c>
      <c r="AG84" s="7" t="str">
        <f t="shared" si="17"/>
        <v>OK</v>
      </c>
      <c r="AH84" s="7">
        <f t="shared" si="10"/>
        <v>15.3</v>
      </c>
      <c r="AI84" s="7" t="str">
        <f t="shared" si="11"/>
        <v>OK</v>
      </c>
      <c r="AJ84" s="7" t="str">
        <f t="shared" si="12"/>
        <v>OK</v>
      </c>
      <c r="AK84" s="7" t="str">
        <f t="shared" si="13"/>
        <v>OK</v>
      </c>
      <c r="AL84" s="7" t="str">
        <f t="shared" si="14"/>
        <v>OK</v>
      </c>
      <c r="AM84" s="7">
        <f t="shared" si="15"/>
        <v>8458</v>
      </c>
      <c r="AN84" s="8">
        <f>IF(C84="","",COUNTIF($C$2:C84,C84))</f>
        <v>2</v>
      </c>
      <c r="AO84" s="8" t="str">
        <f t="shared" si="16"/>
        <v>Pasto IXA - Pasto|2</v>
      </c>
      <c r="AP84" s="8" t="str">
        <f>IF(C84="","",IF(AND(OR([1]Consulta!$C$29="",A84=[1]Consulta!$C$29),OR([1]Consulta!$E$29="",B84=[1]Consulta!$E$29),OR([1]Consulta!$G$29="",D84=[1]Consulta!$G$29,R84=[1]Consulta!$G$29)),ROW()-1,""))</f>
        <v/>
      </c>
    </row>
    <row r="85" spans="1:42" ht="15" customHeight="1" x14ac:dyDescent="0.25">
      <c r="A85" s="7" t="s">
        <v>294</v>
      </c>
      <c r="B85" s="7" t="s">
        <v>433</v>
      </c>
      <c r="C85" s="7" t="s">
        <v>450</v>
      </c>
      <c r="D85" s="7" t="s">
        <v>433</v>
      </c>
      <c r="E85" s="7" t="s">
        <v>345</v>
      </c>
      <c r="F85" s="7" t="s">
        <v>442</v>
      </c>
      <c r="G85" s="7" t="s">
        <v>46</v>
      </c>
      <c r="H85" s="7" t="s">
        <v>451</v>
      </c>
      <c r="I85" s="7" t="s">
        <v>452</v>
      </c>
      <c r="J85" s="7">
        <v>1.83</v>
      </c>
      <c r="K85" s="7">
        <v>-25.85</v>
      </c>
      <c r="L85" s="7">
        <v>-26.98</v>
      </c>
      <c r="M85" s="7">
        <v>7049</v>
      </c>
      <c r="N85" s="7" t="s">
        <v>300</v>
      </c>
      <c r="O85" s="7" t="s">
        <v>453</v>
      </c>
      <c r="P85" s="7">
        <v>3</v>
      </c>
      <c r="Q85" s="7">
        <v>89688</v>
      </c>
      <c r="R85" s="7" t="s">
        <v>454</v>
      </c>
      <c r="S85" s="7" t="s">
        <v>345</v>
      </c>
      <c r="T85" s="7" t="s">
        <v>455</v>
      </c>
      <c r="U85" s="7" t="s">
        <v>46</v>
      </c>
      <c r="V85" s="7" t="s">
        <v>456</v>
      </c>
      <c r="W85" s="7" t="s">
        <v>452</v>
      </c>
      <c r="X85" s="7">
        <v>2.27</v>
      </c>
      <c r="Y85" s="7">
        <v>-26.77</v>
      </c>
      <c r="Z85" s="7">
        <v>-25.85</v>
      </c>
      <c r="AA85" s="7">
        <v>30182</v>
      </c>
      <c r="AB85" s="7" t="s">
        <v>300</v>
      </c>
      <c r="AC85" s="7" t="s">
        <v>457</v>
      </c>
      <c r="AD85" s="7">
        <v>3</v>
      </c>
      <c r="AE85" s="7">
        <v>89688</v>
      </c>
      <c r="AF85" s="7">
        <f t="shared" si="9"/>
        <v>1.129999999999999</v>
      </c>
      <c r="AG85" s="7" t="str">
        <f t="shared" si="17"/>
        <v>OK</v>
      </c>
      <c r="AH85" s="7">
        <f t="shared" si="10"/>
        <v>-0.91999999999999815</v>
      </c>
      <c r="AI85" s="7" t="str">
        <f t="shared" si="11"/>
        <v>ALARMA</v>
      </c>
      <c r="AJ85" s="7" t="str">
        <f t="shared" si="12"/>
        <v>CON ERRORES</v>
      </c>
      <c r="AK85" s="7" t="str">
        <f t="shared" si="13"/>
        <v>CON ERRORES</v>
      </c>
      <c r="AL85" s="7" t="str">
        <f t="shared" si="14"/>
        <v>REVISAR</v>
      </c>
      <c r="AM85" s="7">
        <f t="shared" si="15"/>
        <v>89688</v>
      </c>
      <c r="AN85" s="8">
        <f>IF(C85="","",COUNTIF($C$2:C85,C85))</f>
        <v>1</v>
      </c>
      <c r="AO85" s="8" t="str">
        <f t="shared" si="16"/>
        <v>Pasto - Ipiales|1</v>
      </c>
      <c r="AP85" s="8" t="str">
        <f>IF(C85="","",IF(AND(OR([1]Consulta!$C$29="",A85=[1]Consulta!$C$29),OR([1]Consulta!$E$29="",B85=[1]Consulta!$E$29),OR([1]Consulta!$G$29="",D85=[1]Consulta!$G$29,R85=[1]Consulta!$G$29)),ROW()-1,""))</f>
        <v/>
      </c>
    </row>
    <row r="86" spans="1:42" ht="15" customHeight="1" x14ac:dyDescent="0.25">
      <c r="A86" s="7" t="s">
        <v>294</v>
      </c>
      <c r="B86" s="7" t="s">
        <v>458</v>
      </c>
      <c r="C86" s="7" t="s">
        <v>459</v>
      </c>
      <c r="D86" s="7" t="s">
        <v>460</v>
      </c>
      <c r="E86" s="7" t="s">
        <v>98</v>
      </c>
      <c r="F86" s="7" t="s">
        <v>461</v>
      </c>
      <c r="G86" s="7" t="s">
        <v>217</v>
      </c>
      <c r="H86" s="7" t="s">
        <v>462</v>
      </c>
      <c r="I86" s="7" t="s">
        <v>463</v>
      </c>
      <c r="J86" s="7">
        <v>0.1</v>
      </c>
      <c r="K86" s="7">
        <v>-0.4</v>
      </c>
      <c r="L86" s="7"/>
      <c r="M86" s="7"/>
      <c r="N86" s="7" t="s">
        <v>268</v>
      </c>
      <c r="O86" s="7" t="s">
        <v>268</v>
      </c>
      <c r="P86" s="7" t="s">
        <v>268</v>
      </c>
      <c r="Q86" s="7">
        <v>0</v>
      </c>
      <c r="R86" s="7" t="s">
        <v>338</v>
      </c>
      <c r="S86" s="7" t="s">
        <v>268</v>
      </c>
      <c r="T86" s="7" t="s">
        <v>268</v>
      </c>
      <c r="U86" s="7" t="s">
        <v>217</v>
      </c>
      <c r="V86" s="7" t="s">
        <v>268</v>
      </c>
      <c r="W86" s="7" t="s">
        <v>268</v>
      </c>
      <c r="X86" s="7" t="s">
        <v>268</v>
      </c>
      <c r="Y86" s="7" t="s">
        <v>268</v>
      </c>
      <c r="Z86" s="7"/>
      <c r="AA86" s="7" t="s">
        <v>339</v>
      </c>
      <c r="AB86" s="7" t="s">
        <v>268</v>
      </c>
      <c r="AC86" s="7" t="s">
        <v>268</v>
      </c>
      <c r="AD86" s="7" t="s">
        <v>268</v>
      </c>
      <c r="AE86" s="7">
        <v>0</v>
      </c>
      <c r="AF86" s="7" t="str">
        <f t="shared" si="9"/>
        <v/>
      </c>
      <c r="AG86" s="7" t="str">
        <f t="shared" si="17"/>
        <v>N/A</v>
      </c>
      <c r="AH86" s="7" t="str">
        <f t="shared" si="10"/>
        <v/>
      </c>
      <c r="AI86" s="7" t="str">
        <f t="shared" si="11"/>
        <v>N/A</v>
      </c>
      <c r="AJ86" s="7" t="str">
        <f t="shared" si="12"/>
        <v>N/A</v>
      </c>
      <c r="AK86" s="7" t="str">
        <f t="shared" si="13"/>
        <v>N/A</v>
      </c>
      <c r="AL86" s="7" t="str">
        <f t="shared" si="14"/>
        <v>OK</v>
      </c>
      <c r="AM86" s="7">
        <f t="shared" si="15"/>
        <v>0</v>
      </c>
      <c r="AN86" s="8">
        <f>IF(C86="","",COUNTIF($C$2:C86,C86))</f>
        <v>1</v>
      </c>
      <c r="AO86" s="8" t="str">
        <f t="shared" si="16"/>
        <v>Popayan IXA - PERIFERIAS to IXA|1</v>
      </c>
      <c r="AP86" s="8" t="str">
        <f>IF(C86="","",IF(AND(OR([1]Consulta!$C$29="",A86=[1]Consulta!$C$29),OR([1]Consulta!$E$29="",B86=[1]Consulta!$E$29),OR([1]Consulta!$G$29="",D86=[1]Consulta!$G$29,R86=[1]Consulta!$G$29)),ROW()-1,""))</f>
        <v/>
      </c>
    </row>
    <row r="87" spans="1:42" ht="15" customHeight="1" x14ac:dyDescent="0.25">
      <c r="A87" s="7" t="s">
        <v>294</v>
      </c>
      <c r="B87" s="7" t="s">
        <v>458</v>
      </c>
      <c r="C87" s="7" t="s">
        <v>464</v>
      </c>
      <c r="D87" s="7" t="s">
        <v>460</v>
      </c>
      <c r="E87" s="7" t="s">
        <v>98</v>
      </c>
      <c r="F87" s="7" t="s">
        <v>461</v>
      </c>
      <c r="G87" s="7" t="s">
        <v>46</v>
      </c>
      <c r="H87" s="7" t="s">
        <v>102</v>
      </c>
      <c r="I87" s="7" t="s">
        <v>465</v>
      </c>
      <c r="J87" s="7">
        <v>0.5</v>
      </c>
      <c r="K87" s="7">
        <v>-16.5</v>
      </c>
      <c r="L87" s="7">
        <v>-24</v>
      </c>
      <c r="M87" s="7"/>
      <c r="N87" s="7" t="s">
        <v>300</v>
      </c>
      <c r="O87" s="7" t="s">
        <v>441</v>
      </c>
      <c r="P87" s="7">
        <v>3</v>
      </c>
      <c r="Q87" s="7">
        <v>12700</v>
      </c>
      <c r="R87" s="7" t="s">
        <v>458</v>
      </c>
      <c r="S87" s="7" t="s">
        <v>98</v>
      </c>
      <c r="T87" s="7" t="s">
        <v>466</v>
      </c>
      <c r="U87" s="7" t="s">
        <v>46</v>
      </c>
      <c r="V87" s="7" t="s">
        <v>102</v>
      </c>
      <c r="W87" s="7" t="s">
        <v>465</v>
      </c>
      <c r="X87" s="7">
        <v>0.5</v>
      </c>
      <c r="Y87" s="7">
        <v>-8.9</v>
      </c>
      <c r="Z87" s="7">
        <v>-23.9</v>
      </c>
      <c r="AA87" s="7"/>
      <c r="AB87" s="7" t="s">
        <v>300</v>
      </c>
      <c r="AC87" s="7" t="s">
        <v>467</v>
      </c>
      <c r="AD87" s="7">
        <v>3</v>
      </c>
      <c r="AE87" s="7">
        <v>12700</v>
      </c>
      <c r="AF87" s="7">
        <f t="shared" si="9"/>
        <v>7.5</v>
      </c>
      <c r="AG87" s="7" t="str">
        <f t="shared" si="17"/>
        <v>OK</v>
      </c>
      <c r="AH87" s="7">
        <f t="shared" si="10"/>
        <v>14.999999999999998</v>
      </c>
      <c r="AI87" s="7" t="str">
        <f t="shared" si="11"/>
        <v>OK</v>
      </c>
      <c r="AJ87" s="7" t="str">
        <f t="shared" si="12"/>
        <v>N/A</v>
      </c>
      <c r="AK87" s="7" t="str">
        <f t="shared" si="13"/>
        <v>N/A</v>
      </c>
      <c r="AL87" s="7" t="str">
        <f t="shared" si="14"/>
        <v>OK</v>
      </c>
      <c r="AM87" s="7">
        <f t="shared" si="15"/>
        <v>12700</v>
      </c>
      <c r="AN87" s="8">
        <f>IF(C87="","",COUNTIF($C$2:C87,C87))</f>
        <v>1</v>
      </c>
      <c r="AO87" s="8" t="str">
        <f t="shared" si="16"/>
        <v>Popayan IXA - Popayan|1</v>
      </c>
      <c r="AP87" s="8" t="str">
        <f>IF(C87="","",IF(AND(OR([1]Consulta!$C$29="",A87=[1]Consulta!$C$29),OR([1]Consulta!$E$29="",B87=[1]Consulta!$E$29),OR([1]Consulta!$G$29="",D87=[1]Consulta!$G$29,R87=[1]Consulta!$G$29)),ROW()-1,""))</f>
        <v/>
      </c>
    </row>
    <row r="88" spans="1:42" ht="15" customHeight="1" x14ac:dyDescent="0.25">
      <c r="A88" s="7" t="s">
        <v>294</v>
      </c>
      <c r="B88" s="7" t="s">
        <v>458</v>
      </c>
      <c r="C88" s="7" t="s">
        <v>464</v>
      </c>
      <c r="D88" s="7" t="s">
        <v>460</v>
      </c>
      <c r="E88" s="7" t="s">
        <v>98</v>
      </c>
      <c r="F88" s="7" t="s">
        <v>461</v>
      </c>
      <c r="G88" s="7" t="s">
        <v>46</v>
      </c>
      <c r="H88" s="7" t="s">
        <v>93</v>
      </c>
      <c r="I88" s="7" t="s">
        <v>465</v>
      </c>
      <c r="J88" s="7">
        <v>0.5</v>
      </c>
      <c r="K88" s="7">
        <v>-6.1</v>
      </c>
      <c r="L88" s="7">
        <v>-24</v>
      </c>
      <c r="M88" s="7"/>
      <c r="N88" s="7" t="s">
        <v>300</v>
      </c>
      <c r="O88" s="7" t="s">
        <v>441</v>
      </c>
      <c r="P88" s="7">
        <v>3</v>
      </c>
      <c r="Q88" s="7">
        <v>9200</v>
      </c>
      <c r="R88" s="7" t="s">
        <v>458</v>
      </c>
      <c r="S88" s="7" t="s">
        <v>98</v>
      </c>
      <c r="T88" s="7" t="s">
        <v>466</v>
      </c>
      <c r="U88" s="7" t="s">
        <v>46</v>
      </c>
      <c r="V88" s="7" t="s">
        <v>93</v>
      </c>
      <c r="W88" s="7" t="s">
        <v>465</v>
      </c>
      <c r="X88" s="7">
        <v>0.5</v>
      </c>
      <c r="Y88" s="7">
        <v>11.8</v>
      </c>
      <c r="Z88" s="7">
        <v>-23.9</v>
      </c>
      <c r="AA88" s="7"/>
      <c r="AB88" s="7" t="s">
        <v>300</v>
      </c>
      <c r="AC88" s="7" t="s">
        <v>468</v>
      </c>
      <c r="AD88" s="7">
        <v>3</v>
      </c>
      <c r="AE88" s="7">
        <v>9200</v>
      </c>
      <c r="AF88" s="7">
        <f t="shared" si="9"/>
        <v>17.899999999999999</v>
      </c>
      <c r="AG88" s="7" t="str">
        <f t="shared" si="17"/>
        <v>OK</v>
      </c>
      <c r="AH88" s="7">
        <f t="shared" si="10"/>
        <v>35.700000000000003</v>
      </c>
      <c r="AI88" s="7" t="str">
        <f t="shared" si="11"/>
        <v>OK</v>
      </c>
      <c r="AJ88" s="7" t="str">
        <f t="shared" si="12"/>
        <v>N/A</v>
      </c>
      <c r="AK88" s="7" t="str">
        <f t="shared" si="13"/>
        <v>N/A</v>
      </c>
      <c r="AL88" s="7" t="str">
        <f t="shared" si="14"/>
        <v>OK</v>
      </c>
      <c r="AM88" s="7">
        <f t="shared" si="15"/>
        <v>9200</v>
      </c>
      <c r="AN88" s="8">
        <f>IF(C88="","",COUNTIF($C$2:C88,C88))</f>
        <v>2</v>
      </c>
      <c r="AO88" s="8" t="str">
        <f t="shared" si="16"/>
        <v>Popayan IXA - Popayan|2</v>
      </c>
      <c r="AP88" s="8" t="str">
        <f>IF(C88="","",IF(AND(OR([1]Consulta!$C$29="",A88=[1]Consulta!$C$29),OR([1]Consulta!$E$29="",B88=[1]Consulta!$E$29),OR([1]Consulta!$G$29="",D88=[1]Consulta!$G$29,R88=[1]Consulta!$G$29)),ROW()-1,""))</f>
        <v/>
      </c>
    </row>
    <row r="89" spans="1:42" ht="15" customHeight="1" x14ac:dyDescent="0.25">
      <c r="A89" s="7" t="s">
        <v>294</v>
      </c>
      <c r="B89" s="7" t="s">
        <v>41</v>
      </c>
      <c r="C89" s="7" t="s">
        <v>469</v>
      </c>
      <c r="D89" s="7" t="s">
        <v>327</v>
      </c>
      <c r="E89" s="7" t="s">
        <v>228</v>
      </c>
      <c r="F89" s="7" t="s">
        <v>470</v>
      </c>
      <c r="G89" s="7" t="s">
        <v>217</v>
      </c>
      <c r="H89" s="7">
        <v>52</v>
      </c>
      <c r="I89" s="7" t="s">
        <v>471</v>
      </c>
      <c r="J89" s="7">
        <v>-1</v>
      </c>
      <c r="K89" s="7">
        <v>-5.7</v>
      </c>
      <c r="L89" s="7"/>
      <c r="M89" s="7"/>
      <c r="N89" s="7"/>
      <c r="O89" s="7"/>
      <c r="P89" s="7"/>
      <c r="Q89" s="7"/>
      <c r="R89" s="7" t="s">
        <v>43</v>
      </c>
      <c r="S89" s="7" t="s">
        <v>387</v>
      </c>
      <c r="T89" s="7" t="s">
        <v>472</v>
      </c>
      <c r="U89" s="7" t="s">
        <v>217</v>
      </c>
      <c r="V89" s="7" t="s">
        <v>473</v>
      </c>
      <c r="W89" s="7" t="s">
        <v>474</v>
      </c>
      <c r="X89" s="7">
        <v>0.5</v>
      </c>
      <c r="Y89" s="7">
        <v>-6</v>
      </c>
      <c r="Z89" s="7"/>
      <c r="AA89" s="7"/>
      <c r="AB89" s="7"/>
      <c r="AC89" s="7"/>
      <c r="AD89" s="7"/>
      <c r="AE89" s="7"/>
      <c r="AF89" s="7" t="str">
        <f t="shared" si="9"/>
        <v/>
      </c>
      <c r="AG89" s="7" t="str">
        <f t="shared" si="17"/>
        <v>N/A</v>
      </c>
      <c r="AH89" s="7" t="str">
        <f t="shared" si="10"/>
        <v/>
      </c>
      <c r="AI89" s="7" t="str">
        <f t="shared" si="11"/>
        <v>N/A</v>
      </c>
      <c r="AJ89" s="7" t="str">
        <f t="shared" si="12"/>
        <v>N/A</v>
      </c>
      <c r="AK89" s="7" t="str">
        <f t="shared" si="13"/>
        <v>N/A</v>
      </c>
      <c r="AL89" s="7" t="str">
        <f t="shared" si="14"/>
        <v>OK</v>
      </c>
      <c r="AM89" s="7" t="str">
        <f t="shared" si="15"/>
        <v>Ver detalle</v>
      </c>
      <c r="AN89" s="8">
        <f>IF(C89="","",COUNTIF($C$2:C89,C89))</f>
        <v>1</v>
      </c>
      <c r="AO89" s="8" t="str">
        <f t="shared" si="16"/>
        <v>Cali Norte - Vipasa|1</v>
      </c>
      <c r="AP89" s="8" t="str">
        <f>IF(C89="","",IF(AND(OR([1]Consulta!$C$29="",A89=[1]Consulta!$C$29),OR([1]Consulta!$E$29="",B89=[1]Consulta!$E$29),OR([1]Consulta!$G$29="",D89=[1]Consulta!$G$29,R89=[1]Consulta!$G$29)),ROW()-1,""))</f>
        <v/>
      </c>
    </row>
    <row r="90" spans="1:42" ht="15" customHeight="1" x14ac:dyDescent="0.25">
      <c r="A90" s="7" t="s">
        <v>294</v>
      </c>
      <c r="B90" s="7" t="s">
        <v>41</v>
      </c>
      <c r="C90" s="7" t="s">
        <v>475</v>
      </c>
      <c r="D90" s="7" t="s">
        <v>327</v>
      </c>
      <c r="E90" s="7" t="s">
        <v>228</v>
      </c>
      <c r="F90" s="7" t="s">
        <v>470</v>
      </c>
      <c r="G90" s="7" t="s">
        <v>217</v>
      </c>
      <c r="H90" s="7">
        <v>4</v>
      </c>
      <c r="I90" s="7" t="s">
        <v>476</v>
      </c>
      <c r="J90" s="7">
        <v>-1</v>
      </c>
      <c r="K90" s="7">
        <v>-1</v>
      </c>
      <c r="L90" s="7"/>
      <c r="M90" s="7"/>
      <c r="N90" s="7"/>
      <c r="O90" s="7"/>
      <c r="P90" s="7"/>
      <c r="Q90" s="7"/>
      <c r="R90" s="7" t="s">
        <v>323</v>
      </c>
      <c r="S90" s="7" t="s">
        <v>228</v>
      </c>
      <c r="T90" s="7" t="s">
        <v>477</v>
      </c>
      <c r="U90" s="7" t="s">
        <v>217</v>
      </c>
      <c r="V90" s="7">
        <v>12</v>
      </c>
      <c r="W90" s="7" t="s">
        <v>478</v>
      </c>
      <c r="X90" s="7">
        <v>-0.5</v>
      </c>
      <c r="Y90" s="7">
        <v>-0.3</v>
      </c>
      <c r="Z90" s="7"/>
      <c r="AA90" s="7"/>
      <c r="AB90" s="7"/>
      <c r="AC90" s="7"/>
      <c r="AD90" s="7"/>
      <c r="AE90" s="7"/>
      <c r="AF90" s="7" t="str">
        <f t="shared" si="9"/>
        <v/>
      </c>
      <c r="AG90" s="7" t="str">
        <f t="shared" si="17"/>
        <v>N/A</v>
      </c>
      <c r="AH90" s="7" t="str">
        <f t="shared" si="10"/>
        <v/>
      </c>
      <c r="AI90" s="7" t="str">
        <f t="shared" si="11"/>
        <v>N/A</v>
      </c>
      <c r="AJ90" s="7" t="str">
        <f t="shared" si="12"/>
        <v>N/A</v>
      </c>
      <c r="AK90" s="7" t="str">
        <f t="shared" si="13"/>
        <v>N/A</v>
      </c>
      <c r="AL90" s="7" t="str">
        <f t="shared" si="14"/>
        <v>OK</v>
      </c>
      <c r="AM90" s="7" t="str">
        <f t="shared" si="15"/>
        <v>Ver detalle</v>
      </c>
      <c r="AN90" s="8">
        <f>IF(C90="","",COUNTIF($C$2:C90,C90))</f>
        <v>1</v>
      </c>
      <c r="AO90" s="8" t="str">
        <f t="shared" si="16"/>
        <v>Cali Norte - Roosevelt|1</v>
      </c>
      <c r="AP90" s="8" t="str">
        <f>IF(C90="","",IF(AND(OR([1]Consulta!$C$29="",A90=[1]Consulta!$C$29),OR([1]Consulta!$E$29="",B90=[1]Consulta!$E$29),OR([1]Consulta!$G$29="",D90=[1]Consulta!$G$29,R90=[1]Consulta!$G$29)),ROW()-1,""))</f>
        <v/>
      </c>
    </row>
    <row r="91" spans="1:42" ht="15" customHeight="1" x14ac:dyDescent="0.25">
      <c r="A91" s="7" t="s">
        <v>480</v>
      </c>
      <c r="B91" s="7" t="s">
        <v>270</v>
      </c>
      <c r="C91" s="7" t="s">
        <v>583</v>
      </c>
      <c r="D91" s="18" t="s">
        <v>481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 t="str">
        <f t="shared" si="9"/>
        <v/>
      </c>
      <c r="AG91" s="7" t="str">
        <f t="shared" si="17"/>
        <v>N/A</v>
      </c>
      <c r="AH91" s="7" t="str">
        <f t="shared" si="10"/>
        <v/>
      </c>
      <c r="AI91" s="7" t="str">
        <f t="shared" si="11"/>
        <v>N/A</v>
      </c>
      <c r="AJ91" s="7" t="str">
        <f t="shared" si="12"/>
        <v>N/A</v>
      </c>
      <c r="AK91" s="7" t="str">
        <f t="shared" si="13"/>
        <v>N/A</v>
      </c>
      <c r="AL91" s="7" t="str">
        <f t="shared" si="14"/>
        <v>OK</v>
      </c>
      <c r="AM91" s="7" t="str">
        <f t="shared" si="15"/>
        <v>Ver detalle</v>
      </c>
      <c r="AN91" s="8">
        <f>IF(C91="","",COUNTIF($C$2:C91,C91))</f>
        <v>1</v>
      </c>
      <c r="AO91" s="8" t="str">
        <f t="shared" si="16"/>
        <v>Pereira DC - 30 Agosto|1</v>
      </c>
      <c r="AP91" s="8" t="str">
        <f>IF(C91="","",IF(AND(OR([1]Consulta!$C$29="",A91=[1]Consulta!$C$29),OR([1]Consulta!$E$29="",B91=[1]Consulta!$E$29),OR([1]Consulta!$G$29="",D91=[1]Consulta!$G$29,R91=[1]Consulta!$G$29)),ROW()-1,""))</f>
        <v/>
      </c>
    </row>
    <row r="92" spans="1:42" ht="15" customHeight="1" x14ac:dyDescent="0.25">
      <c r="A92" s="7" t="s">
        <v>480</v>
      </c>
      <c r="B92" s="7" t="s">
        <v>502</v>
      </c>
      <c r="C92" s="7" t="s">
        <v>584</v>
      </c>
      <c r="D92" s="7" t="s">
        <v>502</v>
      </c>
      <c r="E92" s="7"/>
      <c r="F92" s="7"/>
      <c r="G92" s="7"/>
      <c r="H92" s="7"/>
      <c r="I92" s="7"/>
      <c r="J92" s="7">
        <v>1</v>
      </c>
      <c r="K92" s="7">
        <v>1</v>
      </c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>
        <v>2</v>
      </c>
      <c r="Y92" s="7">
        <v>2</v>
      </c>
      <c r="Z92" s="7">
        <v>2</v>
      </c>
      <c r="AA92" s="7"/>
      <c r="AB92" s="7"/>
      <c r="AC92" s="7"/>
      <c r="AD92" s="7"/>
      <c r="AE92" s="7"/>
      <c r="AF92" s="7" t="str">
        <f t="shared" si="9"/>
        <v/>
      </c>
      <c r="AG92" s="7" t="str">
        <f t="shared" si="17"/>
        <v>N/A</v>
      </c>
      <c r="AH92" s="7">
        <f t="shared" si="10"/>
        <v>0</v>
      </c>
      <c r="AI92" s="7" t="str">
        <f t="shared" si="11"/>
        <v>OK</v>
      </c>
      <c r="AJ92" s="7" t="str">
        <f t="shared" si="12"/>
        <v>N/A</v>
      </c>
      <c r="AK92" s="7" t="str">
        <f t="shared" si="13"/>
        <v>N/A</v>
      </c>
      <c r="AL92" s="7" t="str">
        <f t="shared" si="14"/>
        <v>OK</v>
      </c>
      <c r="AM92" s="7" t="str">
        <f t="shared" si="15"/>
        <v>Ver detalle</v>
      </c>
      <c r="AN92" s="8">
        <f>IF(C92="","",COUNTIF($C$2:C92,C92))</f>
        <v>1</v>
      </c>
      <c r="AO92" s="8" t="str">
        <f t="shared" si="16"/>
        <v>Cartago-pereira|1</v>
      </c>
      <c r="AP92" s="8" t="str">
        <f>IF(C92="","",IF(AND(OR([1]Consulta!$C$29="",A92=[1]Consulta!$C$29),OR([1]Consulta!$E$29="",B92=[1]Consulta!$E$29),OR([1]Consulta!$G$29="",D92=[1]Consulta!$G$29,R92=[1]Consulta!$G$29)),ROW()-1,""))</f>
        <v/>
      </c>
    </row>
    <row r="93" spans="1:42" ht="15" customHeight="1" x14ac:dyDescent="0.25">
      <c r="A93" s="7" t="s">
        <v>585</v>
      </c>
      <c r="B93" s="7" t="s">
        <v>587</v>
      </c>
      <c r="C93" s="7" t="s">
        <v>588</v>
      </c>
      <c r="D93" s="7" t="s">
        <v>523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 t="str">
        <f t="shared" si="9"/>
        <v/>
      </c>
      <c r="AG93" s="7" t="str">
        <f t="shared" si="17"/>
        <v>N/A</v>
      </c>
      <c r="AH93" s="7" t="str">
        <f t="shared" si="10"/>
        <v/>
      </c>
      <c r="AI93" s="7" t="str">
        <f t="shared" si="11"/>
        <v>N/A</v>
      </c>
      <c r="AJ93" s="7" t="str">
        <f t="shared" si="12"/>
        <v>N/A</v>
      </c>
      <c r="AK93" s="7" t="str">
        <f t="shared" si="13"/>
        <v>N/A</v>
      </c>
      <c r="AL93" s="7" t="str">
        <f t="shared" si="14"/>
        <v>OK</v>
      </c>
      <c r="AM93" s="7" t="str">
        <f t="shared" si="15"/>
        <v>Ver detalle</v>
      </c>
      <c r="AN93" s="8">
        <f>IF(C93="","",COUNTIF($C$2:C93,C93))</f>
        <v>1</v>
      </c>
      <c r="AO93" s="8" t="str">
        <f t="shared" si="16"/>
        <v>medellin-pereira|1</v>
      </c>
      <c r="AP93" s="8" t="str">
        <f>IF(C93="","",IF(AND(OR([1]Consulta!$C$29="",A93=[1]Consulta!$C$29),OR([1]Consulta!$E$29="",B93=[1]Consulta!$E$29),OR([1]Consulta!$G$29="",D93=[1]Consulta!$G$29,R93=[1]Consulta!$G$29)),ROW()-1,""))</f>
        <v/>
      </c>
    </row>
    <row r="94" spans="1:42" ht="1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 t="str">
        <f t="shared" si="9"/>
        <v/>
      </c>
      <c r="AG94" s="7" t="str">
        <f t="shared" si="17"/>
        <v/>
      </c>
      <c r="AH94" s="7" t="str">
        <f t="shared" si="10"/>
        <v/>
      </c>
      <c r="AI94" s="7" t="str">
        <f t="shared" si="11"/>
        <v/>
      </c>
      <c r="AJ94" s="7" t="str">
        <f t="shared" si="12"/>
        <v/>
      </c>
      <c r="AK94" s="7" t="str">
        <f t="shared" si="13"/>
        <v/>
      </c>
      <c r="AL94" s="7" t="str">
        <f t="shared" si="14"/>
        <v/>
      </c>
      <c r="AM94" s="7" t="str">
        <f t="shared" si="15"/>
        <v/>
      </c>
      <c r="AN94" s="8" t="str">
        <f>IF(C94="","",COUNTIF($C$2:C94,C94))</f>
        <v/>
      </c>
      <c r="AO94" s="8" t="str">
        <f t="shared" si="16"/>
        <v/>
      </c>
      <c r="AP94" s="8" t="str">
        <f>IF(C94="","",IF(AND(OR([1]Consulta!$C$29="",A94=[1]Consulta!$C$29),OR([1]Consulta!$E$29="",B94=[1]Consulta!$E$29),OR([1]Consulta!$G$29="",D94=[1]Consulta!$G$29,R94=[1]Consulta!$G$29)),ROW()-1,""))</f>
        <v/>
      </c>
    </row>
    <row r="95" spans="1:42" ht="1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 t="str">
        <f t="shared" si="9"/>
        <v/>
      </c>
      <c r="AG95" s="7" t="str">
        <f t="shared" si="17"/>
        <v/>
      </c>
      <c r="AH95" s="7" t="str">
        <f t="shared" si="10"/>
        <v/>
      </c>
      <c r="AI95" s="7" t="str">
        <f t="shared" si="11"/>
        <v/>
      </c>
      <c r="AJ95" s="7" t="str">
        <f t="shared" si="12"/>
        <v/>
      </c>
      <c r="AK95" s="7" t="str">
        <f t="shared" si="13"/>
        <v/>
      </c>
      <c r="AL95" s="7" t="str">
        <f t="shared" si="14"/>
        <v/>
      </c>
      <c r="AM95" s="7" t="str">
        <f t="shared" si="15"/>
        <v/>
      </c>
      <c r="AN95" s="8" t="str">
        <f>IF(C95="","",COUNTIF($C$2:C95,C95))</f>
        <v/>
      </c>
      <c r="AO95" s="8" t="str">
        <f t="shared" si="16"/>
        <v/>
      </c>
      <c r="AP95" s="8" t="str">
        <f>IF(C95="","",IF(AND(OR([1]Consulta!$C$29="",A95=[1]Consulta!$C$29),OR([1]Consulta!$E$29="",B95=[1]Consulta!$E$29),OR([1]Consulta!$G$29="",D95=[1]Consulta!$G$29,R95=[1]Consulta!$G$29)),ROW()-1,""))</f>
        <v/>
      </c>
    </row>
    <row r="96" spans="1:42" ht="1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 t="str">
        <f t="shared" si="9"/>
        <v/>
      </c>
      <c r="AG96" s="7" t="str">
        <f t="shared" si="17"/>
        <v/>
      </c>
      <c r="AH96" s="7" t="str">
        <f t="shared" si="10"/>
        <v/>
      </c>
      <c r="AI96" s="7" t="str">
        <f t="shared" si="11"/>
        <v/>
      </c>
      <c r="AJ96" s="7" t="str">
        <f t="shared" si="12"/>
        <v/>
      </c>
      <c r="AK96" s="7" t="str">
        <f t="shared" si="13"/>
        <v/>
      </c>
      <c r="AL96" s="7" t="str">
        <f t="shared" si="14"/>
        <v/>
      </c>
      <c r="AM96" s="7" t="str">
        <f t="shared" si="15"/>
        <v/>
      </c>
      <c r="AN96" s="8" t="str">
        <f>IF(C96="","",COUNTIF($C$2:C96,C96))</f>
        <v/>
      </c>
      <c r="AO96" s="8" t="str">
        <f t="shared" si="16"/>
        <v/>
      </c>
      <c r="AP96" s="8" t="str">
        <f>IF(C96="","",IF(AND(OR([1]Consulta!$C$29="",A96=[1]Consulta!$C$29),OR([1]Consulta!$E$29="",B96=[1]Consulta!$E$29),OR([1]Consulta!$G$29="",D96=[1]Consulta!$G$29,R96=[1]Consulta!$G$29)),ROW()-1,""))</f>
        <v/>
      </c>
    </row>
    <row r="97" spans="1:42" ht="1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 t="str">
        <f t="shared" si="9"/>
        <v/>
      </c>
      <c r="AG97" s="7" t="str">
        <f t="shared" si="17"/>
        <v/>
      </c>
      <c r="AH97" s="7" t="str">
        <f t="shared" si="10"/>
        <v/>
      </c>
      <c r="AI97" s="7" t="str">
        <f t="shared" si="11"/>
        <v/>
      </c>
      <c r="AJ97" s="7" t="str">
        <f t="shared" si="12"/>
        <v/>
      </c>
      <c r="AK97" s="7" t="str">
        <f t="shared" si="13"/>
        <v/>
      </c>
      <c r="AL97" s="7" t="str">
        <f t="shared" si="14"/>
        <v/>
      </c>
      <c r="AM97" s="7" t="str">
        <f t="shared" si="15"/>
        <v/>
      </c>
      <c r="AN97" s="8" t="str">
        <f>IF(C97="","",COUNTIF($C$2:C97,C97))</f>
        <v/>
      </c>
      <c r="AO97" s="8" t="str">
        <f t="shared" si="16"/>
        <v/>
      </c>
      <c r="AP97" s="8" t="str">
        <f>IF(C97="","",IF(AND(OR([1]Consulta!$C$29="",A97=[1]Consulta!$C$29),OR([1]Consulta!$E$29="",B97=[1]Consulta!$E$29),OR([1]Consulta!$G$29="",D97=[1]Consulta!$G$29,R97=[1]Consulta!$G$29)),ROW()-1,""))</f>
        <v/>
      </c>
    </row>
    <row r="98" spans="1:42" ht="1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 t="str">
        <f t="shared" si="9"/>
        <v/>
      </c>
      <c r="AG98" s="7" t="str">
        <f t="shared" si="17"/>
        <v/>
      </c>
      <c r="AH98" s="7" t="str">
        <f t="shared" si="10"/>
        <v/>
      </c>
      <c r="AI98" s="7" t="str">
        <f t="shared" si="11"/>
        <v/>
      </c>
      <c r="AJ98" s="7" t="str">
        <f t="shared" si="12"/>
        <v/>
      </c>
      <c r="AK98" s="7" t="str">
        <f t="shared" si="13"/>
        <v/>
      </c>
      <c r="AL98" s="7" t="str">
        <f t="shared" si="14"/>
        <v/>
      </c>
      <c r="AM98" s="7" t="str">
        <f t="shared" si="15"/>
        <v/>
      </c>
      <c r="AN98" s="8" t="str">
        <f>IF(C98="","",COUNTIF($C$2:C98,C98))</f>
        <v/>
      </c>
      <c r="AO98" s="8" t="str">
        <f t="shared" si="16"/>
        <v/>
      </c>
      <c r="AP98" s="8" t="str">
        <f>IF(C98="","",IF(AND(OR([1]Consulta!$C$29="",A98=[1]Consulta!$C$29),OR([1]Consulta!$E$29="",B98=[1]Consulta!$E$29),OR([1]Consulta!$G$29="",D98=[1]Consulta!$G$29,R98=[1]Consulta!$G$29)),ROW()-1,""))</f>
        <v/>
      </c>
    </row>
    <row r="99" spans="1:42" ht="1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 t="str">
        <f t="shared" si="9"/>
        <v/>
      </c>
      <c r="AG99" s="7" t="str">
        <f t="shared" si="17"/>
        <v/>
      </c>
      <c r="AH99" s="7" t="str">
        <f t="shared" si="10"/>
        <v/>
      </c>
      <c r="AI99" s="7" t="str">
        <f t="shared" si="11"/>
        <v/>
      </c>
      <c r="AJ99" s="7" t="str">
        <f t="shared" si="12"/>
        <v/>
      </c>
      <c r="AK99" s="7" t="str">
        <f t="shared" si="13"/>
        <v/>
      </c>
      <c r="AL99" s="7" t="str">
        <f t="shared" si="14"/>
        <v/>
      </c>
      <c r="AM99" s="7" t="str">
        <f t="shared" si="15"/>
        <v/>
      </c>
      <c r="AN99" s="8" t="str">
        <f>IF(C99="","",COUNTIF($C$2:C99,C99))</f>
        <v/>
      </c>
      <c r="AO99" s="8" t="str">
        <f t="shared" si="16"/>
        <v/>
      </c>
      <c r="AP99" s="8" t="str">
        <f>IF(C99="","",IF(AND(OR([1]Consulta!$C$29="",A99=[1]Consulta!$C$29),OR([1]Consulta!$E$29="",B99=[1]Consulta!$E$29),OR([1]Consulta!$G$29="",D99=[1]Consulta!$G$29,R99=[1]Consulta!$G$29)),ROW()-1,""))</f>
        <v/>
      </c>
    </row>
    <row r="100" spans="1:42" ht="1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 t="str">
        <f t="shared" si="9"/>
        <v/>
      </c>
      <c r="AG100" s="7" t="str">
        <f t="shared" si="17"/>
        <v/>
      </c>
      <c r="AH100" s="7" t="str">
        <f t="shared" si="10"/>
        <v/>
      </c>
      <c r="AI100" s="7" t="str">
        <f t="shared" si="11"/>
        <v/>
      </c>
      <c r="AJ100" s="7" t="str">
        <f t="shared" si="12"/>
        <v/>
      </c>
      <c r="AK100" s="7" t="str">
        <f t="shared" si="13"/>
        <v/>
      </c>
      <c r="AL100" s="7" t="str">
        <f t="shared" si="14"/>
        <v/>
      </c>
      <c r="AM100" s="7" t="str">
        <f t="shared" si="15"/>
        <v/>
      </c>
      <c r="AN100" s="8" t="str">
        <f>IF(C100="","",COUNTIF($C$2:C100,C100))</f>
        <v/>
      </c>
      <c r="AO100" s="8" t="str">
        <f t="shared" si="16"/>
        <v/>
      </c>
      <c r="AP100" s="8" t="str">
        <f>IF(C100="","",IF(AND(OR([1]Consulta!$C$29="",A100=[1]Consulta!$C$29),OR([1]Consulta!$E$29="",B100=[1]Consulta!$E$29),OR([1]Consulta!$G$29="",D100=[1]Consulta!$G$29,R100=[1]Consulta!$G$29)),ROW()-1,""))</f>
        <v/>
      </c>
    </row>
    <row r="101" spans="1:42" ht="1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 t="str">
        <f t="shared" si="9"/>
        <v/>
      </c>
      <c r="AG101" s="7" t="str">
        <f t="shared" si="17"/>
        <v/>
      </c>
      <c r="AH101" s="7" t="str">
        <f t="shared" si="10"/>
        <v/>
      </c>
      <c r="AI101" s="7" t="str">
        <f t="shared" si="11"/>
        <v/>
      </c>
      <c r="AJ101" s="7" t="str">
        <f t="shared" si="12"/>
        <v/>
      </c>
      <c r="AK101" s="7" t="str">
        <f t="shared" si="13"/>
        <v/>
      </c>
      <c r="AL101" s="7" t="str">
        <f t="shared" si="14"/>
        <v/>
      </c>
      <c r="AM101" s="7" t="str">
        <f t="shared" si="15"/>
        <v/>
      </c>
      <c r="AN101" s="8" t="str">
        <f>IF(C101="","",COUNTIF($C$2:C101,C101))</f>
        <v/>
      </c>
      <c r="AO101" s="8" t="str">
        <f t="shared" si="16"/>
        <v/>
      </c>
      <c r="AP101" s="8" t="str">
        <f>IF(C101="","",IF(AND(OR([1]Consulta!$C$29="",A101=[1]Consulta!$C$29),OR([1]Consulta!$E$29="",B101=[1]Consulta!$E$29),OR([1]Consulta!$G$29="",D101=[1]Consulta!$G$29,R101=[1]Consulta!$G$29)),ROW()-1,""))</f>
        <v/>
      </c>
    </row>
    <row r="102" spans="1:42" ht="1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 t="str">
        <f t="shared" si="9"/>
        <v/>
      </c>
      <c r="AG102" s="7" t="str">
        <f t="shared" si="17"/>
        <v/>
      </c>
      <c r="AH102" s="7" t="str">
        <f t="shared" si="10"/>
        <v/>
      </c>
      <c r="AI102" s="7" t="str">
        <f t="shared" si="11"/>
        <v/>
      </c>
      <c r="AJ102" s="7" t="str">
        <f t="shared" si="12"/>
        <v/>
      </c>
      <c r="AK102" s="7" t="str">
        <f t="shared" si="13"/>
        <v/>
      </c>
      <c r="AL102" s="7" t="str">
        <f t="shared" si="14"/>
        <v/>
      </c>
      <c r="AM102" s="7" t="str">
        <f t="shared" si="15"/>
        <v/>
      </c>
      <c r="AN102" s="8" t="str">
        <f>IF(C102="","",COUNTIF($C$2:C102,C102))</f>
        <v/>
      </c>
      <c r="AO102" s="8" t="str">
        <f t="shared" si="16"/>
        <v/>
      </c>
      <c r="AP102" s="8" t="str">
        <f>IF(C102="","",IF(AND(OR([1]Consulta!$C$29="",A102=[1]Consulta!$C$29),OR([1]Consulta!$E$29="",B102=[1]Consulta!$E$29),OR([1]Consulta!$G$29="",D102=[1]Consulta!$G$29,R102=[1]Consulta!$G$29)),ROW()-1,""))</f>
        <v/>
      </c>
    </row>
    <row r="103" spans="1:42" ht="1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 t="str">
        <f t="shared" si="9"/>
        <v/>
      </c>
      <c r="AG103" s="7" t="str">
        <f t="shared" si="17"/>
        <v/>
      </c>
      <c r="AH103" s="7" t="str">
        <f t="shared" si="10"/>
        <v/>
      </c>
      <c r="AI103" s="7" t="str">
        <f t="shared" si="11"/>
        <v/>
      </c>
      <c r="AJ103" s="7" t="str">
        <f t="shared" si="12"/>
        <v/>
      </c>
      <c r="AK103" s="7" t="str">
        <f t="shared" si="13"/>
        <v/>
      </c>
      <c r="AL103" s="7" t="str">
        <f t="shared" si="14"/>
        <v/>
      </c>
      <c r="AM103" s="7" t="str">
        <f t="shared" si="15"/>
        <v/>
      </c>
      <c r="AN103" s="8" t="str">
        <f>IF(C103="","",COUNTIF($C$2:C103,C103))</f>
        <v/>
      </c>
      <c r="AO103" s="8" t="str">
        <f t="shared" si="16"/>
        <v/>
      </c>
      <c r="AP103" s="8" t="str">
        <f>IF(C103="","",IF(AND(OR([1]Consulta!$C$29="",A103=[1]Consulta!$C$29),OR([1]Consulta!$E$29="",B103=[1]Consulta!$E$29),OR([1]Consulta!$G$29="",D103=[1]Consulta!$G$29,R103=[1]Consulta!$G$29)),ROW()-1,""))</f>
        <v/>
      </c>
    </row>
    <row r="104" spans="1:42" ht="1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 t="str">
        <f t="shared" si="9"/>
        <v/>
      </c>
      <c r="AG104" s="7" t="str">
        <f t="shared" si="17"/>
        <v/>
      </c>
      <c r="AH104" s="7" t="str">
        <f t="shared" si="10"/>
        <v/>
      </c>
      <c r="AI104" s="7" t="str">
        <f t="shared" si="11"/>
        <v/>
      </c>
      <c r="AJ104" s="7" t="str">
        <f t="shared" si="12"/>
        <v/>
      </c>
      <c r="AK104" s="7" t="str">
        <f t="shared" si="13"/>
        <v/>
      </c>
      <c r="AL104" s="7" t="str">
        <f t="shared" si="14"/>
        <v/>
      </c>
      <c r="AM104" s="7" t="str">
        <f t="shared" si="15"/>
        <v/>
      </c>
      <c r="AN104" s="8" t="str">
        <f>IF(C104="","",COUNTIF($C$2:C104,C104))</f>
        <v/>
      </c>
      <c r="AO104" s="8" t="str">
        <f t="shared" si="16"/>
        <v/>
      </c>
      <c r="AP104" s="8" t="str">
        <f>IF(C104="","",IF(AND(OR([1]Consulta!$C$29="",A104=[1]Consulta!$C$29),OR([1]Consulta!$E$29="",B104=[1]Consulta!$E$29),OR([1]Consulta!$G$29="",D104=[1]Consulta!$G$29,R104=[1]Consulta!$G$29)),ROW()-1,""))</f>
        <v/>
      </c>
    </row>
    <row r="105" spans="1:42" ht="1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 t="str">
        <f t="shared" si="9"/>
        <v/>
      </c>
      <c r="AG105" s="7" t="str">
        <f t="shared" si="17"/>
        <v/>
      </c>
      <c r="AH105" s="7" t="str">
        <f t="shared" si="10"/>
        <v/>
      </c>
      <c r="AI105" s="7" t="str">
        <f t="shared" si="11"/>
        <v/>
      </c>
      <c r="AJ105" s="7" t="str">
        <f t="shared" si="12"/>
        <v/>
      </c>
      <c r="AK105" s="7" t="str">
        <f t="shared" si="13"/>
        <v/>
      </c>
      <c r="AL105" s="7" t="str">
        <f t="shared" si="14"/>
        <v/>
      </c>
      <c r="AM105" s="7" t="str">
        <f t="shared" si="15"/>
        <v/>
      </c>
      <c r="AN105" s="8" t="str">
        <f>IF(C105="","",COUNTIF($C$2:C105,C105))</f>
        <v/>
      </c>
      <c r="AO105" s="8" t="str">
        <f t="shared" si="16"/>
        <v/>
      </c>
      <c r="AP105" s="8" t="str">
        <f>IF(C105="","",IF(AND(OR([1]Consulta!$C$29="",A105=[1]Consulta!$C$29),OR([1]Consulta!$E$29="",B105=[1]Consulta!$E$29),OR([1]Consulta!$G$29="",D105=[1]Consulta!$G$29,R105=[1]Consulta!$G$29)),ROW()-1,""))</f>
        <v/>
      </c>
    </row>
    <row r="106" spans="1:42" ht="1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 t="str">
        <f t="shared" si="9"/>
        <v/>
      </c>
      <c r="AG106" s="7" t="str">
        <f t="shared" si="17"/>
        <v/>
      </c>
      <c r="AH106" s="7" t="str">
        <f t="shared" si="10"/>
        <v/>
      </c>
      <c r="AI106" s="7" t="str">
        <f t="shared" si="11"/>
        <v/>
      </c>
      <c r="AJ106" s="7" t="str">
        <f t="shared" si="12"/>
        <v/>
      </c>
      <c r="AK106" s="7" t="str">
        <f t="shared" si="13"/>
        <v/>
      </c>
      <c r="AL106" s="7" t="str">
        <f t="shared" si="14"/>
        <v/>
      </c>
      <c r="AM106" s="7" t="str">
        <f t="shared" si="15"/>
        <v/>
      </c>
      <c r="AN106" s="8" t="str">
        <f>IF(C106="","",COUNTIF($C$2:C106,C106))</f>
        <v/>
      </c>
      <c r="AO106" s="8" t="str">
        <f t="shared" si="16"/>
        <v/>
      </c>
      <c r="AP106" s="8" t="str">
        <f>IF(C106="","",IF(AND(OR([1]Consulta!$C$29="",A106=[1]Consulta!$C$29),OR([1]Consulta!$E$29="",B106=[1]Consulta!$E$29),OR([1]Consulta!$G$29="",D106=[1]Consulta!$G$29,R106=[1]Consulta!$G$29)),ROW()-1,""))</f>
        <v/>
      </c>
    </row>
    <row r="107" spans="1:42" ht="1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 t="str">
        <f t="shared" si="9"/>
        <v/>
      </c>
      <c r="AG107" s="7" t="str">
        <f t="shared" si="17"/>
        <v/>
      </c>
      <c r="AH107" s="7" t="str">
        <f t="shared" si="10"/>
        <v/>
      </c>
      <c r="AI107" s="7" t="str">
        <f t="shared" si="11"/>
        <v/>
      </c>
      <c r="AJ107" s="7" t="str">
        <f t="shared" si="12"/>
        <v/>
      </c>
      <c r="AK107" s="7" t="str">
        <f t="shared" si="13"/>
        <v/>
      </c>
      <c r="AL107" s="7" t="str">
        <f t="shared" si="14"/>
        <v/>
      </c>
      <c r="AM107" s="7" t="str">
        <f t="shared" si="15"/>
        <v/>
      </c>
      <c r="AN107" s="8" t="str">
        <f>IF(C107="","",COUNTIF($C$2:C107,C107))</f>
        <v/>
      </c>
      <c r="AO107" s="8" t="str">
        <f t="shared" si="16"/>
        <v/>
      </c>
      <c r="AP107" s="8" t="str">
        <f>IF(C107="","",IF(AND(OR([1]Consulta!$C$29="",A107=[1]Consulta!$C$29),OR([1]Consulta!$E$29="",B107=[1]Consulta!$E$29),OR([1]Consulta!$G$29="",D107=[1]Consulta!$G$29,R107=[1]Consulta!$G$29)),ROW()-1,""))</f>
        <v/>
      </c>
    </row>
    <row r="108" spans="1:42" ht="1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 t="str">
        <f t="shared" si="9"/>
        <v/>
      </c>
      <c r="AG108" s="7" t="str">
        <f t="shared" si="17"/>
        <v/>
      </c>
      <c r="AH108" s="7" t="str">
        <f t="shared" si="10"/>
        <v/>
      </c>
      <c r="AI108" s="7" t="str">
        <f t="shared" si="11"/>
        <v/>
      </c>
      <c r="AJ108" s="7" t="str">
        <f t="shared" si="12"/>
        <v/>
      </c>
      <c r="AK108" s="7" t="str">
        <f t="shared" si="13"/>
        <v/>
      </c>
      <c r="AL108" s="7" t="str">
        <f t="shared" si="14"/>
        <v/>
      </c>
      <c r="AM108" s="7" t="str">
        <f t="shared" si="15"/>
        <v/>
      </c>
      <c r="AN108" s="8" t="str">
        <f>IF(C108="","",COUNTIF($C$2:C108,C108))</f>
        <v/>
      </c>
      <c r="AO108" s="8" t="str">
        <f t="shared" si="16"/>
        <v/>
      </c>
      <c r="AP108" s="8" t="str">
        <f>IF(C108="","",IF(AND(OR([1]Consulta!$C$29="",A108=[1]Consulta!$C$29),OR([1]Consulta!$E$29="",B108=[1]Consulta!$E$29),OR([1]Consulta!$G$29="",D108=[1]Consulta!$G$29,R108=[1]Consulta!$G$29)),ROW()-1,""))</f>
        <v/>
      </c>
    </row>
    <row r="109" spans="1:42" ht="1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 t="str">
        <f t="shared" si="9"/>
        <v/>
      </c>
      <c r="AG109" s="7" t="str">
        <f t="shared" si="17"/>
        <v/>
      </c>
      <c r="AH109" s="7" t="str">
        <f t="shared" si="10"/>
        <v/>
      </c>
      <c r="AI109" s="7" t="str">
        <f t="shared" si="11"/>
        <v/>
      </c>
      <c r="AJ109" s="7" t="str">
        <f t="shared" si="12"/>
        <v/>
      </c>
      <c r="AK109" s="7" t="str">
        <f t="shared" si="13"/>
        <v/>
      </c>
      <c r="AL109" s="7" t="str">
        <f t="shared" si="14"/>
        <v/>
      </c>
      <c r="AM109" s="7" t="str">
        <f t="shared" si="15"/>
        <v/>
      </c>
      <c r="AN109" s="8" t="str">
        <f>IF(C109="","",COUNTIF($C$2:C109,C109))</f>
        <v/>
      </c>
      <c r="AO109" s="8" t="str">
        <f t="shared" si="16"/>
        <v/>
      </c>
      <c r="AP109" s="8" t="str">
        <f>IF(C109="","",IF(AND(OR([1]Consulta!$C$29="",A109=[1]Consulta!$C$29),OR([1]Consulta!$E$29="",B109=[1]Consulta!$E$29),OR([1]Consulta!$G$29="",D109=[1]Consulta!$G$29,R109=[1]Consulta!$G$29)),ROW()-1,""))</f>
        <v/>
      </c>
    </row>
    <row r="110" spans="1:42" ht="1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 t="str">
        <f t="shared" si="9"/>
        <v/>
      </c>
      <c r="AG110" s="7" t="str">
        <f t="shared" si="17"/>
        <v/>
      </c>
      <c r="AH110" s="7" t="str">
        <f t="shared" si="10"/>
        <v/>
      </c>
      <c r="AI110" s="7" t="str">
        <f t="shared" si="11"/>
        <v/>
      </c>
      <c r="AJ110" s="7" t="str">
        <f t="shared" si="12"/>
        <v/>
      </c>
      <c r="AK110" s="7" t="str">
        <f t="shared" si="13"/>
        <v/>
      </c>
      <c r="AL110" s="7" t="str">
        <f t="shared" si="14"/>
        <v/>
      </c>
      <c r="AM110" s="7" t="str">
        <f t="shared" si="15"/>
        <v/>
      </c>
      <c r="AN110" s="8" t="str">
        <f>IF(C110="","",COUNTIF($C$2:C110,C110))</f>
        <v/>
      </c>
      <c r="AO110" s="8" t="str">
        <f t="shared" si="16"/>
        <v/>
      </c>
      <c r="AP110" s="8" t="str">
        <f>IF(C110="","",IF(AND(OR([1]Consulta!$C$29="",A110=[1]Consulta!$C$29),OR([1]Consulta!$E$29="",B110=[1]Consulta!$E$29),OR([1]Consulta!$G$29="",D110=[1]Consulta!$G$29,R110=[1]Consulta!$G$29)),ROW()-1,""))</f>
        <v/>
      </c>
    </row>
    <row r="111" spans="1:42" ht="1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 t="str">
        <f t="shared" si="9"/>
        <v/>
      </c>
      <c r="AG111" s="7" t="str">
        <f t="shared" si="17"/>
        <v/>
      </c>
      <c r="AH111" s="7" t="str">
        <f t="shared" si="10"/>
        <v/>
      </c>
      <c r="AI111" s="7" t="str">
        <f t="shared" si="11"/>
        <v/>
      </c>
      <c r="AJ111" s="7" t="str">
        <f t="shared" si="12"/>
        <v/>
      </c>
      <c r="AK111" s="7" t="str">
        <f t="shared" si="13"/>
        <v/>
      </c>
      <c r="AL111" s="7" t="str">
        <f t="shared" si="14"/>
        <v/>
      </c>
      <c r="AM111" s="7" t="str">
        <f t="shared" si="15"/>
        <v/>
      </c>
      <c r="AN111" s="8" t="str">
        <f>IF(C111="","",COUNTIF($C$2:C111,C111))</f>
        <v/>
      </c>
      <c r="AO111" s="8" t="str">
        <f t="shared" si="16"/>
        <v/>
      </c>
      <c r="AP111" s="8" t="str">
        <f>IF(C111="","",IF(AND(OR([1]Consulta!$C$29="",A111=[1]Consulta!$C$29),OR([1]Consulta!$E$29="",B111=[1]Consulta!$E$29),OR([1]Consulta!$G$29="",D111=[1]Consulta!$G$29,R111=[1]Consulta!$G$29)),ROW()-1,""))</f>
        <v/>
      </c>
    </row>
    <row r="112" spans="1:42" ht="1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 t="str">
        <f t="shared" si="9"/>
        <v/>
      </c>
      <c r="AG112" s="7" t="str">
        <f t="shared" si="17"/>
        <v/>
      </c>
      <c r="AH112" s="7" t="str">
        <f t="shared" si="10"/>
        <v/>
      </c>
      <c r="AI112" s="7" t="str">
        <f t="shared" si="11"/>
        <v/>
      </c>
      <c r="AJ112" s="7" t="str">
        <f t="shared" si="12"/>
        <v/>
      </c>
      <c r="AK112" s="7" t="str">
        <f t="shared" si="13"/>
        <v/>
      </c>
      <c r="AL112" s="7" t="str">
        <f t="shared" si="14"/>
        <v/>
      </c>
      <c r="AM112" s="7" t="str">
        <f t="shared" si="15"/>
        <v/>
      </c>
      <c r="AN112" s="8" t="str">
        <f>IF(C112="","",COUNTIF($C$2:C112,C112))</f>
        <v/>
      </c>
      <c r="AO112" s="8" t="str">
        <f t="shared" si="16"/>
        <v/>
      </c>
      <c r="AP112" s="8" t="str">
        <f>IF(C112="","",IF(AND(OR([1]Consulta!$C$29="",A112=[1]Consulta!$C$29),OR([1]Consulta!$E$29="",B112=[1]Consulta!$E$29),OR([1]Consulta!$G$29="",D112=[1]Consulta!$G$29,R112=[1]Consulta!$G$29)),ROW()-1,""))</f>
        <v/>
      </c>
    </row>
    <row r="113" spans="1:42" ht="1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 t="str">
        <f t="shared" si="9"/>
        <v/>
      </c>
      <c r="AG113" s="7" t="str">
        <f t="shared" si="17"/>
        <v/>
      </c>
      <c r="AH113" s="7" t="str">
        <f t="shared" si="10"/>
        <v/>
      </c>
      <c r="AI113" s="7" t="str">
        <f t="shared" si="11"/>
        <v/>
      </c>
      <c r="AJ113" s="7" t="str">
        <f t="shared" si="12"/>
        <v/>
      </c>
      <c r="AK113" s="7" t="str">
        <f t="shared" si="13"/>
        <v/>
      </c>
      <c r="AL113" s="7" t="str">
        <f t="shared" si="14"/>
        <v/>
      </c>
      <c r="AM113" s="7" t="str">
        <f t="shared" si="15"/>
        <v/>
      </c>
      <c r="AN113" s="8" t="str">
        <f>IF(C113="","",COUNTIF($C$2:C113,C113))</f>
        <v/>
      </c>
      <c r="AO113" s="8" t="str">
        <f t="shared" si="16"/>
        <v/>
      </c>
      <c r="AP113" s="8" t="str">
        <f>IF(C113="","",IF(AND(OR([1]Consulta!$C$29="",A113=[1]Consulta!$C$29),OR([1]Consulta!$E$29="",B113=[1]Consulta!$E$29),OR([1]Consulta!$G$29="",D113=[1]Consulta!$G$29,R113=[1]Consulta!$G$29)),ROW()-1,""))</f>
        <v/>
      </c>
    </row>
    <row r="114" spans="1:42" ht="1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 t="str">
        <f t="shared" si="9"/>
        <v/>
      </c>
      <c r="AG114" s="7" t="str">
        <f t="shared" si="17"/>
        <v/>
      </c>
      <c r="AH114" s="7" t="str">
        <f t="shared" si="10"/>
        <v/>
      </c>
      <c r="AI114" s="7" t="str">
        <f t="shared" si="11"/>
        <v/>
      </c>
      <c r="AJ114" s="7" t="str">
        <f t="shared" si="12"/>
        <v/>
      </c>
      <c r="AK114" s="7" t="str">
        <f t="shared" si="13"/>
        <v/>
      </c>
      <c r="AL114" s="7" t="str">
        <f t="shared" si="14"/>
        <v/>
      </c>
      <c r="AM114" s="7" t="str">
        <f t="shared" si="15"/>
        <v/>
      </c>
      <c r="AN114" s="8" t="str">
        <f>IF(C114="","",COUNTIF($C$2:C114,C114))</f>
        <v/>
      </c>
      <c r="AO114" s="8" t="str">
        <f t="shared" si="16"/>
        <v/>
      </c>
      <c r="AP114" s="8" t="str">
        <f>IF(C114="","",IF(AND(OR([1]Consulta!$C$29="",A114=[1]Consulta!$C$29),OR([1]Consulta!$E$29="",B114=[1]Consulta!$E$29),OR([1]Consulta!$G$29="",D114=[1]Consulta!$G$29,R114=[1]Consulta!$G$29)),ROW()-1,""))</f>
        <v/>
      </c>
    </row>
    <row r="115" spans="1:42" ht="1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 t="str">
        <f t="shared" si="9"/>
        <v/>
      </c>
      <c r="AG115" s="7" t="str">
        <f t="shared" si="17"/>
        <v/>
      </c>
      <c r="AH115" s="7" t="str">
        <f t="shared" si="10"/>
        <v/>
      </c>
      <c r="AI115" s="7" t="str">
        <f t="shared" si="11"/>
        <v/>
      </c>
      <c r="AJ115" s="7" t="str">
        <f t="shared" si="12"/>
        <v/>
      </c>
      <c r="AK115" s="7" t="str">
        <f t="shared" si="13"/>
        <v/>
      </c>
      <c r="AL115" s="7" t="str">
        <f t="shared" si="14"/>
        <v/>
      </c>
      <c r="AM115" s="7" t="str">
        <f t="shared" si="15"/>
        <v/>
      </c>
      <c r="AN115" s="8" t="str">
        <f>IF(C115="","",COUNTIF($C$2:C115,C115))</f>
        <v/>
      </c>
      <c r="AO115" s="8" t="str">
        <f t="shared" si="16"/>
        <v/>
      </c>
      <c r="AP115" s="8" t="str">
        <f>IF(C115="","",IF(AND(OR([1]Consulta!$C$29="",A115=[1]Consulta!$C$29),OR([1]Consulta!$E$29="",B115=[1]Consulta!$E$29),OR([1]Consulta!$G$29="",D115=[1]Consulta!$G$29,R115=[1]Consulta!$G$29)),ROW()-1,""))</f>
        <v/>
      </c>
    </row>
    <row r="116" spans="1:42" ht="1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 t="str">
        <f t="shared" si="9"/>
        <v/>
      </c>
      <c r="AG116" s="7" t="str">
        <f t="shared" si="17"/>
        <v/>
      </c>
      <c r="AH116" s="7" t="str">
        <f t="shared" si="10"/>
        <v/>
      </c>
      <c r="AI116" s="7" t="str">
        <f t="shared" si="11"/>
        <v/>
      </c>
      <c r="AJ116" s="7" t="str">
        <f t="shared" si="12"/>
        <v/>
      </c>
      <c r="AK116" s="7" t="str">
        <f t="shared" si="13"/>
        <v/>
      </c>
      <c r="AL116" s="7" t="str">
        <f t="shared" si="14"/>
        <v/>
      </c>
      <c r="AM116" s="7" t="str">
        <f t="shared" si="15"/>
        <v/>
      </c>
      <c r="AN116" s="8" t="str">
        <f>IF(C116="","",COUNTIF($C$2:C116,C116))</f>
        <v/>
      </c>
      <c r="AO116" s="8" t="str">
        <f t="shared" si="16"/>
        <v/>
      </c>
      <c r="AP116" s="8" t="str">
        <f>IF(C116="","",IF(AND(OR([1]Consulta!$C$29="",A116=[1]Consulta!$C$29),OR([1]Consulta!$E$29="",B116=[1]Consulta!$E$29),OR([1]Consulta!$G$29="",D116=[1]Consulta!$G$29,R116=[1]Consulta!$G$29)),ROW()-1,""))</f>
        <v/>
      </c>
    </row>
    <row r="117" spans="1:42" ht="1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 t="str">
        <f t="shared" si="9"/>
        <v/>
      </c>
      <c r="AG117" s="7" t="str">
        <f t="shared" si="17"/>
        <v/>
      </c>
      <c r="AH117" s="7" t="str">
        <f t="shared" si="10"/>
        <v/>
      </c>
      <c r="AI117" s="7" t="str">
        <f t="shared" si="11"/>
        <v/>
      </c>
      <c r="AJ117" s="7" t="str">
        <f t="shared" si="12"/>
        <v/>
      </c>
      <c r="AK117" s="7" t="str">
        <f t="shared" si="13"/>
        <v/>
      </c>
      <c r="AL117" s="7" t="str">
        <f t="shared" si="14"/>
        <v/>
      </c>
      <c r="AM117" s="7" t="str">
        <f t="shared" si="15"/>
        <v/>
      </c>
      <c r="AN117" s="8" t="str">
        <f>IF(C117="","",COUNTIF($C$2:C117,C117))</f>
        <v/>
      </c>
      <c r="AO117" s="8" t="str">
        <f t="shared" si="16"/>
        <v/>
      </c>
      <c r="AP117" s="8" t="str">
        <f>IF(C117="","",IF(AND(OR([1]Consulta!$C$29="",A117=[1]Consulta!$C$29),OR([1]Consulta!$E$29="",B117=[1]Consulta!$E$29),OR([1]Consulta!$G$29="",D117=[1]Consulta!$G$29,R117=[1]Consulta!$G$29)),ROW()-1,""))</f>
        <v/>
      </c>
    </row>
    <row r="118" spans="1:42" ht="1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 t="str">
        <f t="shared" si="9"/>
        <v/>
      </c>
      <c r="AG118" s="7" t="str">
        <f t="shared" si="17"/>
        <v/>
      </c>
      <c r="AH118" s="7" t="str">
        <f t="shared" si="10"/>
        <v/>
      </c>
      <c r="AI118" s="7" t="str">
        <f t="shared" si="11"/>
        <v/>
      </c>
      <c r="AJ118" s="7" t="str">
        <f t="shared" si="12"/>
        <v/>
      </c>
      <c r="AK118" s="7" t="str">
        <f t="shared" si="13"/>
        <v/>
      </c>
      <c r="AL118" s="7" t="str">
        <f t="shared" si="14"/>
        <v/>
      </c>
      <c r="AM118" s="7" t="str">
        <f t="shared" si="15"/>
        <v/>
      </c>
      <c r="AN118" s="8" t="str">
        <f>IF(C118="","",COUNTIF($C$2:C118,C118))</f>
        <v/>
      </c>
      <c r="AO118" s="8" t="str">
        <f t="shared" si="16"/>
        <v/>
      </c>
      <c r="AP118" s="8" t="str">
        <f>IF(C118="","",IF(AND(OR([1]Consulta!$C$29="",A118=[1]Consulta!$C$29),OR([1]Consulta!$E$29="",B118=[1]Consulta!$E$29),OR([1]Consulta!$G$29="",D118=[1]Consulta!$G$29,R118=[1]Consulta!$G$29)),ROW()-1,""))</f>
        <v/>
      </c>
    </row>
    <row r="119" spans="1:42" ht="1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 t="str">
        <f t="shared" si="9"/>
        <v/>
      </c>
      <c r="AG119" s="7" t="str">
        <f t="shared" si="17"/>
        <v/>
      </c>
      <c r="AH119" s="7" t="str">
        <f t="shared" si="10"/>
        <v/>
      </c>
      <c r="AI119" s="7" t="str">
        <f t="shared" si="11"/>
        <v/>
      </c>
      <c r="AJ119" s="7" t="str">
        <f t="shared" si="12"/>
        <v/>
      </c>
      <c r="AK119" s="7" t="str">
        <f t="shared" si="13"/>
        <v/>
      </c>
      <c r="AL119" s="7" t="str">
        <f t="shared" si="14"/>
        <v/>
      </c>
      <c r="AM119" s="7" t="str">
        <f t="shared" si="15"/>
        <v/>
      </c>
      <c r="AN119" s="8" t="str">
        <f>IF(C119="","",COUNTIF($C$2:C119,C119))</f>
        <v/>
      </c>
      <c r="AO119" s="8" t="str">
        <f t="shared" si="16"/>
        <v/>
      </c>
      <c r="AP119" s="8" t="str">
        <f>IF(C119="","",IF(AND(OR([1]Consulta!$C$29="",A119=[1]Consulta!$C$29),OR([1]Consulta!$E$29="",B119=[1]Consulta!$E$29),OR([1]Consulta!$G$29="",D119=[1]Consulta!$G$29,R119=[1]Consulta!$G$29)),ROW()-1,""))</f>
        <v/>
      </c>
    </row>
    <row r="120" spans="1:42" ht="1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 t="str">
        <f t="shared" si="9"/>
        <v/>
      </c>
      <c r="AG120" s="7" t="str">
        <f t="shared" si="17"/>
        <v/>
      </c>
      <c r="AH120" s="7" t="str">
        <f t="shared" si="10"/>
        <v/>
      </c>
      <c r="AI120" s="7" t="str">
        <f t="shared" si="11"/>
        <v/>
      </c>
      <c r="AJ120" s="7" t="str">
        <f t="shared" si="12"/>
        <v/>
      </c>
      <c r="AK120" s="7" t="str">
        <f t="shared" si="13"/>
        <v/>
      </c>
      <c r="AL120" s="7" t="str">
        <f t="shared" si="14"/>
        <v/>
      </c>
      <c r="AM120" s="7" t="str">
        <f t="shared" si="15"/>
        <v/>
      </c>
      <c r="AN120" s="8" t="str">
        <f>IF(C120="","",COUNTIF($C$2:C120,C120))</f>
        <v/>
      </c>
      <c r="AO120" s="8" t="str">
        <f t="shared" si="16"/>
        <v/>
      </c>
      <c r="AP120" s="8" t="str">
        <f>IF(C120="","",IF(AND(OR([1]Consulta!$C$29="",A120=[1]Consulta!$C$29),OR([1]Consulta!$E$29="",B120=[1]Consulta!$E$29),OR([1]Consulta!$G$29="",D120=[1]Consulta!$G$29,R120=[1]Consulta!$G$29)),ROW()-1,""))</f>
        <v/>
      </c>
    </row>
    <row r="121" spans="1:42" ht="1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 t="str">
        <f t="shared" si="9"/>
        <v/>
      </c>
      <c r="AG121" s="7" t="str">
        <f t="shared" si="17"/>
        <v/>
      </c>
      <c r="AH121" s="7" t="str">
        <f t="shared" si="10"/>
        <v/>
      </c>
      <c r="AI121" s="7" t="str">
        <f t="shared" si="11"/>
        <v/>
      </c>
      <c r="AJ121" s="7" t="str">
        <f t="shared" si="12"/>
        <v/>
      </c>
      <c r="AK121" s="7" t="str">
        <f t="shared" si="13"/>
        <v/>
      </c>
      <c r="AL121" s="7" t="str">
        <f t="shared" si="14"/>
        <v/>
      </c>
      <c r="AM121" s="7" t="str">
        <f t="shared" si="15"/>
        <v/>
      </c>
      <c r="AN121" s="8" t="str">
        <f>IF(C121="","",COUNTIF($C$2:C121,C121))</f>
        <v/>
      </c>
      <c r="AO121" s="8" t="str">
        <f t="shared" si="16"/>
        <v/>
      </c>
      <c r="AP121" s="8" t="str">
        <f>IF(C121="","",IF(AND(OR([1]Consulta!$C$29="",A121=[1]Consulta!$C$29),OR([1]Consulta!$E$29="",B121=[1]Consulta!$E$29),OR([1]Consulta!$G$29="",D121=[1]Consulta!$G$29,R121=[1]Consulta!$G$29)),ROW()-1,""))</f>
        <v/>
      </c>
    </row>
    <row r="122" spans="1:42" ht="1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 t="str">
        <f t="shared" si="9"/>
        <v/>
      </c>
      <c r="AG122" s="7" t="str">
        <f t="shared" si="17"/>
        <v/>
      </c>
      <c r="AH122" s="7" t="str">
        <f t="shared" si="10"/>
        <v/>
      </c>
      <c r="AI122" s="7" t="str">
        <f t="shared" si="11"/>
        <v/>
      </c>
      <c r="AJ122" s="7" t="str">
        <f t="shared" si="12"/>
        <v/>
      </c>
      <c r="AK122" s="7" t="str">
        <f t="shared" si="13"/>
        <v/>
      </c>
      <c r="AL122" s="7" t="str">
        <f t="shared" si="14"/>
        <v/>
      </c>
      <c r="AM122" s="7" t="str">
        <f t="shared" si="15"/>
        <v/>
      </c>
      <c r="AN122" s="8" t="str">
        <f>IF(C122="","",COUNTIF($C$2:C122,C122))</f>
        <v/>
      </c>
      <c r="AO122" s="8" t="str">
        <f t="shared" si="16"/>
        <v/>
      </c>
      <c r="AP122" s="8" t="str">
        <f>IF(C122="","",IF(AND(OR([1]Consulta!$C$29="",A122=[1]Consulta!$C$29),OR([1]Consulta!$E$29="",B122=[1]Consulta!$E$29),OR([1]Consulta!$G$29="",D122=[1]Consulta!$G$29,R122=[1]Consulta!$G$29)),ROW()-1,""))</f>
        <v/>
      </c>
    </row>
    <row r="123" spans="1:42" ht="1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 t="str">
        <f t="shared" si="9"/>
        <v/>
      </c>
      <c r="AG123" s="7" t="str">
        <f t="shared" si="17"/>
        <v/>
      </c>
      <c r="AH123" s="7" t="str">
        <f t="shared" si="10"/>
        <v/>
      </c>
      <c r="AI123" s="7" t="str">
        <f t="shared" si="11"/>
        <v/>
      </c>
      <c r="AJ123" s="7" t="str">
        <f t="shared" si="12"/>
        <v/>
      </c>
      <c r="AK123" s="7" t="str">
        <f t="shared" si="13"/>
        <v/>
      </c>
      <c r="AL123" s="7" t="str">
        <f t="shared" si="14"/>
        <v/>
      </c>
      <c r="AM123" s="7" t="str">
        <f t="shared" si="15"/>
        <v/>
      </c>
      <c r="AN123" s="8" t="str">
        <f>IF(C123="","",COUNTIF($C$2:C123,C123))</f>
        <v/>
      </c>
      <c r="AO123" s="8" t="str">
        <f t="shared" si="16"/>
        <v/>
      </c>
      <c r="AP123" s="8" t="str">
        <f>IF(C123="","",IF(AND(OR([1]Consulta!$C$29="",A123=[1]Consulta!$C$29),OR([1]Consulta!$E$29="",B123=[1]Consulta!$E$29),OR([1]Consulta!$G$29="",D123=[1]Consulta!$G$29,R123=[1]Consulta!$G$29)),ROW()-1,""))</f>
        <v/>
      </c>
    </row>
    <row r="124" spans="1:42" ht="1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 t="str">
        <f t="shared" si="9"/>
        <v/>
      </c>
      <c r="AG124" s="7" t="str">
        <f t="shared" si="17"/>
        <v/>
      </c>
      <c r="AH124" s="7" t="str">
        <f t="shared" si="10"/>
        <v/>
      </c>
      <c r="AI124" s="7" t="str">
        <f t="shared" si="11"/>
        <v/>
      </c>
      <c r="AJ124" s="7" t="str">
        <f t="shared" si="12"/>
        <v/>
      </c>
      <c r="AK124" s="7" t="str">
        <f t="shared" si="13"/>
        <v/>
      </c>
      <c r="AL124" s="7" t="str">
        <f t="shared" si="14"/>
        <v/>
      </c>
      <c r="AM124" s="7" t="str">
        <f t="shared" si="15"/>
        <v/>
      </c>
      <c r="AN124" s="8" t="str">
        <f>IF(C124="","",COUNTIF($C$2:C124,C124))</f>
        <v/>
      </c>
      <c r="AO124" s="8" t="str">
        <f t="shared" si="16"/>
        <v/>
      </c>
      <c r="AP124" s="8" t="str">
        <f>IF(C124="","",IF(AND(OR([1]Consulta!$C$29="",A124=[1]Consulta!$C$29),OR([1]Consulta!$E$29="",B124=[1]Consulta!$E$29),OR([1]Consulta!$G$29="",D124=[1]Consulta!$G$29,R124=[1]Consulta!$G$29)),ROW()-1,""))</f>
        <v/>
      </c>
    </row>
    <row r="125" spans="1:42" ht="1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 t="str">
        <f t="shared" si="9"/>
        <v/>
      </c>
      <c r="AG125" s="7" t="str">
        <f t="shared" si="17"/>
        <v/>
      </c>
      <c r="AH125" s="7" t="str">
        <f t="shared" si="10"/>
        <v/>
      </c>
      <c r="AI125" s="7" t="str">
        <f t="shared" si="11"/>
        <v/>
      </c>
      <c r="AJ125" s="7" t="str">
        <f t="shared" si="12"/>
        <v/>
      </c>
      <c r="AK125" s="7" t="str">
        <f t="shared" si="13"/>
        <v/>
      </c>
      <c r="AL125" s="7" t="str">
        <f t="shared" si="14"/>
        <v/>
      </c>
      <c r="AM125" s="7" t="str">
        <f t="shared" si="15"/>
        <v/>
      </c>
      <c r="AN125" s="8" t="str">
        <f>IF(C125="","",COUNTIF($C$2:C125,C125))</f>
        <v/>
      </c>
      <c r="AO125" s="8" t="str">
        <f t="shared" si="16"/>
        <v/>
      </c>
      <c r="AP125" s="8" t="str">
        <f>IF(C125="","",IF(AND(OR([1]Consulta!$C$29="",A125=[1]Consulta!$C$29),OR([1]Consulta!$E$29="",B125=[1]Consulta!$E$29),OR([1]Consulta!$G$29="",D125=[1]Consulta!$G$29,R125=[1]Consulta!$G$29)),ROW()-1,""))</f>
        <v/>
      </c>
    </row>
    <row r="126" spans="1:42" ht="1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 t="str">
        <f t="shared" si="9"/>
        <v/>
      </c>
      <c r="AG126" s="7" t="str">
        <f t="shared" si="17"/>
        <v/>
      </c>
      <c r="AH126" s="7" t="str">
        <f t="shared" si="10"/>
        <v/>
      </c>
      <c r="AI126" s="7" t="str">
        <f t="shared" si="11"/>
        <v/>
      </c>
      <c r="AJ126" s="7" t="str">
        <f t="shared" si="12"/>
        <v/>
      </c>
      <c r="AK126" s="7" t="str">
        <f t="shared" si="13"/>
        <v/>
      </c>
      <c r="AL126" s="7" t="str">
        <f t="shared" si="14"/>
        <v/>
      </c>
      <c r="AM126" s="7" t="str">
        <f t="shared" si="15"/>
        <v/>
      </c>
      <c r="AN126" s="8" t="str">
        <f>IF(C126="","",COUNTIF($C$2:C126,C126))</f>
        <v/>
      </c>
      <c r="AO126" s="8" t="str">
        <f t="shared" si="16"/>
        <v/>
      </c>
      <c r="AP126" s="8" t="str">
        <f>IF(C126="","",IF(AND(OR([1]Consulta!$C$29="",A126=[1]Consulta!$C$29),OR([1]Consulta!$E$29="",B126=[1]Consulta!$E$29),OR([1]Consulta!$G$29="",D126=[1]Consulta!$G$29,R126=[1]Consulta!$G$29)),ROW()-1,""))</f>
        <v/>
      </c>
    </row>
    <row r="127" spans="1:42" ht="1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 t="str">
        <f t="shared" si="9"/>
        <v/>
      </c>
      <c r="AG127" s="7" t="str">
        <f t="shared" si="17"/>
        <v/>
      </c>
      <c r="AH127" s="7" t="str">
        <f t="shared" si="10"/>
        <v/>
      </c>
      <c r="AI127" s="7" t="str">
        <f t="shared" si="11"/>
        <v/>
      </c>
      <c r="AJ127" s="7" t="str">
        <f t="shared" si="12"/>
        <v/>
      </c>
      <c r="AK127" s="7" t="str">
        <f t="shared" si="13"/>
        <v/>
      </c>
      <c r="AL127" s="7" t="str">
        <f t="shared" si="14"/>
        <v/>
      </c>
      <c r="AM127" s="7" t="str">
        <f t="shared" si="15"/>
        <v/>
      </c>
      <c r="AN127" s="8" t="str">
        <f>IF(C127="","",COUNTIF($C$2:C127,C127))</f>
        <v/>
      </c>
      <c r="AO127" s="8" t="str">
        <f t="shared" si="16"/>
        <v/>
      </c>
      <c r="AP127" s="8" t="str">
        <f>IF(C127="","",IF(AND(OR([1]Consulta!$C$29="",A127=[1]Consulta!$C$29),OR([1]Consulta!$E$29="",B127=[1]Consulta!$E$29),OR([1]Consulta!$G$29="",D127=[1]Consulta!$G$29,R127=[1]Consulta!$G$29)),ROW()-1,""))</f>
        <v/>
      </c>
    </row>
    <row r="128" spans="1:42" ht="1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 t="str">
        <f t="shared" si="9"/>
        <v/>
      </c>
      <c r="AG128" s="7" t="str">
        <f t="shared" si="17"/>
        <v/>
      </c>
      <c r="AH128" s="7" t="str">
        <f t="shared" si="10"/>
        <v/>
      </c>
      <c r="AI128" s="7" t="str">
        <f t="shared" si="11"/>
        <v/>
      </c>
      <c r="AJ128" s="7" t="str">
        <f t="shared" si="12"/>
        <v/>
      </c>
      <c r="AK128" s="7" t="str">
        <f t="shared" si="13"/>
        <v/>
      </c>
      <c r="AL128" s="7" t="str">
        <f t="shared" si="14"/>
        <v/>
      </c>
      <c r="AM128" s="7" t="str">
        <f t="shared" si="15"/>
        <v/>
      </c>
      <c r="AN128" s="8" t="str">
        <f>IF(C128="","",COUNTIF($C$2:C128,C128))</f>
        <v/>
      </c>
      <c r="AO128" s="8" t="str">
        <f t="shared" si="16"/>
        <v/>
      </c>
      <c r="AP128" s="8" t="str">
        <f>IF(C128="","",IF(AND(OR([1]Consulta!$C$29="",A128=[1]Consulta!$C$29),OR([1]Consulta!$E$29="",B128=[1]Consulta!$E$29),OR([1]Consulta!$G$29="",D128=[1]Consulta!$G$29,R128=[1]Consulta!$G$29)),ROW()-1,""))</f>
        <v/>
      </c>
    </row>
    <row r="129" spans="1:42" ht="1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 t="str">
        <f t="shared" si="9"/>
        <v/>
      </c>
      <c r="AG129" s="7" t="str">
        <f t="shared" si="17"/>
        <v/>
      </c>
      <c r="AH129" s="7" t="str">
        <f t="shared" si="10"/>
        <v/>
      </c>
      <c r="AI129" s="7" t="str">
        <f t="shared" si="11"/>
        <v/>
      </c>
      <c r="AJ129" s="7" t="str">
        <f t="shared" si="12"/>
        <v/>
      </c>
      <c r="AK129" s="7" t="str">
        <f t="shared" si="13"/>
        <v/>
      </c>
      <c r="AL129" s="7" t="str">
        <f t="shared" si="14"/>
        <v/>
      </c>
      <c r="AM129" s="7" t="str">
        <f t="shared" si="15"/>
        <v/>
      </c>
      <c r="AN129" s="8" t="str">
        <f>IF(C129="","",COUNTIF($C$2:C129,C129))</f>
        <v/>
      </c>
      <c r="AO129" s="8" t="str">
        <f t="shared" si="16"/>
        <v/>
      </c>
      <c r="AP129" s="8" t="str">
        <f>IF(C129="","",IF(AND(OR([1]Consulta!$C$29="",A129=[1]Consulta!$C$29),OR([1]Consulta!$E$29="",B129=[1]Consulta!$E$29),OR([1]Consulta!$G$29="",D129=[1]Consulta!$G$29,R129=[1]Consulta!$G$29)),ROW()-1,""))</f>
        <v/>
      </c>
    </row>
    <row r="130" spans="1:42" ht="1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 t="str">
        <f t="shared" ref="AF130:AF193" si="18">IF(C130="","",IF(AND(ISNUMBER(K130),ISNUMBER(L130)),K130-L130,""))</f>
        <v/>
      </c>
      <c r="AG130" s="7" t="str">
        <f t="shared" si="17"/>
        <v/>
      </c>
      <c r="AH130" s="7" t="str">
        <f t="shared" ref="AH130:AH193" si="19">IF(C130="","",IF(AND(ISNUMBER(Y130),ISNUMBER(Z130)),Y130-Z130,""))</f>
        <v/>
      </c>
      <c r="AI130" s="7" t="str">
        <f t="shared" ref="AI130:AI193" si="20">IF(C130="","",IF(AH130="","N/A",IF(AH130&lt;0,"ALARMA","OK")))</f>
        <v/>
      </c>
      <c r="AJ130" s="7" t="str">
        <f t="shared" ref="AJ130:AJ193" si="21">IF(C130="","",IF(ISNUMBER(M130),IF(M130&gt;0,"CON ERRORES","OK"),"N/A"))</f>
        <v/>
      </c>
      <c r="AK130" s="7" t="str">
        <f t="shared" ref="AK130:AK193" si="22">IF(C130="","",IF(ISNUMBER(AA130),IF(AA130&gt;0,"CON ERRORES","OK"),"N/A"))</f>
        <v/>
      </c>
      <c r="AL130" s="7" t="str">
        <f t="shared" ref="AL130:AL193" si="23">IF(C130="","",IF(OR(AG130="ALARMA",AI130="ALARMA",AJ130="CON ERRORES",AK130="CON ERRORES"),"REVISAR","OK"))</f>
        <v/>
      </c>
      <c r="AM130" s="7" t="str">
        <f t="shared" ref="AM130:AM193" si="24">IF(C130="","",IF(ISNUMBER(Q130),Q130,IF(ISNUMBER(AE130),AE130,"Ver detalle")))</f>
        <v/>
      </c>
      <c r="AN130" s="8" t="str">
        <f>IF(C130="","",COUNTIF($C$2:C130,C130))</f>
        <v/>
      </c>
      <c r="AO130" s="8" t="str">
        <f t="shared" ref="AO130:AO193" si="25">IF(C130="","",C130&amp;"|"&amp;AN130)</f>
        <v/>
      </c>
      <c r="AP130" s="8" t="str">
        <f>IF(C130="","",IF(AND(OR([1]Consulta!$C$29="",A130=[1]Consulta!$C$29),OR([1]Consulta!$E$29="",B130=[1]Consulta!$E$29),OR([1]Consulta!$G$29="",D130=[1]Consulta!$G$29,R130=[1]Consulta!$G$29)),ROW()-1,""))</f>
        <v/>
      </c>
    </row>
    <row r="131" spans="1:42" ht="1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 t="str">
        <f t="shared" si="18"/>
        <v/>
      </c>
      <c r="AG131" s="7" t="str">
        <f t="shared" ref="AG131:AG194" si="26">IF(C131="","",IF(AF131="","N/A",IF(AF131&lt;0,"ALARMA","OK")))</f>
        <v/>
      </c>
      <c r="AH131" s="7" t="str">
        <f t="shared" si="19"/>
        <v/>
      </c>
      <c r="AI131" s="7" t="str">
        <f t="shared" si="20"/>
        <v/>
      </c>
      <c r="AJ131" s="7" t="str">
        <f t="shared" si="21"/>
        <v/>
      </c>
      <c r="AK131" s="7" t="str">
        <f t="shared" si="22"/>
        <v/>
      </c>
      <c r="AL131" s="7" t="str">
        <f t="shared" si="23"/>
        <v/>
      </c>
      <c r="AM131" s="7" t="str">
        <f t="shared" si="24"/>
        <v/>
      </c>
      <c r="AN131" s="8" t="str">
        <f>IF(C131="","",COUNTIF($C$2:C131,C131))</f>
        <v/>
      </c>
      <c r="AO131" s="8" t="str">
        <f t="shared" si="25"/>
        <v/>
      </c>
      <c r="AP131" s="8" t="str">
        <f>IF(C131="","",IF(AND(OR([1]Consulta!$C$29="",A131=[1]Consulta!$C$29),OR([1]Consulta!$E$29="",B131=[1]Consulta!$E$29),OR([1]Consulta!$G$29="",D131=[1]Consulta!$G$29,R131=[1]Consulta!$G$29)),ROW()-1,""))</f>
        <v/>
      </c>
    </row>
    <row r="132" spans="1:42" ht="1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 t="str">
        <f t="shared" si="18"/>
        <v/>
      </c>
      <c r="AG132" s="7" t="str">
        <f t="shared" si="26"/>
        <v/>
      </c>
      <c r="AH132" s="7" t="str">
        <f t="shared" si="19"/>
        <v/>
      </c>
      <c r="AI132" s="7" t="str">
        <f t="shared" si="20"/>
        <v/>
      </c>
      <c r="AJ132" s="7" t="str">
        <f t="shared" si="21"/>
        <v/>
      </c>
      <c r="AK132" s="7" t="str">
        <f t="shared" si="22"/>
        <v/>
      </c>
      <c r="AL132" s="7" t="str">
        <f t="shared" si="23"/>
        <v/>
      </c>
      <c r="AM132" s="7" t="str">
        <f t="shared" si="24"/>
        <v/>
      </c>
      <c r="AN132" s="8" t="str">
        <f>IF(C132="","",COUNTIF($C$2:C132,C132))</f>
        <v/>
      </c>
      <c r="AO132" s="8" t="str">
        <f t="shared" si="25"/>
        <v/>
      </c>
      <c r="AP132" s="8" t="str">
        <f>IF(C132="","",IF(AND(OR([1]Consulta!$C$29="",A132=[1]Consulta!$C$29),OR([1]Consulta!$E$29="",B132=[1]Consulta!$E$29),OR([1]Consulta!$G$29="",D132=[1]Consulta!$G$29,R132=[1]Consulta!$G$29)),ROW()-1,""))</f>
        <v/>
      </c>
    </row>
    <row r="133" spans="1:42" ht="1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 t="str">
        <f t="shared" si="18"/>
        <v/>
      </c>
      <c r="AG133" s="7" t="str">
        <f t="shared" si="26"/>
        <v/>
      </c>
      <c r="AH133" s="7" t="str">
        <f t="shared" si="19"/>
        <v/>
      </c>
      <c r="AI133" s="7" t="str">
        <f t="shared" si="20"/>
        <v/>
      </c>
      <c r="AJ133" s="7" t="str">
        <f t="shared" si="21"/>
        <v/>
      </c>
      <c r="AK133" s="7" t="str">
        <f t="shared" si="22"/>
        <v/>
      </c>
      <c r="AL133" s="7" t="str">
        <f t="shared" si="23"/>
        <v/>
      </c>
      <c r="AM133" s="7" t="str">
        <f t="shared" si="24"/>
        <v/>
      </c>
      <c r="AN133" s="8" t="str">
        <f>IF(C133="","",COUNTIF($C$2:C133,C133))</f>
        <v/>
      </c>
      <c r="AO133" s="8" t="str">
        <f t="shared" si="25"/>
        <v/>
      </c>
      <c r="AP133" s="8" t="str">
        <f>IF(C133="","",IF(AND(OR([1]Consulta!$C$29="",A133=[1]Consulta!$C$29),OR([1]Consulta!$E$29="",B133=[1]Consulta!$E$29),OR([1]Consulta!$G$29="",D133=[1]Consulta!$G$29,R133=[1]Consulta!$G$29)),ROW()-1,""))</f>
        <v/>
      </c>
    </row>
    <row r="134" spans="1:42" ht="1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 t="str">
        <f t="shared" si="18"/>
        <v/>
      </c>
      <c r="AG134" s="7" t="str">
        <f t="shared" si="26"/>
        <v/>
      </c>
      <c r="AH134" s="7" t="str">
        <f t="shared" si="19"/>
        <v/>
      </c>
      <c r="AI134" s="7" t="str">
        <f t="shared" si="20"/>
        <v/>
      </c>
      <c r="AJ134" s="7" t="str">
        <f t="shared" si="21"/>
        <v/>
      </c>
      <c r="AK134" s="7" t="str">
        <f t="shared" si="22"/>
        <v/>
      </c>
      <c r="AL134" s="7" t="str">
        <f t="shared" si="23"/>
        <v/>
      </c>
      <c r="AM134" s="7" t="str">
        <f t="shared" si="24"/>
        <v/>
      </c>
      <c r="AN134" s="8" t="str">
        <f>IF(C134="","",COUNTIF($C$2:C134,C134))</f>
        <v/>
      </c>
      <c r="AO134" s="8" t="str">
        <f t="shared" si="25"/>
        <v/>
      </c>
      <c r="AP134" s="8" t="str">
        <f>IF(C134="","",IF(AND(OR([1]Consulta!$C$29="",A134=[1]Consulta!$C$29),OR([1]Consulta!$E$29="",B134=[1]Consulta!$E$29),OR([1]Consulta!$G$29="",D134=[1]Consulta!$G$29,R134=[1]Consulta!$G$29)),ROW()-1,""))</f>
        <v/>
      </c>
    </row>
    <row r="135" spans="1:42" ht="1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 t="str">
        <f t="shared" si="18"/>
        <v/>
      </c>
      <c r="AG135" s="7" t="str">
        <f t="shared" si="26"/>
        <v/>
      </c>
      <c r="AH135" s="7" t="str">
        <f t="shared" si="19"/>
        <v/>
      </c>
      <c r="AI135" s="7" t="str">
        <f t="shared" si="20"/>
        <v/>
      </c>
      <c r="AJ135" s="7" t="str">
        <f t="shared" si="21"/>
        <v/>
      </c>
      <c r="AK135" s="7" t="str">
        <f t="shared" si="22"/>
        <v/>
      </c>
      <c r="AL135" s="7" t="str">
        <f t="shared" si="23"/>
        <v/>
      </c>
      <c r="AM135" s="7" t="str">
        <f t="shared" si="24"/>
        <v/>
      </c>
      <c r="AN135" s="8" t="str">
        <f>IF(C135="","",COUNTIF($C$2:C135,C135))</f>
        <v/>
      </c>
      <c r="AO135" s="8" t="str">
        <f t="shared" si="25"/>
        <v/>
      </c>
      <c r="AP135" s="8" t="str">
        <f>IF(C135="","",IF(AND(OR([1]Consulta!$C$29="",A135=[1]Consulta!$C$29),OR([1]Consulta!$E$29="",B135=[1]Consulta!$E$29),OR([1]Consulta!$G$29="",D135=[1]Consulta!$G$29,R135=[1]Consulta!$G$29)),ROW()-1,""))</f>
        <v/>
      </c>
    </row>
    <row r="136" spans="1:42" ht="1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 t="str">
        <f t="shared" si="18"/>
        <v/>
      </c>
      <c r="AG136" s="7" t="str">
        <f t="shared" si="26"/>
        <v/>
      </c>
      <c r="AH136" s="7" t="str">
        <f t="shared" si="19"/>
        <v/>
      </c>
      <c r="AI136" s="7" t="str">
        <f t="shared" si="20"/>
        <v/>
      </c>
      <c r="AJ136" s="7" t="str">
        <f t="shared" si="21"/>
        <v/>
      </c>
      <c r="AK136" s="7" t="str">
        <f t="shared" si="22"/>
        <v/>
      </c>
      <c r="AL136" s="7" t="str">
        <f t="shared" si="23"/>
        <v/>
      </c>
      <c r="AM136" s="7" t="str">
        <f t="shared" si="24"/>
        <v/>
      </c>
      <c r="AN136" s="8" t="str">
        <f>IF(C136="","",COUNTIF($C$2:C136,C136))</f>
        <v/>
      </c>
      <c r="AO136" s="8" t="str">
        <f t="shared" si="25"/>
        <v/>
      </c>
      <c r="AP136" s="8" t="str">
        <f>IF(C136="","",IF(AND(OR([1]Consulta!$C$29="",A136=[1]Consulta!$C$29),OR([1]Consulta!$E$29="",B136=[1]Consulta!$E$29),OR([1]Consulta!$G$29="",D136=[1]Consulta!$G$29,R136=[1]Consulta!$G$29)),ROW()-1,""))</f>
        <v/>
      </c>
    </row>
    <row r="137" spans="1:42" ht="1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 t="str">
        <f t="shared" si="18"/>
        <v/>
      </c>
      <c r="AG137" s="7" t="str">
        <f t="shared" si="26"/>
        <v/>
      </c>
      <c r="AH137" s="7" t="str">
        <f t="shared" si="19"/>
        <v/>
      </c>
      <c r="AI137" s="7" t="str">
        <f t="shared" si="20"/>
        <v/>
      </c>
      <c r="AJ137" s="7" t="str">
        <f t="shared" si="21"/>
        <v/>
      </c>
      <c r="AK137" s="7" t="str">
        <f t="shared" si="22"/>
        <v/>
      </c>
      <c r="AL137" s="7" t="str">
        <f t="shared" si="23"/>
        <v/>
      </c>
      <c r="AM137" s="7" t="str">
        <f t="shared" si="24"/>
        <v/>
      </c>
      <c r="AN137" s="8" t="str">
        <f>IF(C137="","",COUNTIF($C$2:C137,C137))</f>
        <v/>
      </c>
      <c r="AO137" s="8" t="str">
        <f t="shared" si="25"/>
        <v/>
      </c>
      <c r="AP137" s="8" t="str">
        <f>IF(C137="","",IF(AND(OR([1]Consulta!$C$29="",A137=[1]Consulta!$C$29),OR([1]Consulta!$E$29="",B137=[1]Consulta!$E$29),OR([1]Consulta!$G$29="",D137=[1]Consulta!$G$29,R137=[1]Consulta!$G$29)),ROW()-1,""))</f>
        <v/>
      </c>
    </row>
    <row r="138" spans="1:42" ht="1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 t="str">
        <f t="shared" si="18"/>
        <v/>
      </c>
      <c r="AG138" s="7" t="str">
        <f t="shared" si="26"/>
        <v/>
      </c>
      <c r="AH138" s="7" t="str">
        <f t="shared" si="19"/>
        <v/>
      </c>
      <c r="AI138" s="7" t="str">
        <f t="shared" si="20"/>
        <v/>
      </c>
      <c r="AJ138" s="7" t="str">
        <f t="shared" si="21"/>
        <v/>
      </c>
      <c r="AK138" s="7" t="str">
        <f t="shared" si="22"/>
        <v/>
      </c>
      <c r="AL138" s="7" t="str">
        <f t="shared" si="23"/>
        <v/>
      </c>
      <c r="AM138" s="7" t="str">
        <f t="shared" si="24"/>
        <v/>
      </c>
      <c r="AN138" s="8" t="str">
        <f>IF(C138="","",COUNTIF($C$2:C138,C138))</f>
        <v/>
      </c>
      <c r="AO138" s="8" t="str">
        <f t="shared" si="25"/>
        <v/>
      </c>
      <c r="AP138" s="8" t="str">
        <f>IF(C138="","",IF(AND(OR([1]Consulta!$C$29="",A138=[1]Consulta!$C$29),OR([1]Consulta!$E$29="",B138=[1]Consulta!$E$29),OR([1]Consulta!$G$29="",D138=[1]Consulta!$G$29,R138=[1]Consulta!$G$29)),ROW()-1,""))</f>
        <v/>
      </c>
    </row>
    <row r="139" spans="1:42" ht="1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 t="str">
        <f t="shared" si="18"/>
        <v/>
      </c>
      <c r="AG139" s="7" t="str">
        <f t="shared" si="26"/>
        <v/>
      </c>
      <c r="AH139" s="7" t="str">
        <f t="shared" si="19"/>
        <v/>
      </c>
      <c r="AI139" s="7" t="str">
        <f t="shared" si="20"/>
        <v/>
      </c>
      <c r="AJ139" s="7" t="str">
        <f t="shared" si="21"/>
        <v/>
      </c>
      <c r="AK139" s="7" t="str">
        <f t="shared" si="22"/>
        <v/>
      </c>
      <c r="AL139" s="7" t="str">
        <f t="shared" si="23"/>
        <v/>
      </c>
      <c r="AM139" s="7" t="str">
        <f t="shared" si="24"/>
        <v/>
      </c>
      <c r="AN139" s="8" t="str">
        <f>IF(C139="","",COUNTIF($C$2:C139,C139))</f>
        <v/>
      </c>
      <c r="AO139" s="8" t="str">
        <f t="shared" si="25"/>
        <v/>
      </c>
      <c r="AP139" s="8" t="str">
        <f>IF(C139="","",IF(AND(OR([1]Consulta!$C$29="",A139=[1]Consulta!$C$29),OR([1]Consulta!$E$29="",B139=[1]Consulta!$E$29),OR([1]Consulta!$G$29="",D139=[1]Consulta!$G$29,R139=[1]Consulta!$G$29)),ROW()-1,""))</f>
        <v/>
      </c>
    </row>
    <row r="140" spans="1:42" ht="1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 t="str">
        <f t="shared" si="18"/>
        <v/>
      </c>
      <c r="AG140" s="7" t="str">
        <f t="shared" si="26"/>
        <v/>
      </c>
      <c r="AH140" s="7" t="str">
        <f t="shared" si="19"/>
        <v/>
      </c>
      <c r="AI140" s="7" t="str">
        <f t="shared" si="20"/>
        <v/>
      </c>
      <c r="AJ140" s="7" t="str">
        <f t="shared" si="21"/>
        <v/>
      </c>
      <c r="AK140" s="7" t="str">
        <f t="shared" si="22"/>
        <v/>
      </c>
      <c r="AL140" s="7" t="str">
        <f t="shared" si="23"/>
        <v/>
      </c>
      <c r="AM140" s="7" t="str">
        <f t="shared" si="24"/>
        <v/>
      </c>
      <c r="AN140" s="8" t="str">
        <f>IF(C140="","",COUNTIF($C$2:C140,C140))</f>
        <v/>
      </c>
      <c r="AO140" s="8" t="str">
        <f t="shared" si="25"/>
        <v/>
      </c>
      <c r="AP140" s="8" t="str">
        <f>IF(C140="","",IF(AND(OR([1]Consulta!$C$29="",A140=[1]Consulta!$C$29),OR([1]Consulta!$E$29="",B140=[1]Consulta!$E$29),OR([1]Consulta!$G$29="",D140=[1]Consulta!$G$29,R140=[1]Consulta!$G$29)),ROW()-1,""))</f>
        <v/>
      </c>
    </row>
    <row r="141" spans="1:42" ht="1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 t="str">
        <f t="shared" si="18"/>
        <v/>
      </c>
      <c r="AG141" s="7" t="str">
        <f t="shared" si="26"/>
        <v/>
      </c>
      <c r="AH141" s="7" t="str">
        <f t="shared" si="19"/>
        <v/>
      </c>
      <c r="AI141" s="7" t="str">
        <f t="shared" si="20"/>
        <v/>
      </c>
      <c r="AJ141" s="7" t="str">
        <f t="shared" si="21"/>
        <v/>
      </c>
      <c r="AK141" s="7" t="str">
        <f t="shared" si="22"/>
        <v/>
      </c>
      <c r="AL141" s="7" t="str">
        <f t="shared" si="23"/>
        <v/>
      </c>
      <c r="AM141" s="7" t="str">
        <f t="shared" si="24"/>
        <v/>
      </c>
      <c r="AN141" s="8" t="str">
        <f>IF(C141="","",COUNTIF($C$2:C141,C141))</f>
        <v/>
      </c>
      <c r="AO141" s="8" t="str">
        <f t="shared" si="25"/>
        <v/>
      </c>
      <c r="AP141" s="8" t="str">
        <f>IF(C141="","",IF(AND(OR([1]Consulta!$C$29="",A141=[1]Consulta!$C$29),OR([1]Consulta!$E$29="",B141=[1]Consulta!$E$29),OR([1]Consulta!$G$29="",D141=[1]Consulta!$G$29,R141=[1]Consulta!$G$29)),ROW()-1,""))</f>
        <v/>
      </c>
    </row>
    <row r="142" spans="1:42" ht="1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 t="str">
        <f t="shared" si="18"/>
        <v/>
      </c>
      <c r="AG142" s="7" t="str">
        <f t="shared" si="26"/>
        <v/>
      </c>
      <c r="AH142" s="7" t="str">
        <f t="shared" si="19"/>
        <v/>
      </c>
      <c r="AI142" s="7" t="str">
        <f t="shared" si="20"/>
        <v/>
      </c>
      <c r="AJ142" s="7" t="str">
        <f t="shared" si="21"/>
        <v/>
      </c>
      <c r="AK142" s="7" t="str">
        <f t="shared" si="22"/>
        <v/>
      </c>
      <c r="AL142" s="7" t="str">
        <f t="shared" si="23"/>
        <v/>
      </c>
      <c r="AM142" s="7" t="str">
        <f t="shared" si="24"/>
        <v/>
      </c>
      <c r="AN142" s="8" t="str">
        <f>IF(C142="","",COUNTIF($C$2:C142,C142))</f>
        <v/>
      </c>
      <c r="AO142" s="8" t="str">
        <f t="shared" si="25"/>
        <v/>
      </c>
      <c r="AP142" s="8" t="str">
        <f>IF(C142="","",IF(AND(OR([1]Consulta!$C$29="",A142=[1]Consulta!$C$29),OR([1]Consulta!$E$29="",B142=[1]Consulta!$E$29),OR([1]Consulta!$G$29="",D142=[1]Consulta!$G$29,R142=[1]Consulta!$G$29)),ROW()-1,""))</f>
        <v/>
      </c>
    </row>
    <row r="143" spans="1:42" ht="1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 t="str">
        <f t="shared" si="18"/>
        <v/>
      </c>
      <c r="AG143" s="7" t="str">
        <f t="shared" si="26"/>
        <v/>
      </c>
      <c r="AH143" s="7" t="str">
        <f t="shared" si="19"/>
        <v/>
      </c>
      <c r="AI143" s="7" t="str">
        <f t="shared" si="20"/>
        <v/>
      </c>
      <c r="AJ143" s="7" t="str">
        <f t="shared" si="21"/>
        <v/>
      </c>
      <c r="AK143" s="7" t="str">
        <f t="shared" si="22"/>
        <v/>
      </c>
      <c r="AL143" s="7" t="str">
        <f t="shared" si="23"/>
        <v/>
      </c>
      <c r="AM143" s="7" t="str">
        <f t="shared" si="24"/>
        <v/>
      </c>
      <c r="AN143" s="8" t="str">
        <f>IF(C143="","",COUNTIF($C$2:C143,C143))</f>
        <v/>
      </c>
      <c r="AO143" s="8" t="str">
        <f t="shared" si="25"/>
        <v/>
      </c>
      <c r="AP143" s="8" t="str">
        <f>IF(C143="","",IF(AND(OR([1]Consulta!$C$29="",A143=[1]Consulta!$C$29),OR([1]Consulta!$E$29="",B143=[1]Consulta!$E$29),OR([1]Consulta!$G$29="",D143=[1]Consulta!$G$29,R143=[1]Consulta!$G$29)),ROW()-1,""))</f>
        <v/>
      </c>
    </row>
    <row r="144" spans="1:42" ht="1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 t="str">
        <f t="shared" si="18"/>
        <v/>
      </c>
      <c r="AG144" s="7" t="str">
        <f t="shared" si="26"/>
        <v/>
      </c>
      <c r="AH144" s="7" t="str">
        <f t="shared" si="19"/>
        <v/>
      </c>
      <c r="AI144" s="7" t="str">
        <f t="shared" si="20"/>
        <v/>
      </c>
      <c r="AJ144" s="7" t="str">
        <f t="shared" si="21"/>
        <v/>
      </c>
      <c r="AK144" s="7" t="str">
        <f t="shared" si="22"/>
        <v/>
      </c>
      <c r="AL144" s="7" t="str">
        <f t="shared" si="23"/>
        <v/>
      </c>
      <c r="AM144" s="7" t="str">
        <f t="shared" si="24"/>
        <v/>
      </c>
      <c r="AN144" s="8" t="str">
        <f>IF(C144="","",COUNTIF($C$2:C144,C144))</f>
        <v/>
      </c>
      <c r="AO144" s="8" t="str">
        <f t="shared" si="25"/>
        <v/>
      </c>
      <c r="AP144" s="8" t="str">
        <f>IF(C144="","",IF(AND(OR([1]Consulta!$C$29="",A144=[1]Consulta!$C$29),OR([1]Consulta!$E$29="",B144=[1]Consulta!$E$29),OR([1]Consulta!$G$29="",D144=[1]Consulta!$G$29,R144=[1]Consulta!$G$29)),ROW()-1,""))</f>
        <v/>
      </c>
    </row>
    <row r="145" spans="1:42" ht="1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 t="str">
        <f t="shared" si="18"/>
        <v/>
      </c>
      <c r="AG145" s="7" t="str">
        <f t="shared" si="26"/>
        <v/>
      </c>
      <c r="AH145" s="7" t="str">
        <f t="shared" si="19"/>
        <v/>
      </c>
      <c r="AI145" s="7" t="str">
        <f t="shared" si="20"/>
        <v/>
      </c>
      <c r="AJ145" s="7" t="str">
        <f t="shared" si="21"/>
        <v/>
      </c>
      <c r="AK145" s="7" t="str">
        <f t="shared" si="22"/>
        <v/>
      </c>
      <c r="AL145" s="7" t="str">
        <f t="shared" si="23"/>
        <v/>
      </c>
      <c r="AM145" s="7" t="str">
        <f t="shared" si="24"/>
        <v/>
      </c>
      <c r="AN145" s="8" t="str">
        <f>IF(C145="","",COUNTIF($C$2:C145,C145))</f>
        <v/>
      </c>
      <c r="AO145" s="8" t="str">
        <f t="shared" si="25"/>
        <v/>
      </c>
      <c r="AP145" s="8" t="str">
        <f>IF(C145="","",IF(AND(OR([1]Consulta!$C$29="",A145=[1]Consulta!$C$29),OR([1]Consulta!$E$29="",B145=[1]Consulta!$E$29),OR([1]Consulta!$G$29="",D145=[1]Consulta!$G$29,R145=[1]Consulta!$G$29)),ROW()-1,""))</f>
        <v/>
      </c>
    </row>
    <row r="146" spans="1:42" ht="1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 t="str">
        <f t="shared" si="18"/>
        <v/>
      </c>
      <c r="AG146" s="7" t="str">
        <f t="shared" si="26"/>
        <v/>
      </c>
      <c r="AH146" s="7" t="str">
        <f t="shared" si="19"/>
        <v/>
      </c>
      <c r="AI146" s="7" t="str">
        <f t="shared" si="20"/>
        <v/>
      </c>
      <c r="AJ146" s="7" t="str">
        <f t="shared" si="21"/>
        <v/>
      </c>
      <c r="AK146" s="7" t="str">
        <f t="shared" si="22"/>
        <v/>
      </c>
      <c r="AL146" s="7" t="str">
        <f t="shared" si="23"/>
        <v/>
      </c>
      <c r="AM146" s="7" t="str">
        <f t="shared" si="24"/>
        <v/>
      </c>
      <c r="AN146" s="8" t="str">
        <f>IF(C146="","",COUNTIF($C$2:C146,C146))</f>
        <v/>
      </c>
      <c r="AO146" s="8" t="str">
        <f t="shared" si="25"/>
        <v/>
      </c>
      <c r="AP146" s="8" t="str">
        <f>IF(C146="","",IF(AND(OR([1]Consulta!$C$29="",A146=[1]Consulta!$C$29),OR([1]Consulta!$E$29="",B146=[1]Consulta!$E$29),OR([1]Consulta!$G$29="",D146=[1]Consulta!$G$29,R146=[1]Consulta!$G$29)),ROW()-1,""))</f>
        <v/>
      </c>
    </row>
    <row r="147" spans="1:42" ht="1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 t="str">
        <f t="shared" si="18"/>
        <v/>
      </c>
      <c r="AG147" s="7" t="str">
        <f t="shared" si="26"/>
        <v/>
      </c>
      <c r="AH147" s="7" t="str">
        <f t="shared" si="19"/>
        <v/>
      </c>
      <c r="AI147" s="7" t="str">
        <f t="shared" si="20"/>
        <v/>
      </c>
      <c r="AJ147" s="7" t="str">
        <f t="shared" si="21"/>
        <v/>
      </c>
      <c r="AK147" s="7" t="str">
        <f t="shared" si="22"/>
        <v/>
      </c>
      <c r="AL147" s="7" t="str">
        <f t="shared" si="23"/>
        <v/>
      </c>
      <c r="AM147" s="7" t="str">
        <f t="shared" si="24"/>
        <v/>
      </c>
      <c r="AN147" s="8" t="str">
        <f>IF(C147="","",COUNTIF($C$2:C147,C147))</f>
        <v/>
      </c>
      <c r="AO147" s="8" t="str">
        <f t="shared" si="25"/>
        <v/>
      </c>
      <c r="AP147" s="8" t="str">
        <f>IF(C147="","",IF(AND(OR([1]Consulta!$C$29="",A147=[1]Consulta!$C$29),OR([1]Consulta!$E$29="",B147=[1]Consulta!$E$29),OR([1]Consulta!$G$29="",D147=[1]Consulta!$G$29,R147=[1]Consulta!$G$29)),ROW()-1,""))</f>
        <v/>
      </c>
    </row>
    <row r="148" spans="1:42" ht="1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 t="str">
        <f t="shared" si="18"/>
        <v/>
      </c>
      <c r="AG148" s="7" t="str">
        <f t="shared" si="26"/>
        <v/>
      </c>
      <c r="AH148" s="7" t="str">
        <f t="shared" si="19"/>
        <v/>
      </c>
      <c r="AI148" s="7" t="str">
        <f t="shared" si="20"/>
        <v/>
      </c>
      <c r="AJ148" s="7" t="str">
        <f t="shared" si="21"/>
        <v/>
      </c>
      <c r="AK148" s="7" t="str">
        <f t="shared" si="22"/>
        <v/>
      </c>
      <c r="AL148" s="7" t="str">
        <f t="shared" si="23"/>
        <v/>
      </c>
      <c r="AM148" s="7" t="str">
        <f t="shared" si="24"/>
        <v/>
      </c>
      <c r="AN148" s="8" t="str">
        <f>IF(C148="","",COUNTIF($C$2:C148,C148))</f>
        <v/>
      </c>
      <c r="AO148" s="8" t="str">
        <f t="shared" si="25"/>
        <v/>
      </c>
      <c r="AP148" s="8" t="str">
        <f>IF(C148="","",IF(AND(OR([1]Consulta!$C$29="",A148=[1]Consulta!$C$29),OR([1]Consulta!$E$29="",B148=[1]Consulta!$E$29),OR([1]Consulta!$G$29="",D148=[1]Consulta!$G$29,R148=[1]Consulta!$G$29)),ROW()-1,""))</f>
        <v/>
      </c>
    </row>
    <row r="149" spans="1:42" ht="1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 t="str">
        <f t="shared" si="18"/>
        <v/>
      </c>
      <c r="AG149" s="7" t="str">
        <f t="shared" si="26"/>
        <v/>
      </c>
      <c r="AH149" s="7" t="str">
        <f t="shared" si="19"/>
        <v/>
      </c>
      <c r="AI149" s="7" t="str">
        <f t="shared" si="20"/>
        <v/>
      </c>
      <c r="AJ149" s="7" t="str">
        <f t="shared" si="21"/>
        <v/>
      </c>
      <c r="AK149" s="7" t="str">
        <f t="shared" si="22"/>
        <v/>
      </c>
      <c r="AL149" s="7" t="str">
        <f t="shared" si="23"/>
        <v/>
      </c>
      <c r="AM149" s="7" t="str">
        <f t="shared" si="24"/>
        <v/>
      </c>
      <c r="AN149" s="8" t="str">
        <f>IF(C149="","",COUNTIF($C$2:C149,C149))</f>
        <v/>
      </c>
      <c r="AO149" s="8" t="str">
        <f t="shared" si="25"/>
        <v/>
      </c>
      <c r="AP149" s="8" t="str">
        <f>IF(C149="","",IF(AND(OR([1]Consulta!$C$29="",A149=[1]Consulta!$C$29),OR([1]Consulta!$E$29="",B149=[1]Consulta!$E$29),OR([1]Consulta!$G$29="",D149=[1]Consulta!$G$29,R149=[1]Consulta!$G$29)),ROW()-1,""))</f>
        <v/>
      </c>
    </row>
    <row r="150" spans="1:42" ht="1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 t="str">
        <f t="shared" si="18"/>
        <v/>
      </c>
      <c r="AG150" s="7" t="str">
        <f t="shared" si="26"/>
        <v/>
      </c>
      <c r="AH150" s="7" t="str">
        <f t="shared" si="19"/>
        <v/>
      </c>
      <c r="AI150" s="7" t="str">
        <f t="shared" si="20"/>
        <v/>
      </c>
      <c r="AJ150" s="7" t="str">
        <f t="shared" si="21"/>
        <v/>
      </c>
      <c r="AK150" s="7" t="str">
        <f t="shared" si="22"/>
        <v/>
      </c>
      <c r="AL150" s="7" t="str">
        <f t="shared" si="23"/>
        <v/>
      </c>
      <c r="AM150" s="7" t="str">
        <f t="shared" si="24"/>
        <v/>
      </c>
      <c r="AN150" s="8" t="str">
        <f>IF(C150="","",COUNTIF($C$2:C150,C150))</f>
        <v/>
      </c>
      <c r="AO150" s="8" t="str">
        <f t="shared" si="25"/>
        <v/>
      </c>
      <c r="AP150" s="8" t="str">
        <f>IF(C150="","",IF(AND(OR([1]Consulta!$C$29="",A150=[1]Consulta!$C$29),OR([1]Consulta!$E$29="",B150=[1]Consulta!$E$29),OR([1]Consulta!$G$29="",D150=[1]Consulta!$G$29,R150=[1]Consulta!$G$29)),ROW()-1,""))</f>
        <v/>
      </c>
    </row>
    <row r="151" spans="1:42" ht="1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 t="str">
        <f t="shared" si="18"/>
        <v/>
      </c>
      <c r="AG151" s="7" t="str">
        <f t="shared" si="26"/>
        <v/>
      </c>
      <c r="AH151" s="7" t="str">
        <f t="shared" si="19"/>
        <v/>
      </c>
      <c r="AI151" s="7" t="str">
        <f t="shared" si="20"/>
        <v/>
      </c>
      <c r="AJ151" s="7" t="str">
        <f t="shared" si="21"/>
        <v/>
      </c>
      <c r="AK151" s="7" t="str">
        <f t="shared" si="22"/>
        <v/>
      </c>
      <c r="AL151" s="7" t="str">
        <f t="shared" si="23"/>
        <v/>
      </c>
      <c r="AM151" s="7" t="str">
        <f t="shared" si="24"/>
        <v/>
      </c>
      <c r="AN151" s="8" t="str">
        <f>IF(C151="","",COUNTIF($C$2:C151,C151))</f>
        <v/>
      </c>
      <c r="AO151" s="8" t="str">
        <f t="shared" si="25"/>
        <v/>
      </c>
      <c r="AP151" s="8" t="str">
        <f>IF(C151="","",IF(AND(OR([1]Consulta!$C$29="",A151=[1]Consulta!$C$29),OR([1]Consulta!$E$29="",B151=[1]Consulta!$E$29),OR([1]Consulta!$G$29="",D151=[1]Consulta!$G$29,R151=[1]Consulta!$G$29)),ROW()-1,""))</f>
        <v/>
      </c>
    </row>
    <row r="152" spans="1:42" ht="1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 t="str">
        <f t="shared" si="18"/>
        <v/>
      </c>
      <c r="AG152" s="7" t="str">
        <f t="shared" si="26"/>
        <v/>
      </c>
      <c r="AH152" s="7" t="str">
        <f t="shared" si="19"/>
        <v/>
      </c>
      <c r="AI152" s="7" t="str">
        <f t="shared" si="20"/>
        <v/>
      </c>
      <c r="AJ152" s="7" t="str">
        <f t="shared" si="21"/>
        <v/>
      </c>
      <c r="AK152" s="7" t="str">
        <f t="shared" si="22"/>
        <v/>
      </c>
      <c r="AL152" s="7" t="str">
        <f t="shared" si="23"/>
        <v/>
      </c>
      <c r="AM152" s="7" t="str">
        <f t="shared" si="24"/>
        <v/>
      </c>
      <c r="AN152" s="8" t="str">
        <f>IF(C152="","",COUNTIF($C$2:C152,C152))</f>
        <v/>
      </c>
      <c r="AO152" s="8" t="str">
        <f t="shared" si="25"/>
        <v/>
      </c>
      <c r="AP152" s="8" t="str">
        <f>IF(C152="","",IF(AND(OR([1]Consulta!$C$29="",A152=[1]Consulta!$C$29),OR([1]Consulta!$E$29="",B152=[1]Consulta!$E$29),OR([1]Consulta!$G$29="",D152=[1]Consulta!$G$29,R152=[1]Consulta!$G$29)),ROW()-1,""))</f>
        <v/>
      </c>
    </row>
    <row r="153" spans="1:42" ht="1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 t="str">
        <f t="shared" si="18"/>
        <v/>
      </c>
      <c r="AG153" s="7" t="str">
        <f t="shared" si="26"/>
        <v/>
      </c>
      <c r="AH153" s="7" t="str">
        <f t="shared" si="19"/>
        <v/>
      </c>
      <c r="AI153" s="7" t="str">
        <f t="shared" si="20"/>
        <v/>
      </c>
      <c r="AJ153" s="7" t="str">
        <f t="shared" si="21"/>
        <v/>
      </c>
      <c r="AK153" s="7" t="str">
        <f t="shared" si="22"/>
        <v/>
      </c>
      <c r="AL153" s="7" t="str">
        <f t="shared" si="23"/>
        <v/>
      </c>
      <c r="AM153" s="7" t="str">
        <f t="shared" si="24"/>
        <v/>
      </c>
      <c r="AN153" s="8" t="str">
        <f>IF(C153="","",COUNTIF($C$2:C153,C153))</f>
        <v/>
      </c>
      <c r="AO153" s="8" t="str">
        <f t="shared" si="25"/>
        <v/>
      </c>
      <c r="AP153" s="8" t="str">
        <f>IF(C153="","",IF(AND(OR([1]Consulta!$C$29="",A153=[1]Consulta!$C$29),OR([1]Consulta!$E$29="",B153=[1]Consulta!$E$29),OR([1]Consulta!$G$29="",D153=[1]Consulta!$G$29,R153=[1]Consulta!$G$29)),ROW()-1,""))</f>
        <v/>
      </c>
    </row>
    <row r="154" spans="1:42" ht="1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 t="str">
        <f t="shared" si="18"/>
        <v/>
      </c>
      <c r="AG154" s="7" t="str">
        <f t="shared" si="26"/>
        <v/>
      </c>
      <c r="AH154" s="7" t="str">
        <f t="shared" si="19"/>
        <v/>
      </c>
      <c r="AI154" s="7" t="str">
        <f t="shared" si="20"/>
        <v/>
      </c>
      <c r="AJ154" s="7" t="str">
        <f t="shared" si="21"/>
        <v/>
      </c>
      <c r="AK154" s="7" t="str">
        <f t="shared" si="22"/>
        <v/>
      </c>
      <c r="AL154" s="7" t="str">
        <f t="shared" si="23"/>
        <v/>
      </c>
      <c r="AM154" s="7" t="str">
        <f t="shared" si="24"/>
        <v/>
      </c>
      <c r="AN154" s="8" t="str">
        <f>IF(C154="","",COUNTIF($C$2:C154,C154))</f>
        <v/>
      </c>
      <c r="AO154" s="8" t="str">
        <f t="shared" si="25"/>
        <v/>
      </c>
      <c r="AP154" s="8" t="str">
        <f>IF(C154="","",IF(AND(OR([1]Consulta!$C$29="",A154=[1]Consulta!$C$29),OR([1]Consulta!$E$29="",B154=[1]Consulta!$E$29),OR([1]Consulta!$G$29="",D154=[1]Consulta!$G$29,R154=[1]Consulta!$G$29)),ROW()-1,""))</f>
        <v/>
      </c>
    </row>
    <row r="155" spans="1:42" ht="1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 t="str">
        <f t="shared" si="18"/>
        <v/>
      </c>
      <c r="AG155" s="7" t="str">
        <f t="shared" si="26"/>
        <v/>
      </c>
      <c r="AH155" s="7" t="str">
        <f t="shared" si="19"/>
        <v/>
      </c>
      <c r="AI155" s="7" t="str">
        <f t="shared" si="20"/>
        <v/>
      </c>
      <c r="AJ155" s="7" t="str">
        <f t="shared" si="21"/>
        <v/>
      </c>
      <c r="AK155" s="7" t="str">
        <f t="shared" si="22"/>
        <v/>
      </c>
      <c r="AL155" s="7" t="str">
        <f t="shared" si="23"/>
        <v/>
      </c>
      <c r="AM155" s="7" t="str">
        <f t="shared" si="24"/>
        <v/>
      </c>
      <c r="AN155" s="8" t="str">
        <f>IF(C155="","",COUNTIF($C$2:C155,C155))</f>
        <v/>
      </c>
      <c r="AO155" s="8" t="str">
        <f t="shared" si="25"/>
        <v/>
      </c>
      <c r="AP155" s="8" t="str">
        <f>IF(C155="","",IF(AND(OR([1]Consulta!$C$29="",A155=[1]Consulta!$C$29),OR([1]Consulta!$E$29="",B155=[1]Consulta!$E$29),OR([1]Consulta!$G$29="",D155=[1]Consulta!$G$29,R155=[1]Consulta!$G$29)),ROW()-1,""))</f>
        <v/>
      </c>
    </row>
    <row r="156" spans="1:42" ht="1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 t="str">
        <f t="shared" si="18"/>
        <v/>
      </c>
      <c r="AG156" s="7" t="str">
        <f t="shared" si="26"/>
        <v/>
      </c>
      <c r="AH156" s="7" t="str">
        <f t="shared" si="19"/>
        <v/>
      </c>
      <c r="AI156" s="7" t="str">
        <f t="shared" si="20"/>
        <v/>
      </c>
      <c r="AJ156" s="7" t="str">
        <f t="shared" si="21"/>
        <v/>
      </c>
      <c r="AK156" s="7" t="str">
        <f t="shared" si="22"/>
        <v/>
      </c>
      <c r="AL156" s="7" t="str">
        <f t="shared" si="23"/>
        <v/>
      </c>
      <c r="AM156" s="7" t="str">
        <f t="shared" si="24"/>
        <v/>
      </c>
      <c r="AN156" s="8" t="str">
        <f>IF(C156="","",COUNTIF($C$2:C156,C156))</f>
        <v/>
      </c>
      <c r="AO156" s="8" t="str">
        <f t="shared" si="25"/>
        <v/>
      </c>
      <c r="AP156" s="8" t="str">
        <f>IF(C156="","",IF(AND(OR([1]Consulta!$C$29="",A156=[1]Consulta!$C$29),OR([1]Consulta!$E$29="",B156=[1]Consulta!$E$29),OR([1]Consulta!$G$29="",D156=[1]Consulta!$G$29,R156=[1]Consulta!$G$29)),ROW()-1,""))</f>
        <v/>
      </c>
    </row>
    <row r="157" spans="1:42" ht="1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 t="str">
        <f t="shared" si="18"/>
        <v/>
      </c>
      <c r="AG157" s="7" t="str">
        <f t="shared" si="26"/>
        <v/>
      </c>
      <c r="AH157" s="7" t="str">
        <f t="shared" si="19"/>
        <v/>
      </c>
      <c r="AI157" s="7" t="str">
        <f t="shared" si="20"/>
        <v/>
      </c>
      <c r="AJ157" s="7" t="str">
        <f t="shared" si="21"/>
        <v/>
      </c>
      <c r="AK157" s="7" t="str">
        <f t="shared" si="22"/>
        <v/>
      </c>
      <c r="AL157" s="7" t="str">
        <f t="shared" si="23"/>
        <v/>
      </c>
      <c r="AM157" s="7" t="str">
        <f t="shared" si="24"/>
        <v/>
      </c>
      <c r="AN157" s="8" t="str">
        <f>IF(C157="","",COUNTIF($C$2:C157,C157))</f>
        <v/>
      </c>
      <c r="AO157" s="8" t="str">
        <f t="shared" si="25"/>
        <v/>
      </c>
      <c r="AP157" s="8" t="str">
        <f>IF(C157="","",IF(AND(OR([1]Consulta!$C$29="",A157=[1]Consulta!$C$29),OR([1]Consulta!$E$29="",B157=[1]Consulta!$E$29),OR([1]Consulta!$G$29="",D157=[1]Consulta!$G$29,R157=[1]Consulta!$G$29)),ROW()-1,""))</f>
        <v/>
      </c>
    </row>
    <row r="158" spans="1:42" ht="1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 t="str">
        <f t="shared" si="18"/>
        <v/>
      </c>
      <c r="AG158" s="7" t="str">
        <f t="shared" si="26"/>
        <v/>
      </c>
      <c r="AH158" s="7" t="str">
        <f t="shared" si="19"/>
        <v/>
      </c>
      <c r="AI158" s="7" t="str">
        <f t="shared" si="20"/>
        <v/>
      </c>
      <c r="AJ158" s="7" t="str">
        <f t="shared" si="21"/>
        <v/>
      </c>
      <c r="AK158" s="7" t="str">
        <f t="shared" si="22"/>
        <v/>
      </c>
      <c r="AL158" s="7" t="str">
        <f t="shared" si="23"/>
        <v/>
      </c>
      <c r="AM158" s="7" t="str">
        <f t="shared" si="24"/>
        <v/>
      </c>
      <c r="AN158" s="8" t="str">
        <f>IF(C158="","",COUNTIF($C$2:C158,C158))</f>
        <v/>
      </c>
      <c r="AO158" s="8" t="str">
        <f t="shared" si="25"/>
        <v/>
      </c>
      <c r="AP158" s="8" t="str">
        <f>IF(C158="","",IF(AND(OR([1]Consulta!$C$29="",A158=[1]Consulta!$C$29),OR([1]Consulta!$E$29="",B158=[1]Consulta!$E$29),OR([1]Consulta!$G$29="",D158=[1]Consulta!$G$29,R158=[1]Consulta!$G$29)),ROW()-1,""))</f>
        <v/>
      </c>
    </row>
    <row r="159" spans="1:42" ht="1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 t="str">
        <f t="shared" si="18"/>
        <v/>
      </c>
      <c r="AG159" s="7" t="str">
        <f t="shared" si="26"/>
        <v/>
      </c>
      <c r="AH159" s="7" t="str">
        <f t="shared" si="19"/>
        <v/>
      </c>
      <c r="AI159" s="7" t="str">
        <f t="shared" si="20"/>
        <v/>
      </c>
      <c r="AJ159" s="7" t="str">
        <f t="shared" si="21"/>
        <v/>
      </c>
      <c r="AK159" s="7" t="str">
        <f t="shared" si="22"/>
        <v/>
      </c>
      <c r="AL159" s="7" t="str">
        <f t="shared" si="23"/>
        <v/>
      </c>
      <c r="AM159" s="7" t="str">
        <f t="shared" si="24"/>
        <v/>
      </c>
      <c r="AN159" s="8" t="str">
        <f>IF(C159="","",COUNTIF($C$2:C159,C159))</f>
        <v/>
      </c>
      <c r="AO159" s="8" t="str">
        <f t="shared" si="25"/>
        <v/>
      </c>
      <c r="AP159" s="8" t="str">
        <f>IF(C159="","",IF(AND(OR([1]Consulta!$C$29="",A159=[1]Consulta!$C$29),OR([1]Consulta!$E$29="",B159=[1]Consulta!$E$29),OR([1]Consulta!$G$29="",D159=[1]Consulta!$G$29,R159=[1]Consulta!$G$29)),ROW()-1,""))</f>
        <v/>
      </c>
    </row>
    <row r="160" spans="1:42" ht="1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 t="str">
        <f t="shared" si="18"/>
        <v/>
      </c>
      <c r="AG160" s="7" t="str">
        <f t="shared" si="26"/>
        <v/>
      </c>
      <c r="AH160" s="7" t="str">
        <f t="shared" si="19"/>
        <v/>
      </c>
      <c r="AI160" s="7" t="str">
        <f t="shared" si="20"/>
        <v/>
      </c>
      <c r="AJ160" s="7" t="str">
        <f t="shared" si="21"/>
        <v/>
      </c>
      <c r="AK160" s="7" t="str">
        <f t="shared" si="22"/>
        <v/>
      </c>
      <c r="AL160" s="7" t="str">
        <f t="shared" si="23"/>
        <v/>
      </c>
      <c r="AM160" s="7" t="str">
        <f t="shared" si="24"/>
        <v/>
      </c>
      <c r="AN160" s="8" t="str">
        <f>IF(C160="","",COUNTIF($C$2:C160,C160))</f>
        <v/>
      </c>
      <c r="AO160" s="8" t="str">
        <f t="shared" si="25"/>
        <v/>
      </c>
      <c r="AP160" s="8" t="str">
        <f>IF(C160="","",IF(AND(OR([1]Consulta!$C$29="",A160=[1]Consulta!$C$29),OR([1]Consulta!$E$29="",B160=[1]Consulta!$E$29),OR([1]Consulta!$G$29="",D160=[1]Consulta!$G$29,R160=[1]Consulta!$G$29)),ROW()-1,""))</f>
        <v/>
      </c>
    </row>
    <row r="161" spans="1:42" ht="1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 t="str">
        <f t="shared" si="18"/>
        <v/>
      </c>
      <c r="AG161" s="7" t="str">
        <f t="shared" si="26"/>
        <v/>
      </c>
      <c r="AH161" s="7" t="str">
        <f t="shared" si="19"/>
        <v/>
      </c>
      <c r="AI161" s="7" t="str">
        <f t="shared" si="20"/>
        <v/>
      </c>
      <c r="AJ161" s="7" t="str">
        <f t="shared" si="21"/>
        <v/>
      </c>
      <c r="AK161" s="7" t="str">
        <f t="shared" si="22"/>
        <v/>
      </c>
      <c r="AL161" s="7" t="str">
        <f t="shared" si="23"/>
        <v/>
      </c>
      <c r="AM161" s="7" t="str">
        <f t="shared" si="24"/>
        <v/>
      </c>
      <c r="AN161" s="8" t="str">
        <f>IF(C161="","",COUNTIF($C$2:C161,C161))</f>
        <v/>
      </c>
      <c r="AO161" s="8" t="str">
        <f t="shared" si="25"/>
        <v/>
      </c>
      <c r="AP161" s="8" t="str">
        <f>IF(C161="","",IF(AND(OR([1]Consulta!$C$29="",A161=[1]Consulta!$C$29),OR([1]Consulta!$E$29="",B161=[1]Consulta!$E$29),OR([1]Consulta!$G$29="",D161=[1]Consulta!$G$29,R161=[1]Consulta!$G$29)),ROW()-1,""))</f>
        <v/>
      </c>
    </row>
    <row r="162" spans="1:42" ht="1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 t="str">
        <f t="shared" si="18"/>
        <v/>
      </c>
      <c r="AG162" s="7" t="str">
        <f t="shared" si="26"/>
        <v/>
      </c>
      <c r="AH162" s="7" t="str">
        <f t="shared" si="19"/>
        <v/>
      </c>
      <c r="AI162" s="7" t="str">
        <f t="shared" si="20"/>
        <v/>
      </c>
      <c r="AJ162" s="7" t="str">
        <f t="shared" si="21"/>
        <v/>
      </c>
      <c r="AK162" s="7" t="str">
        <f t="shared" si="22"/>
        <v/>
      </c>
      <c r="AL162" s="7" t="str">
        <f t="shared" si="23"/>
        <v/>
      </c>
      <c r="AM162" s="7" t="str">
        <f t="shared" si="24"/>
        <v/>
      </c>
      <c r="AN162" s="8" t="str">
        <f>IF(C162="","",COUNTIF($C$2:C162,C162))</f>
        <v/>
      </c>
      <c r="AO162" s="8" t="str">
        <f t="shared" si="25"/>
        <v/>
      </c>
      <c r="AP162" s="8" t="str">
        <f>IF(C162="","",IF(AND(OR([1]Consulta!$C$29="",A162=[1]Consulta!$C$29),OR([1]Consulta!$E$29="",B162=[1]Consulta!$E$29),OR([1]Consulta!$G$29="",D162=[1]Consulta!$G$29,R162=[1]Consulta!$G$29)),ROW()-1,""))</f>
        <v/>
      </c>
    </row>
    <row r="163" spans="1:42" ht="1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 t="str">
        <f t="shared" si="18"/>
        <v/>
      </c>
      <c r="AG163" s="7" t="str">
        <f t="shared" si="26"/>
        <v/>
      </c>
      <c r="AH163" s="7" t="str">
        <f t="shared" si="19"/>
        <v/>
      </c>
      <c r="AI163" s="7" t="str">
        <f t="shared" si="20"/>
        <v/>
      </c>
      <c r="AJ163" s="7" t="str">
        <f t="shared" si="21"/>
        <v/>
      </c>
      <c r="AK163" s="7" t="str">
        <f t="shared" si="22"/>
        <v/>
      </c>
      <c r="AL163" s="7" t="str">
        <f t="shared" si="23"/>
        <v/>
      </c>
      <c r="AM163" s="7" t="str">
        <f t="shared" si="24"/>
        <v/>
      </c>
      <c r="AN163" s="8" t="str">
        <f>IF(C163="","",COUNTIF($C$2:C163,C163))</f>
        <v/>
      </c>
      <c r="AO163" s="8" t="str">
        <f t="shared" si="25"/>
        <v/>
      </c>
      <c r="AP163" s="8" t="str">
        <f>IF(C163="","",IF(AND(OR([1]Consulta!$C$29="",A163=[1]Consulta!$C$29),OR([1]Consulta!$E$29="",B163=[1]Consulta!$E$29),OR([1]Consulta!$G$29="",D163=[1]Consulta!$G$29,R163=[1]Consulta!$G$29)),ROW()-1,""))</f>
        <v/>
      </c>
    </row>
    <row r="164" spans="1:42" ht="1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 t="str">
        <f t="shared" si="18"/>
        <v/>
      </c>
      <c r="AG164" s="7" t="str">
        <f t="shared" si="26"/>
        <v/>
      </c>
      <c r="AH164" s="7" t="str">
        <f t="shared" si="19"/>
        <v/>
      </c>
      <c r="AI164" s="7" t="str">
        <f t="shared" si="20"/>
        <v/>
      </c>
      <c r="AJ164" s="7" t="str">
        <f t="shared" si="21"/>
        <v/>
      </c>
      <c r="AK164" s="7" t="str">
        <f t="shared" si="22"/>
        <v/>
      </c>
      <c r="AL164" s="7" t="str">
        <f t="shared" si="23"/>
        <v/>
      </c>
      <c r="AM164" s="7" t="str">
        <f t="shared" si="24"/>
        <v/>
      </c>
      <c r="AN164" s="8" t="str">
        <f>IF(C164="","",COUNTIF($C$2:C164,C164))</f>
        <v/>
      </c>
      <c r="AO164" s="8" t="str">
        <f t="shared" si="25"/>
        <v/>
      </c>
      <c r="AP164" s="8" t="str">
        <f>IF(C164="","",IF(AND(OR([1]Consulta!$C$29="",A164=[1]Consulta!$C$29),OR([1]Consulta!$E$29="",B164=[1]Consulta!$E$29),OR([1]Consulta!$G$29="",D164=[1]Consulta!$G$29,R164=[1]Consulta!$G$29)),ROW()-1,""))</f>
        <v/>
      </c>
    </row>
    <row r="165" spans="1:42" ht="1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 t="str">
        <f t="shared" si="18"/>
        <v/>
      </c>
      <c r="AG165" s="7" t="str">
        <f t="shared" si="26"/>
        <v/>
      </c>
      <c r="AH165" s="7" t="str">
        <f t="shared" si="19"/>
        <v/>
      </c>
      <c r="AI165" s="7" t="str">
        <f t="shared" si="20"/>
        <v/>
      </c>
      <c r="AJ165" s="7" t="str">
        <f t="shared" si="21"/>
        <v/>
      </c>
      <c r="AK165" s="7" t="str">
        <f t="shared" si="22"/>
        <v/>
      </c>
      <c r="AL165" s="7" t="str">
        <f t="shared" si="23"/>
        <v/>
      </c>
      <c r="AM165" s="7" t="str">
        <f t="shared" si="24"/>
        <v/>
      </c>
      <c r="AN165" s="8" t="str">
        <f>IF(C165="","",COUNTIF($C$2:C165,C165))</f>
        <v/>
      </c>
      <c r="AO165" s="8" t="str">
        <f t="shared" si="25"/>
        <v/>
      </c>
      <c r="AP165" s="8" t="str">
        <f>IF(C165="","",IF(AND(OR([1]Consulta!$C$29="",A165=[1]Consulta!$C$29),OR([1]Consulta!$E$29="",B165=[1]Consulta!$E$29),OR([1]Consulta!$G$29="",D165=[1]Consulta!$G$29,R165=[1]Consulta!$G$29)),ROW()-1,""))</f>
        <v/>
      </c>
    </row>
    <row r="166" spans="1:42" ht="1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 t="str">
        <f t="shared" si="18"/>
        <v/>
      </c>
      <c r="AG166" s="7" t="str">
        <f t="shared" si="26"/>
        <v/>
      </c>
      <c r="AH166" s="7" t="str">
        <f t="shared" si="19"/>
        <v/>
      </c>
      <c r="AI166" s="7" t="str">
        <f t="shared" si="20"/>
        <v/>
      </c>
      <c r="AJ166" s="7" t="str">
        <f t="shared" si="21"/>
        <v/>
      </c>
      <c r="AK166" s="7" t="str">
        <f t="shared" si="22"/>
        <v/>
      </c>
      <c r="AL166" s="7" t="str">
        <f t="shared" si="23"/>
        <v/>
      </c>
      <c r="AM166" s="7" t="str">
        <f t="shared" si="24"/>
        <v/>
      </c>
      <c r="AN166" s="8" t="str">
        <f>IF(C166="","",COUNTIF($C$2:C166,C166))</f>
        <v/>
      </c>
      <c r="AO166" s="8" t="str">
        <f t="shared" si="25"/>
        <v/>
      </c>
      <c r="AP166" s="8" t="str">
        <f>IF(C166="","",IF(AND(OR([1]Consulta!$C$29="",A166=[1]Consulta!$C$29),OR([1]Consulta!$E$29="",B166=[1]Consulta!$E$29),OR([1]Consulta!$G$29="",D166=[1]Consulta!$G$29,R166=[1]Consulta!$G$29)),ROW()-1,""))</f>
        <v/>
      </c>
    </row>
    <row r="167" spans="1:42" ht="1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 t="str">
        <f t="shared" si="18"/>
        <v/>
      </c>
      <c r="AG167" s="7" t="str">
        <f t="shared" si="26"/>
        <v/>
      </c>
      <c r="AH167" s="7" t="str">
        <f t="shared" si="19"/>
        <v/>
      </c>
      <c r="AI167" s="7" t="str">
        <f t="shared" si="20"/>
        <v/>
      </c>
      <c r="AJ167" s="7" t="str">
        <f t="shared" si="21"/>
        <v/>
      </c>
      <c r="AK167" s="7" t="str">
        <f t="shared" si="22"/>
        <v/>
      </c>
      <c r="AL167" s="7" t="str">
        <f t="shared" si="23"/>
        <v/>
      </c>
      <c r="AM167" s="7" t="str">
        <f t="shared" si="24"/>
        <v/>
      </c>
      <c r="AN167" s="8" t="str">
        <f>IF(C167="","",COUNTIF($C$2:C167,C167))</f>
        <v/>
      </c>
      <c r="AO167" s="8" t="str">
        <f t="shared" si="25"/>
        <v/>
      </c>
      <c r="AP167" s="8" t="str">
        <f>IF(C167="","",IF(AND(OR([1]Consulta!$C$29="",A167=[1]Consulta!$C$29),OR([1]Consulta!$E$29="",B167=[1]Consulta!$E$29),OR([1]Consulta!$G$29="",D167=[1]Consulta!$G$29,R167=[1]Consulta!$G$29)),ROW()-1,""))</f>
        <v/>
      </c>
    </row>
    <row r="168" spans="1:42" ht="1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 t="str">
        <f t="shared" si="18"/>
        <v/>
      </c>
      <c r="AG168" s="7" t="str">
        <f t="shared" si="26"/>
        <v/>
      </c>
      <c r="AH168" s="7" t="str">
        <f t="shared" si="19"/>
        <v/>
      </c>
      <c r="AI168" s="7" t="str">
        <f t="shared" si="20"/>
        <v/>
      </c>
      <c r="AJ168" s="7" t="str">
        <f t="shared" si="21"/>
        <v/>
      </c>
      <c r="AK168" s="7" t="str">
        <f t="shared" si="22"/>
        <v/>
      </c>
      <c r="AL168" s="7" t="str">
        <f t="shared" si="23"/>
        <v/>
      </c>
      <c r="AM168" s="7" t="str">
        <f t="shared" si="24"/>
        <v/>
      </c>
      <c r="AN168" s="8" t="str">
        <f>IF(C168="","",COUNTIF($C$2:C168,C168))</f>
        <v/>
      </c>
      <c r="AO168" s="8" t="str">
        <f t="shared" si="25"/>
        <v/>
      </c>
      <c r="AP168" s="8" t="str">
        <f>IF(C168="","",IF(AND(OR([1]Consulta!$C$29="",A168=[1]Consulta!$C$29),OR([1]Consulta!$E$29="",B168=[1]Consulta!$E$29),OR([1]Consulta!$G$29="",D168=[1]Consulta!$G$29,R168=[1]Consulta!$G$29)),ROW()-1,""))</f>
        <v/>
      </c>
    </row>
    <row r="169" spans="1:42" ht="1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 t="str">
        <f t="shared" si="18"/>
        <v/>
      </c>
      <c r="AG169" s="7" t="str">
        <f t="shared" si="26"/>
        <v/>
      </c>
      <c r="AH169" s="7" t="str">
        <f t="shared" si="19"/>
        <v/>
      </c>
      <c r="AI169" s="7" t="str">
        <f t="shared" si="20"/>
        <v/>
      </c>
      <c r="AJ169" s="7" t="str">
        <f t="shared" si="21"/>
        <v/>
      </c>
      <c r="AK169" s="7" t="str">
        <f t="shared" si="22"/>
        <v/>
      </c>
      <c r="AL169" s="7" t="str">
        <f t="shared" si="23"/>
        <v/>
      </c>
      <c r="AM169" s="7" t="str">
        <f t="shared" si="24"/>
        <v/>
      </c>
      <c r="AN169" s="8" t="str">
        <f>IF(C169="","",COUNTIF($C$2:C169,C169))</f>
        <v/>
      </c>
      <c r="AO169" s="8" t="str">
        <f t="shared" si="25"/>
        <v/>
      </c>
      <c r="AP169" s="8" t="str">
        <f>IF(C169="","",IF(AND(OR([1]Consulta!$C$29="",A169=[1]Consulta!$C$29),OR([1]Consulta!$E$29="",B169=[1]Consulta!$E$29),OR([1]Consulta!$G$29="",D169=[1]Consulta!$G$29,R169=[1]Consulta!$G$29)),ROW()-1,""))</f>
        <v/>
      </c>
    </row>
    <row r="170" spans="1:42" ht="1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 t="str">
        <f t="shared" si="18"/>
        <v/>
      </c>
      <c r="AG170" s="7" t="str">
        <f t="shared" si="26"/>
        <v/>
      </c>
      <c r="AH170" s="7" t="str">
        <f t="shared" si="19"/>
        <v/>
      </c>
      <c r="AI170" s="7" t="str">
        <f t="shared" si="20"/>
        <v/>
      </c>
      <c r="AJ170" s="7" t="str">
        <f t="shared" si="21"/>
        <v/>
      </c>
      <c r="AK170" s="7" t="str">
        <f t="shared" si="22"/>
        <v/>
      </c>
      <c r="AL170" s="7" t="str">
        <f t="shared" si="23"/>
        <v/>
      </c>
      <c r="AM170" s="7" t="str">
        <f t="shared" si="24"/>
        <v/>
      </c>
      <c r="AN170" s="8" t="str">
        <f>IF(C170="","",COUNTIF($C$2:C170,C170))</f>
        <v/>
      </c>
      <c r="AO170" s="8" t="str">
        <f t="shared" si="25"/>
        <v/>
      </c>
      <c r="AP170" s="8" t="str">
        <f>IF(C170="","",IF(AND(OR([1]Consulta!$C$29="",A170=[1]Consulta!$C$29),OR([1]Consulta!$E$29="",B170=[1]Consulta!$E$29),OR([1]Consulta!$G$29="",D170=[1]Consulta!$G$29,R170=[1]Consulta!$G$29)),ROW()-1,""))</f>
        <v/>
      </c>
    </row>
    <row r="171" spans="1:42" ht="1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 t="str">
        <f t="shared" si="18"/>
        <v/>
      </c>
      <c r="AG171" s="7" t="str">
        <f t="shared" si="26"/>
        <v/>
      </c>
      <c r="AH171" s="7" t="str">
        <f t="shared" si="19"/>
        <v/>
      </c>
      <c r="AI171" s="7" t="str">
        <f t="shared" si="20"/>
        <v/>
      </c>
      <c r="AJ171" s="7" t="str">
        <f t="shared" si="21"/>
        <v/>
      </c>
      <c r="AK171" s="7" t="str">
        <f t="shared" si="22"/>
        <v/>
      </c>
      <c r="AL171" s="7" t="str">
        <f t="shared" si="23"/>
        <v/>
      </c>
      <c r="AM171" s="7" t="str">
        <f t="shared" si="24"/>
        <v/>
      </c>
      <c r="AN171" s="8" t="str">
        <f>IF(C171="","",COUNTIF($C$2:C171,C171))</f>
        <v/>
      </c>
      <c r="AO171" s="8" t="str">
        <f t="shared" si="25"/>
        <v/>
      </c>
      <c r="AP171" s="8" t="str">
        <f>IF(C171="","",IF(AND(OR([1]Consulta!$C$29="",A171=[1]Consulta!$C$29),OR([1]Consulta!$E$29="",B171=[1]Consulta!$E$29),OR([1]Consulta!$G$29="",D171=[1]Consulta!$G$29,R171=[1]Consulta!$G$29)),ROW()-1,""))</f>
        <v/>
      </c>
    </row>
    <row r="172" spans="1:42" ht="1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 t="str">
        <f t="shared" si="18"/>
        <v/>
      </c>
      <c r="AG172" s="7" t="str">
        <f t="shared" si="26"/>
        <v/>
      </c>
      <c r="AH172" s="7" t="str">
        <f t="shared" si="19"/>
        <v/>
      </c>
      <c r="AI172" s="7" t="str">
        <f t="shared" si="20"/>
        <v/>
      </c>
      <c r="AJ172" s="7" t="str">
        <f t="shared" si="21"/>
        <v/>
      </c>
      <c r="AK172" s="7" t="str">
        <f t="shared" si="22"/>
        <v/>
      </c>
      <c r="AL172" s="7" t="str">
        <f t="shared" si="23"/>
        <v/>
      </c>
      <c r="AM172" s="7" t="str">
        <f t="shared" si="24"/>
        <v/>
      </c>
      <c r="AN172" s="8" t="str">
        <f>IF(C172="","",COUNTIF($C$2:C172,C172))</f>
        <v/>
      </c>
      <c r="AO172" s="8" t="str">
        <f t="shared" si="25"/>
        <v/>
      </c>
      <c r="AP172" s="8" t="str">
        <f>IF(C172="","",IF(AND(OR([1]Consulta!$C$29="",A172=[1]Consulta!$C$29),OR([1]Consulta!$E$29="",B172=[1]Consulta!$E$29),OR([1]Consulta!$G$29="",D172=[1]Consulta!$G$29,R172=[1]Consulta!$G$29)),ROW()-1,""))</f>
        <v/>
      </c>
    </row>
    <row r="173" spans="1:42" ht="1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 t="str">
        <f t="shared" si="18"/>
        <v/>
      </c>
      <c r="AG173" s="7" t="str">
        <f t="shared" si="26"/>
        <v/>
      </c>
      <c r="AH173" s="7" t="str">
        <f t="shared" si="19"/>
        <v/>
      </c>
      <c r="AI173" s="7" t="str">
        <f t="shared" si="20"/>
        <v/>
      </c>
      <c r="AJ173" s="7" t="str">
        <f t="shared" si="21"/>
        <v/>
      </c>
      <c r="AK173" s="7" t="str">
        <f t="shared" si="22"/>
        <v/>
      </c>
      <c r="AL173" s="7" t="str">
        <f t="shared" si="23"/>
        <v/>
      </c>
      <c r="AM173" s="7" t="str">
        <f t="shared" si="24"/>
        <v/>
      </c>
      <c r="AN173" s="8" t="str">
        <f>IF(C173="","",COUNTIF($C$2:C173,C173))</f>
        <v/>
      </c>
      <c r="AO173" s="8" t="str">
        <f t="shared" si="25"/>
        <v/>
      </c>
      <c r="AP173" s="8" t="str">
        <f>IF(C173="","",IF(AND(OR([1]Consulta!$C$29="",A173=[1]Consulta!$C$29),OR([1]Consulta!$E$29="",B173=[1]Consulta!$E$29),OR([1]Consulta!$G$29="",D173=[1]Consulta!$G$29,R173=[1]Consulta!$G$29)),ROW()-1,""))</f>
        <v/>
      </c>
    </row>
    <row r="174" spans="1:42" ht="1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 t="str">
        <f t="shared" si="18"/>
        <v/>
      </c>
      <c r="AG174" s="7" t="str">
        <f t="shared" si="26"/>
        <v/>
      </c>
      <c r="AH174" s="7" t="str">
        <f t="shared" si="19"/>
        <v/>
      </c>
      <c r="AI174" s="7" t="str">
        <f t="shared" si="20"/>
        <v/>
      </c>
      <c r="AJ174" s="7" t="str">
        <f t="shared" si="21"/>
        <v/>
      </c>
      <c r="AK174" s="7" t="str">
        <f t="shared" si="22"/>
        <v/>
      </c>
      <c r="AL174" s="7" t="str">
        <f t="shared" si="23"/>
        <v/>
      </c>
      <c r="AM174" s="7" t="str">
        <f t="shared" si="24"/>
        <v/>
      </c>
      <c r="AN174" s="8" t="str">
        <f>IF(C174="","",COUNTIF($C$2:C174,C174))</f>
        <v/>
      </c>
      <c r="AO174" s="8" t="str">
        <f t="shared" si="25"/>
        <v/>
      </c>
      <c r="AP174" s="8" t="str">
        <f>IF(C174="","",IF(AND(OR([1]Consulta!$C$29="",A174=[1]Consulta!$C$29),OR([1]Consulta!$E$29="",B174=[1]Consulta!$E$29),OR([1]Consulta!$G$29="",D174=[1]Consulta!$G$29,R174=[1]Consulta!$G$29)),ROW()-1,""))</f>
        <v/>
      </c>
    </row>
    <row r="175" spans="1:42" ht="1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 t="str">
        <f t="shared" si="18"/>
        <v/>
      </c>
      <c r="AG175" s="7" t="str">
        <f t="shared" si="26"/>
        <v/>
      </c>
      <c r="AH175" s="7" t="str">
        <f t="shared" si="19"/>
        <v/>
      </c>
      <c r="AI175" s="7" t="str">
        <f t="shared" si="20"/>
        <v/>
      </c>
      <c r="AJ175" s="7" t="str">
        <f t="shared" si="21"/>
        <v/>
      </c>
      <c r="AK175" s="7" t="str">
        <f t="shared" si="22"/>
        <v/>
      </c>
      <c r="AL175" s="7" t="str">
        <f t="shared" si="23"/>
        <v/>
      </c>
      <c r="AM175" s="7" t="str">
        <f t="shared" si="24"/>
        <v/>
      </c>
      <c r="AN175" s="8" t="str">
        <f>IF(C175="","",COUNTIF($C$2:C175,C175))</f>
        <v/>
      </c>
      <c r="AO175" s="8" t="str">
        <f t="shared" si="25"/>
        <v/>
      </c>
      <c r="AP175" s="8" t="str">
        <f>IF(C175="","",IF(AND(OR([1]Consulta!$C$29="",A175=[1]Consulta!$C$29),OR([1]Consulta!$E$29="",B175=[1]Consulta!$E$29),OR([1]Consulta!$G$29="",D175=[1]Consulta!$G$29,R175=[1]Consulta!$G$29)),ROW()-1,""))</f>
        <v/>
      </c>
    </row>
    <row r="176" spans="1:42" ht="1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 t="str">
        <f t="shared" si="18"/>
        <v/>
      </c>
      <c r="AG176" s="7" t="str">
        <f t="shared" si="26"/>
        <v/>
      </c>
      <c r="AH176" s="7" t="str">
        <f t="shared" si="19"/>
        <v/>
      </c>
      <c r="AI176" s="7" t="str">
        <f t="shared" si="20"/>
        <v/>
      </c>
      <c r="AJ176" s="7" t="str">
        <f t="shared" si="21"/>
        <v/>
      </c>
      <c r="AK176" s="7" t="str">
        <f t="shared" si="22"/>
        <v/>
      </c>
      <c r="AL176" s="7" t="str">
        <f t="shared" si="23"/>
        <v/>
      </c>
      <c r="AM176" s="7" t="str">
        <f t="shared" si="24"/>
        <v/>
      </c>
      <c r="AN176" s="8" t="str">
        <f>IF(C176="","",COUNTIF($C$2:C176,C176))</f>
        <v/>
      </c>
      <c r="AO176" s="8" t="str">
        <f t="shared" si="25"/>
        <v/>
      </c>
      <c r="AP176" s="8" t="str">
        <f>IF(C176="","",IF(AND(OR([1]Consulta!$C$29="",A176=[1]Consulta!$C$29),OR([1]Consulta!$E$29="",B176=[1]Consulta!$E$29),OR([1]Consulta!$G$29="",D176=[1]Consulta!$G$29,R176=[1]Consulta!$G$29)),ROW()-1,""))</f>
        <v/>
      </c>
    </row>
    <row r="177" spans="1:42" ht="1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 t="str">
        <f t="shared" si="18"/>
        <v/>
      </c>
      <c r="AG177" s="7" t="str">
        <f t="shared" si="26"/>
        <v/>
      </c>
      <c r="AH177" s="7" t="str">
        <f t="shared" si="19"/>
        <v/>
      </c>
      <c r="AI177" s="7" t="str">
        <f t="shared" si="20"/>
        <v/>
      </c>
      <c r="AJ177" s="7" t="str">
        <f t="shared" si="21"/>
        <v/>
      </c>
      <c r="AK177" s="7" t="str">
        <f t="shared" si="22"/>
        <v/>
      </c>
      <c r="AL177" s="7" t="str">
        <f t="shared" si="23"/>
        <v/>
      </c>
      <c r="AM177" s="7" t="str">
        <f t="shared" si="24"/>
        <v/>
      </c>
      <c r="AN177" s="8" t="str">
        <f>IF(C177="","",COUNTIF($C$2:C177,C177))</f>
        <v/>
      </c>
      <c r="AO177" s="8" t="str">
        <f t="shared" si="25"/>
        <v/>
      </c>
      <c r="AP177" s="8" t="str">
        <f>IF(C177="","",IF(AND(OR([1]Consulta!$C$29="",A177=[1]Consulta!$C$29),OR([1]Consulta!$E$29="",B177=[1]Consulta!$E$29),OR([1]Consulta!$G$29="",D177=[1]Consulta!$G$29,R177=[1]Consulta!$G$29)),ROW()-1,""))</f>
        <v/>
      </c>
    </row>
    <row r="178" spans="1:42" ht="1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 t="str">
        <f t="shared" si="18"/>
        <v/>
      </c>
      <c r="AG178" s="7" t="str">
        <f t="shared" si="26"/>
        <v/>
      </c>
      <c r="AH178" s="7" t="str">
        <f t="shared" si="19"/>
        <v/>
      </c>
      <c r="AI178" s="7" t="str">
        <f t="shared" si="20"/>
        <v/>
      </c>
      <c r="AJ178" s="7" t="str">
        <f t="shared" si="21"/>
        <v/>
      </c>
      <c r="AK178" s="7" t="str">
        <f t="shared" si="22"/>
        <v/>
      </c>
      <c r="AL178" s="7" t="str">
        <f t="shared" si="23"/>
        <v/>
      </c>
      <c r="AM178" s="7" t="str">
        <f t="shared" si="24"/>
        <v/>
      </c>
      <c r="AN178" s="8" t="str">
        <f>IF(C178="","",COUNTIF($C$2:C178,C178))</f>
        <v/>
      </c>
      <c r="AO178" s="8" t="str">
        <f t="shared" si="25"/>
        <v/>
      </c>
      <c r="AP178" s="8" t="str">
        <f>IF(C178="","",IF(AND(OR([1]Consulta!$C$29="",A178=[1]Consulta!$C$29),OR([1]Consulta!$E$29="",B178=[1]Consulta!$E$29),OR([1]Consulta!$G$29="",D178=[1]Consulta!$G$29,R178=[1]Consulta!$G$29)),ROW()-1,""))</f>
        <v/>
      </c>
    </row>
    <row r="179" spans="1:42" ht="1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 t="str">
        <f t="shared" si="18"/>
        <v/>
      </c>
      <c r="AG179" s="7" t="str">
        <f t="shared" si="26"/>
        <v/>
      </c>
      <c r="AH179" s="7" t="str">
        <f t="shared" si="19"/>
        <v/>
      </c>
      <c r="AI179" s="7" t="str">
        <f t="shared" si="20"/>
        <v/>
      </c>
      <c r="AJ179" s="7" t="str">
        <f t="shared" si="21"/>
        <v/>
      </c>
      <c r="AK179" s="7" t="str">
        <f t="shared" si="22"/>
        <v/>
      </c>
      <c r="AL179" s="7" t="str">
        <f t="shared" si="23"/>
        <v/>
      </c>
      <c r="AM179" s="7" t="str">
        <f t="shared" si="24"/>
        <v/>
      </c>
      <c r="AN179" s="8" t="str">
        <f>IF(C179="","",COUNTIF($C$2:C179,C179))</f>
        <v/>
      </c>
      <c r="AO179" s="8" t="str">
        <f t="shared" si="25"/>
        <v/>
      </c>
      <c r="AP179" s="8" t="str">
        <f>IF(C179="","",IF(AND(OR([1]Consulta!$C$29="",A179=[1]Consulta!$C$29),OR([1]Consulta!$E$29="",B179=[1]Consulta!$E$29),OR([1]Consulta!$G$29="",D179=[1]Consulta!$G$29,R179=[1]Consulta!$G$29)),ROW()-1,""))</f>
        <v/>
      </c>
    </row>
    <row r="180" spans="1:42" ht="1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 t="str">
        <f t="shared" si="18"/>
        <v/>
      </c>
      <c r="AG180" s="7" t="str">
        <f t="shared" si="26"/>
        <v/>
      </c>
      <c r="AH180" s="7" t="str">
        <f t="shared" si="19"/>
        <v/>
      </c>
      <c r="AI180" s="7" t="str">
        <f t="shared" si="20"/>
        <v/>
      </c>
      <c r="AJ180" s="7" t="str">
        <f t="shared" si="21"/>
        <v/>
      </c>
      <c r="AK180" s="7" t="str">
        <f t="shared" si="22"/>
        <v/>
      </c>
      <c r="AL180" s="7" t="str">
        <f t="shared" si="23"/>
        <v/>
      </c>
      <c r="AM180" s="7" t="str">
        <f t="shared" si="24"/>
        <v/>
      </c>
      <c r="AN180" s="8" t="str">
        <f>IF(C180="","",COUNTIF($C$2:C180,C180))</f>
        <v/>
      </c>
      <c r="AO180" s="8" t="str">
        <f t="shared" si="25"/>
        <v/>
      </c>
      <c r="AP180" s="8" t="str">
        <f>IF(C180="","",IF(AND(OR([1]Consulta!$C$29="",A180=[1]Consulta!$C$29),OR([1]Consulta!$E$29="",B180=[1]Consulta!$E$29),OR([1]Consulta!$G$29="",D180=[1]Consulta!$G$29,R180=[1]Consulta!$G$29)),ROW()-1,""))</f>
        <v/>
      </c>
    </row>
    <row r="181" spans="1:42" ht="1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 t="str">
        <f t="shared" si="18"/>
        <v/>
      </c>
      <c r="AG181" s="7" t="str">
        <f t="shared" si="26"/>
        <v/>
      </c>
      <c r="AH181" s="7" t="str">
        <f t="shared" si="19"/>
        <v/>
      </c>
      <c r="AI181" s="7" t="str">
        <f t="shared" si="20"/>
        <v/>
      </c>
      <c r="AJ181" s="7" t="str">
        <f t="shared" si="21"/>
        <v/>
      </c>
      <c r="AK181" s="7" t="str">
        <f t="shared" si="22"/>
        <v/>
      </c>
      <c r="AL181" s="7" t="str">
        <f t="shared" si="23"/>
        <v/>
      </c>
      <c r="AM181" s="7" t="str">
        <f t="shared" si="24"/>
        <v/>
      </c>
      <c r="AN181" s="8" t="str">
        <f>IF(C181="","",COUNTIF($C$2:C181,C181))</f>
        <v/>
      </c>
      <c r="AO181" s="8" t="str">
        <f t="shared" si="25"/>
        <v/>
      </c>
      <c r="AP181" s="8" t="str">
        <f>IF(C181="","",IF(AND(OR([1]Consulta!$C$29="",A181=[1]Consulta!$C$29),OR([1]Consulta!$E$29="",B181=[1]Consulta!$E$29),OR([1]Consulta!$G$29="",D181=[1]Consulta!$G$29,R181=[1]Consulta!$G$29)),ROW()-1,""))</f>
        <v/>
      </c>
    </row>
    <row r="182" spans="1:42" ht="1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 t="str">
        <f t="shared" si="18"/>
        <v/>
      </c>
      <c r="AG182" s="7" t="str">
        <f t="shared" si="26"/>
        <v/>
      </c>
      <c r="AH182" s="7" t="str">
        <f t="shared" si="19"/>
        <v/>
      </c>
      <c r="AI182" s="7" t="str">
        <f t="shared" si="20"/>
        <v/>
      </c>
      <c r="AJ182" s="7" t="str">
        <f t="shared" si="21"/>
        <v/>
      </c>
      <c r="AK182" s="7" t="str">
        <f t="shared" si="22"/>
        <v/>
      </c>
      <c r="AL182" s="7" t="str">
        <f t="shared" si="23"/>
        <v/>
      </c>
      <c r="AM182" s="7" t="str">
        <f t="shared" si="24"/>
        <v/>
      </c>
      <c r="AN182" s="8" t="str">
        <f>IF(C182="","",COUNTIF($C$2:C182,C182))</f>
        <v/>
      </c>
      <c r="AO182" s="8" t="str">
        <f t="shared" si="25"/>
        <v/>
      </c>
      <c r="AP182" s="8" t="str">
        <f>IF(C182="","",IF(AND(OR([1]Consulta!$C$29="",A182=[1]Consulta!$C$29),OR([1]Consulta!$E$29="",B182=[1]Consulta!$E$29),OR([1]Consulta!$G$29="",D182=[1]Consulta!$G$29,R182=[1]Consulta!$G$29)),ROW()-1,""))</f>
        <v/>
      </c>
    </row>
    <row r="183" spans="1:42" ht="1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 t="str">
        <f t="shared" si="18"/>
        <v/>
      </c>
      <c r="AG183" s="7" t="str">
        <f t="shared" si="26"/>
        <v/>
      </c>
      <c r="AH183" s="7" t="str">
        <f t="shared" si="19"/>
        <v/>
      </c>
      <c r="AI183" s="7" t="str">
        <f t="shared" si="20"/>
        <v/>
      </c>
      <c r="AJ183" s="7" t="str">
        <f t="shared" si="21"/>
        <v/>
      </c>
      <c r="AK183" s="7" t="str">
        <f t="shared" si="22"/>
        <v/>
      </c>
      <c r="AL183" s="7" t="str">
        <f t="shared" si="23"/>
        <v/>
      </c>
      <c r="AM183" s="7" t="str">
        <f t="shared" si="24"/>
        <v/>
      </c>
      <c r="AN183" s="8" t="str">
        <f>IF(C183="","",COUNTIF($C$2:C183,C183))</f>
        <v/>
      </c>
      <c r="AO183" s="8" t="str">
        <f t="shared" si="25"/>
        <v/>
      </c>
      <c r="AP183" s="8" t="str">
        <f>IF(C183="","",IF(AND(OR([1]Consulta!$C$29="",A183=[1]Consulta!$C$29),OR([1]Consulta!$E$29="",B183=[1]Consulta!$E$29),OR([1]Consulta!$G$29="",D183=[1]Consulta!$G$29,R183=[1]Consulta!$G$29)),ROW()-1,""))</f>
        <v/>
      </c>
    </row>
    <row r="184" spans="1:42" ht="1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 t="str">
        <f t="shared" si="18"/>
        <v/>
      </c>
      <c r="AG184" s="7" t="str">
        <f t="shared" si="26"/>
        <v/>
      </c>
      <c r="AH184" s="7" t="str">
        <f t="shared" si="19"/>
        <v/>
      </c>
      <c r="AI184" s="7" t="str">
        <f t="shared" si="20"/>
        <v/>
      </c>
      <c r="AJ184" s="7" t="str">
        <f t="shared" si="21"/>
        <v/>
      </c>
      <c r="AK184" s="7" t="str">
        <f t="shared" si="22"/>
        <v/>
      </c>
      <c r="AL184" s="7" t="str">
        <f t="shared" si="23"/>
        <v/>
      </c>
      <c r="AM184" s="7" t="str">
        <f t="shared" si="24"/>
        <v/>
      </c>
      <c r="AN184" s="8" t="str">
        <f>IF(C184="","",COUNTIF($C$2:C184,C184))</f>
        <v/>
      </c>
      <c r="AO184" s="8" t="str">
        <f t="shared" si="25"/>
        <v/>
      </c>
      <c r="AP184" s="8" t="str">
        <f>IF(C184="","",IF(AND(OR([1]Consulta!$C$29="",A184=[1]Consulta!$C$29),OR([1]Consulta!$E$29="",B184=[1]Consulta!$E$29),OR([1]Consulta!$G$29="",D184=[1]Consulta!$G$29,R184=[1]Consulta!$G$29)),ROW()-1,""))</f>
        <v/>
      </c>
    </row>
    <row r="185" spans="1:42" ht="1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 t="str">
        <f t="shared" si="18"/>
        <v/>
      </c>
      <c r="AG185" s="7" t="str">
        <f t="shared" si="26"/>
        <v/>
      </c>
      <c r="AH185" s="7" t="str">
        <f t="shared" si="19"/>
        <v/>
      </c>
      <c r="AI185" s="7" t="str">
        <f t="shared" si="20"/>
        <v/>
      </c>
      <c r="AJ185" s="7" t="str">
        <f t="shared" si="21"/>
        <v/>
      </c>
      <c r="AK185" s="7" t="str">
        <f t="shared" si="22"/>
        <v/>
      </c>
      <c r="AL185" s="7" t="str">
        <f t="shared" si="23"/>
        <v/>
      </c>
      <c r="AM185" s="7" t="str">
        <f t="shared" si="24"/>
        <v/>
      </c>
      <c r="AN185" s="8" t="str">
        <f>IF(C185="","",COUNTIF($C$2:C185,C185))</f>
        <v/>
      </c>
      <c r="AO185" s="8" t="str">
        <f t="shared" si="25"/>
        <v/>
      </c>
      <c r="AP185" s="8" t="str">
        <f>IF(C185="","",IF(AND(OR([1]Consulta!$C$29="",A185=[1]Consulta!$C$29),OR([1]Consulta!$E$29="",B185=[1]Consulta!$E$29),OR([1]Consulta!$G$29="",D185=[1]Consulta!$G$29,R185=[1]Consulta!$G$29)),ROW()-1,""))</f>
        <v/>
      </c>
    </row>
    <row r="186" spans="1:42" ht="1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 t="str">
        <f t="shared" si="18"/>
        <v/>
      </c>
      <c r="AG186" s="7" t="str">
        <f t="shared" si="26"/>
        <v/>
      </c>
      <c r="AH186" s="7" t="str">
        <f t="shared" si="19"/>
        <v/>
      </c>
      <c r="AI186" s="7" t="str">
        <f t="shared" si="20"/>
        <v/>
      </c>
      <c r="AJ186" s="7" t="str">
        <f t="shared" si="21"/>
        <v/>
      </c>
      <c r="AK186" s="7" t="str">
        <f t="shared" si="22"/>
        <v/>
      </c>
      <c r="AL186" s="7" t="str">
        <f t="shared" si="23"/>
        <v/>
      </c>
      <c r="AM186" s="7" t="str">
        <f t="shared" si="24"/>
        <v/>
      </c>
      <c r="AN186" s="8" t="str">
        <f>IF(C186="","",COUNTIF($C$2:C186,C186))</f>
        <v/>
      </c>
      <c r="AO186" s="8" t="str">
        <f t="shared" si="25"/>
        <v/>
      </c>
      <c r="AP186" s="8" t="str">
        <f>IF(C186="","",IF(AND(OR([1]Consulta!$C$29="",A186=[1]Consulta!$C$29),OR([1]Consulta!$E$29="",B186=[1]Consulta!$E$29),OR([1]Consulta!$G$29="",D186=[1]Consulta!$G$29,R186=[1]Consulta!$G$29)),ROW()-1,""))</f>
        <v/>
      </c>
    </row>
    <row r="187" spans="1:42" ht="1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 t="str">
        <f t="shared" si="18"/>
        <v/>
      </c>
      <c r="AG187" s="7" t="str">
        <f t="shared" si="26"/>
        <v/>
      </c>
      <c r="AH187" s="7" t="str">
        <f t="shared" si="19"/>
        <v/>
      </c>
      <c r="AI187" s="7" t="str">
        <f t="shared" si="20"/>
        <v/>
      </c>
      <c r="AJ187" s="7" t="str">
        <f t="shared" si="21"/>
        <v/>
      </c>
      <c r="AK187" s="7" t="str">
        <f t="shared" si="22"/>
        <v/>
      </c>
      <c r="AL187" s="7" t="str">
        <f t="shared" si="23"/>
        <v/>
      </c>
      <c r="AM187" s="7" t="str">
        <f t="shared" si="24"/>
        <v/>
      </c>
      <c r="AN187" s="8" t="str">
        <f>IF(C187="","",COUNTIF($C$2:C187,C187))</f>
        <v/>
      </c>
      <c r="AO187" s="8" t="str">
        <f t="shared" si="25"/>
        <v/>
      </c>
      <c r="AP187" s="8" t="str">
        <f>IF(C187="","",IF(AND(OR([1]Consulta!$C$29="",A187=[1]Consulta!$C$29),OR([1]Consulta!$E$29="",B187=[1]Consulta!$E$29),OR([1]Consulta!$G$29="",D187=[1]Consulta!$G$29,R187=[1]Consulta!$G$29)),ROW()-1,""))</f>
        <v/>
      </c>
    </row>
    <row r="188" spans="1:42" ht="1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 t="str">
        <f t="shared" si="18"/>
        <v/>
      </c>
      <c r="AG188" s="7" t="str">
        <f t="shared" si="26"/>
        <v/>
      </c>
      <c r="AH188" s="7" t="str">
        <f t="shared" si="19"/>
        <v/>
      </c>
      <c r="AI188" s="7" t="str">
        <f t="shared" si="20"/>
        <v/>
      </c>
      <c r="AJ188" s="7" t="str">
        <f t="shared" si="21"/>
        <v/>
      </c>
      <c r="AK188" s="7" t="str">
        <f t="shared" si="22"/>
        <v/>
      </c>
      <c r="AL188" s="7" t="str">
        <f t="shared" si="23"/>
        <v/>
      </c>
      <c r="AM188" s="7" t="str">
        <f t="shared" si="24"/>
        <v/>
      </c>
      <c r="AN188" s="8" t="str">
        <f>IF(C188="","",COUNTIF($C$2:C188,C188))</f>
        <v/>
      </c>
      <c r="AO188" s="8" t="str">
        <f t="shared" si="25"/>
        <v/>
      </c>
      <c r="AP188" s="8" t="str">
        <f>IF(C188="","",IF(AND(OR([1]Consulta!$C$29="",A188=[1]Consulta!$C$29),OR([1]Consulta!$E$29="",B188=[1]Consulta!$E$29),OR([1]Consulta!$G$29="",D188=[1]Consulta!$G$29,R188=[1]Consulta!$G$29)),ROW()-1,""))</f>
        <v/>
      </c>
    </row>
    <row r="189" spans="1:42" ht="1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 t="str">
        <f t="shared" si="18"/>
        <v/>
      </c>
      <c r="AG189" s="7" t="str">
        <f t="shared" si="26"/>
        <v/>
      </c>
      <c r="AH189" s="7" t="str">
        <f t="shared" si="19"/>
        <v/>
      </c>
      <c r="AI189" s="7" t="str">
        <f t="shared" si="20"/>
        <v/>
      </c>
      <c r="AJ189" s="7" t="str">
        <f t="shared" si="21"/>
        <v/>
      </c>
      <c r="AK189" s="7" t="str">
        <f t="shared" si="22"/>
        <v/>
      </c>
      <c r="AL189" s="7" t="str">
        <f t="shared" si="23"/>
        <v/>
      </c>
      <c r="AM189" s="7" t="str">
        <f t="shared" si="24"/>
        <v/>
      </c>
      <c r="AN189" s="8" t="str">
        <f>IF(C189="","",COUNTIF($C$2:C189,C189))</f>
        <v/>
      </c>
      <c r="AO189" s="8" t="str">
        <f t="shared" si="25"/>
        <v/>
      </c>
      <c r="AP189" s="8" t="str">
        <f>IF(C189="","",IF(AND(OR([1]Consulta!$C$29="",A189=[1]Consulta!$C$29),OR([1]Consulta!$E$29="",B189=[1]Consulta!$E$29),OR([1]Consulta!$G$29="",D189=[1]Consulta!$G$29,R189=[1]Consulta!$G$29)),ROW()-1,""))</f>
        <v/>
      </c>
    </row>
    <row r="190" spans="1:42" ht="1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 t="str">
        <f t="shared" si="18"/>
        <v/>
      </c>
      <c r="AG190" s="7" t="str">
        <f t="shared" si="26"/>
        <v/>
      </c>
      <c r="AH190" s="7" t="str">
        <f t="shared" si="19"/>
        <v/>
      </c>
      <c r="AI190" s="7" t="str">
        <f t="shared" si="20"/>
        <v/>
      </c>
      <c r="AJ190" s="7" t="str">
        <f t="shared" si="21"/>
        <v/>
      </c>
      <c r="AK190" s="7" t="str">
        <f t="shared" si="22"/>
        <v/>
      </c>
      <c r="AL190" s="7" t="str">
        <f t="shared" si="23"/>
        <v/>
      </c>
      <c r="AM190" s="7" t="str">
        <f t="shared" si="24"/>
        <v/>
      </c>
      <c r="AN190" s="8" t="str">
        <f>IF(C190="","",COUNTIF($C$2:C190,C190))</f>
        <v/>
      </c>
      <c r="AO190" s="8" t="str">
        <f t="shared" si="25"/>
        <v/>
      </c>
      <c r="AP190" s="8" t="str">
        <f>IF(C190="","",IF(AND(OR([1]Consulta!$C$29="",A190=[1]Consulta!$C$29),OR([1]Consulta!$E$29="",B190=[1]Consulta!$E$29),OR([1]Consulta!$G$29="",D190=[1]Consulta!$G$29,R190=[1]Consulta!$G$29)),ROW()-1,""))</f>
        <v/>
      </c>
    </row>
    <row r="191" spans="1:42" ht="1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 t="str">
        <f t="shared" si="18"/>
        <v/>
      </c>
      <c r="AG191" s="7" t="str">
        <f t="shared" si="26"/>
        <v/>
      </c>
      <c r="AH191" s="7" t="str">
        <f t="shared" si="19"/>
        <v/>
      </c>
      <c r="AI191" s="7" t="str">
        <f t="shared" si="20"/>
        <v/>
      </c>
      <c r="AJ191" s="7" t="str">
        <f t="shared" si="21"/>
        <v/>
      </c>
      <c r="AK191" s="7" t="str">
        <f t="shared" si="22"/>
        <v/>
      </c>
      <c r="AL191" s="7" t="str">
        <f t="shared" si="23"/>
        <v/>
      </c>
      <c r="AM191" s="7" t="str">
        <f t="shared" si="24"/>
        <v/>
      </c>
      <c r="AN191" s="8" t="str">
        <f>IF(C191="","",COUNTIF($C$2:C191,C191))</f>
        <v/>
      </c>
      <c r="AO191" s="8" t="str">
        <f t="shared" si="25"/>
        <v/>
      </c>
      <c r="AP191" s="8" t="str">
        <f>IF(C191="","",IF(AND(OR([1]Consulta!$C$29="",A191=[1]Consulta!$C$29),OR([1]Consulta!$E$29="",B191=[1]Consulta!$E$29),OR([1]Consulta!$G$29="",D191=[1]Consulta!$G$29,R191=[1]Consulta!$G$29)),ROW()-1,""))</f>
        <v/>
      </c>
    </row>
    <row r="192" spans="1:42" ht="1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 t="str">
        <f t="shared" si="18"/>
        <v/>
      </c>
      <c r="AG192" s="7" t="str">
        <f t="shared" si="26"/>
        <v/>
      </c>
      <c r="AH192" s="7" t="str">
        <f t="shared" si="19"/>
        <v/>
      </c>
      <c r="AI192" s="7" t="str">
        <f t="shared" si="20"/>
        <v/>
      </c>
      <c r="AJ192" s="7" t="str">
        <f t="shared" si="21"/>
        <v/>
      </c>
      <c r="AK192" s="7" t="str">
        <f t="shared" si="22"/>
        <v/>
      </c>
      <c r="AL192" s="7" t="str">
        <f t="shared" si="23"/>
        <v/>
      </c>
      <c r="AM192" s="7" t="str">
        <f t="shared" si="24"/>
        <v/>
      </c>
      <c r="AN192" s="8" t="str">
        <f>IF(C192="","",COUNTIF($C$2:C192,C192))</f>
        <v/>
      </c>
      <c r="AO192" s="8" t="str">
        <f t="shared" si="25"/>
        <v/>
      </c>
      <c r="AP192" s="8" t="str">
        <f>IF(C192="","",IF(AND(OR([1]Consulta!$C$29="",A192=[1]Consulta!$C$29),OR([1]Consulta!$E$29="",B192=[1]Consulta!$E$29),OR([1]Consulta!$G$29="",D192=[1]Consulta!$G$29,R192=[1]Consulta!$G$29)),ROW()-1,""))</f>
        <v/>
      </c>
    </row>
    <row r="193" spans="1:42" ht="1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 t="str">
        <f t="shared" si="18"/>
        <v/>
      </c>
      <c r="AG193" s="7" t="str">
        <f t="shared" si="26"/>
        <v/>
      </c>
      <c r="AH193" s="7" t="str">
        <f t="shared" si="19"/>
        <v/>
      </c>
      <c r="AI193" s="7" t="str">
        <f t="shared" si="20"/>
        <v/>
      </c>
      <c r="AJ193" s="7" t="str">
        <f t="shared" si="21"/>
        <v/>
      </c>
      <c r="AK193" s="7" t="str">
        <f t="shared" si="22"/>
        <v/>
      </c>
      <c r="AL193" s="7" t="str">
        <f t="shared" si="23"/>
        <v/>
      </c>
      <c r="AM193" s="7" t="str">
        <f t="shared" si="24"/>
        <v/>
      </c>
      <c r="AN193" s="8" t="str">
        <f>IF(C193="","",COUNTIF($C$2:C193,C193))</f>
        <v/>
      </c>
      <c r="AO193" s="8" t="str">
        <f t="shared" si="25"/>
        <v/>
      </c>
      <c r="AP193" s="8" t="str">
        <f>IF(C193="","",IF(AND(OR([1]Consulta!$C$29="",A193=[1]Consulta!$C$29),OR([1]Consulta!$E$29="",B193=[1]Consulta!$E$29),OR([1]Consulta!$G$29="",D193=[1]Consulta!$G$29,R193=[1]Consulta!$G$29)),ROW()-1,""))</f>
        <v/>
      </c>
    </row>
    <row r="194" spans="1:42" ht="1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 t="str">
        <f t="shared" ref="AF194:AF257" si="27">IF(C194="","",IF(AND(ISNUMBER(K194),ISNUMBER(L194)),K194-L194,""))</f>
        <v/>
      </c>
      <c r="AG194" s="7" t="str">
        <f t="shared" si="26"/>
        <v/>
      </c>
      <c r="AH194" s="7" t="str">
        <f t="shared" ref="AH194:AH257" si="28">IF(C194="","",IF(AND(ISNUMBER(Y194),ISNUMBER(Z194)),Y194-Z194,""))</f>
        <v/>
      </c>
      <c r="AI194" s="7" t="str">
        <f t="shared" ref="AI194:AI257" si="29">IF(C194="","",IF(AH194="","N/A",IF(AH194&lt;0,"ALARMA","OK")))</f>
        <v/>
      </c>
      <c r="AJ194" s="7" t="str">
        <f t="shared" ref="AJ194:AJ257" si="30">IF(C194="","",IF(ISNUMBER(M194),IF(M194&gt;0,"CON ERRORES","OK"),"N/A"))</f>
        <v/>
      </c>
      <c r="AK194" s="7" t="str">
        <f t="shared" ref="AK194:AK257" si="31">IF(C194="","",IF(ISNUMBER(AA194),IF(AA194&gt;0,"CON ERRORES","OK"),"N/A"))</f>
        <v/>
      </c>
      <c r="AL194" s="7" t="str">
        <f t="shared" ref="AL194:AL257" si="32">IF(C194="","",IF(OR(AG194="ALARMA",AI194="ALARMA",AJ194="CON ERRORES",AK194="CON ERRORES"),"REVISAR","OK"))</f>
        <v/>
      </c>
      <c r="AM194" s="7" t="str">
        <f t="shared" ref="AM194:AM257" si="33">IF(C194="","",IF(ISNUMBER(Q194),Q194,IF(ISNUMBER(AE194),AE194,"Ver detalle")))</f>
        <v/>
      </c>
      <c r="AN194" s="8" t="str">
        <f>IF(C194="","",COUNTIF($C$2:C194,C194))</f>
        <v/>
      </c>
      <c r="AO194" s="8" t="str">
        <f t="shared" ref="AO194:AO257" si="34">IF(C194="","",C194&amp;"|"&amp;AN194)</f>
        <v/>
      </c>
      <c r="AP194" s="8" t="str">
        <f>IF(C194="","",IF(AND(OR([1]Consulta!$C$29="",A194=[1]Consulta!$C$29),OR([1]Consulta!$E$29="",B194=[1]Consulta!$E$29),OR([1]Consulta!$G$29="",D194=[1]Consulta!$G$29,R194=[1]Consulta!$G$29)),ROW()-1,""))</f>
        <v/>
      </c>
    </row>
    <row r="195" spans="1:42" ht="1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 t="str">
        <f t="shared" si="27"/>
        <v/>
      </c>
      <c r="AG195" s="7" t="str">
        <f t="shared" ref="AG195:AG258" si="35">IF(C195="","",IF(AF195="","N/A",IF(AF195&lt;0,"ALARMA","OK")))</f>
        <v/>
      </c>
      <c r="AH195" s="7" t="str">
        <f t="shared" si="28"/>
        <v/>
      </c>
      <c r="AI195" s="7" t="str">
        <f t="shared" si="29"/>
        <v/>
      </c>
      <c r="AJ195" s="7" t="str">
        <f t="shared" si="30"/>
        <v/>
      </c>
      <c r="AK195" s="7" t="str">
        <f t="shared" si="31"/>
        <v/>
      </c>
      <c r="AL195" s="7" t="str">
        <f t="shared" si="32"/>
        <v/>
      </c>
      <c r="AM195" s="7" t="str">
        <f t="shared" si="33"/>
        <v/>
      </c>
      <c r="AN195" s="8" t="str">
        <f>IF(C195="","",COUNTIF($C$2:C195,C195))</f>
        <v/>
      </c>
      <c r="AO195" s="8" t="str">
        <f t="shared" si="34"/>
        <v/>
      </c>
      <c r="AP195" s="8" t="str">
        <f>IF(C195="","",IF(AND(OR([1]Consulta!$C$29="",A195=[1]Consulta!$C$29),OR([1]Consulta!$E$29="",B195=[1]Consulta!$E$29),OR([1]Consulta!$G$29="",D195=[1]Consulta!$G$29,R195=[1]Consulta!$G$29)),ROW()-1,""))</f>
        <v/>
      </c>
    </row>
    <row r="196" spans="1:42" ht="1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 t="str">
        <f t="shared" si="27"/>
        <v/>
      </c>
      <c r="AG196" s="7" t="str">
        <f t="shared" si="35"/>
        <v/>
      </c>
      <c r="AH196" s="7" t="str">
        <f t="shared" si="28"/>
        <v/>
      </c>
      <c r="AI196" s="7" t="str">
        <f t="shared" si="29"/>
        <v/>
      </c>
      <c r="AJ196" s="7" t="str">
        <f t="shared" si="30"/>
        <v/>
      </c>
      <c r="AK196" s="7" t="str">
        <f t="shared" si="31"/>
        <v/>
      </c>
      <c r="AL196" s="7" t="str">
        <f t="shared" si="32"/>
        <v/>
      </c>
      <c r="AM196" s="7" t="str">
        <f t="shared" si="33"/>
        <v/>
      </c>
      <c r="AN196" s="8" t="str">
        <f>IF(C196="","",COUNTIF($C$2:C196,C196))</f>
        <v/>
      </c>
      <c r="AO196" s="8" t="str">
        <f t="shared" si="34"/>
        <v/>
      </c>
      <c r="AP196" s="8" t="str">
        <f>IF(C196="","",IF(AND(OR([1]Consulta!$C$29="",A196=[1]Consulta!$C$29),OR([1]Consulta!$E$29="",B196=[1]Consulta!$E$29),OR([1]Consulta!$G$29="",D196=[1]Consulta!$G$29,R196=[1]Consulta!$G$29)),ROW()-1,""))</f>
        <v/>
      </c>
    </row>
    <row r="197" spans="1:42" ht="1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 t="str">
        <f t="shared" si="27"/>
        <v/>
      </c>
      <c r="AG197" s="7" t="str">
        <f t="shared" si="35"/>
        <v/>
      </c>
      <c r="AH197" s="7" t="str">
        <f t="shared" si="28"/>
        <v/>
      </c>
      <c r="AI197" s="7" t="str">
        <f t="shared" si="29"/>
        <v/>
      </c>
      <c r="AJ197" s="7" t="str">
        <f t="shared" si="30"/>
        <v/>
      </c>
      <c r="AK197" s="7" t="str">
        <f t="shared" si="31"/>
        <v/>
      </c>
      <c r="AL197" s="7" t="str">
        <f t="shared" si="32"/>
        <v/>
      </c>
      <c r="AM197" s="7" t="str">
        <f t="shared" si="33"/>
        <v/>
      </c>
      <c r="AN197" s="8" t="str">
        <f>IF(C197="","",COUNTIF($C$2:C197,C197))</f>
        <v/>
      </c>
      <c r="AO197" s="8" t="str">
        <f t="shared" si="34"/>
        <v/>
      </c>
      <c r="AP197" s="8" t="str">
        <f>IF(C197="","",IF(AND(OR([1]Consulta!$C$29="",A197=[1]Consulta!$C$29),OR([1]Consulta!$E$29="",B197=[1]Consulta!$E$29),OR([1]Consulta!$G$29="",D197=[1]Consulta!$G$29,R197=[1]Consulta!$G$29)),ROW()-1,""))</f>
        <v/>
      </c>
    </row>
    <row r="198" spans="1:42" ht="1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 t="str">
        <f t="shared" si="27"/>
        <v/>
      </c>
      <c r="AG198" s="7" t="str">
        <f t="shared" si="35"/>
        <v/>
      </c>
      <c r="AH198" s="7" t="str">
        <f t="shared" si="28"/>
        <v/>
      </c>
      <c r="AI198" s="7" t="str">
        <f t="shared" si="29"/>
        <v/>
      </c>
      <c r="AJ198" s="7" t="str">
        <f t="shared" si="30"/>
        <v/>
      </c>
      <c r="AK198" s="7" t="str">
        <f t="shared" si="31"/>
        <v/>
      </c>
      <c r="AL198" s="7" t="str">
        <f t="shared" si="32"/>
        <v/>
      </c>
      <c r="AM198" s="7" t="str">
        <f t="shared" si="33"/>
        <v/>
      </c>
      <c r="AN198" s="8" t="str">
        <f>IF(C198="","",COUNTIF($C$2:C198,C198))</f>
        <v/>
      </c>
      <c r="AO198" s="8" t="str">
        <f t="shared" si="34"/>
        <v/>
      </c>
      <c r="AP198" s="8" t="str">
        <f>IF(C198="","",IF(AND(OR([1]Consulta!$C$29="",A198=[1]Consulta!$C$29),OR([1]Consulta!$E$29="",B198=[1]Consulta!$E$29),OR([1]Consulta!$G$29="",D198=[1]Consulta!$G$29,R198=[1]Consulta!$G$29)),ROW()-1,""))</f>
        <v/>
      </c>
    </row>
    <row r="199" spans="1:42" ht="1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 t="str">
        <f t="shared" si="27"/>
        <v/>
      </c>
      <c r="AG199" s="7" t="str">
        <f t="shared" si="35"/>
        <v/>
      </c>
      <c r="AH199" s="7" t="str">
        <f t="shared" si="28"/>
        <v/>
      </c>
      <c r="AI199" s="7" t="str">
        <f t="shared" si="29"/>
        <v/>
      </c>
      <c r="AJ199" s="7" t="str">
        <f t="shared" si="30"/>
        <v/>
      </c>
      <c r="AK199" s="7" t="str">
        <f t="shared" si="31"/>
        <v/>
      </c>
      <c r="AL199" s="7" t="str">
        <f t="shared" si="32"/>
        <v/>
      </c>
      <c r="AM199" s="7" t="str">
        <f t="shared" si="33"/>
        <v/>
      </c>
      <c r="AN199" s="8" t="str">
        <f>IF(C199="","",COUNTIF($C$2:C199,C199))</f>
        <v/>
      </c>
      <c r="AO199" s="8" t="str">
        <f t="shared" si="34"/>
        <v/>
      </c>
      <c r="AP199" s="8" t="str">
        <f>IF(C199="","",IF(AND(OR([1]Consulta!$C$29="",A199=[1]Consulta!$C$29),OR([1]Consulta!$E$29="",B199=[1]Consulta!$E$29),OR([1]Consulta!$G$29="",D199=[1]Consulta!$G$29,R199=[1]Consulta!$G$29)),ROW()-1,""))</f>
        <v/>
      </c>
    </row>
    <row r="200" spans="1:42" ht="1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 t="str">
        <f t="shared" si="27"/>
        <v/>
      </c>
      <c r="AG200" s="7" t="str">
        <f t="shared" si="35"/>
        <v/>
      </c>
      <c r="AH200" s="7" t="str">
        <f t="shared" si="28"/>
        <v/>
      </c>
      <c r="AI200" s="7" t="str">
        <f t="shared" si="29"/>
        <v/>
      </c>
      <c r="AJ200" s="7" t="str">
        <f t="shared" si="30"/>
        <v/>
      </c>
      <c r="AK200" s="7" t="str">
        <f t="shared" si="31"/>
        <v/>
      </c>
      <c r="AL200" s="7" t="str">
        <f t="shared" si="32"/>
        <v/>
      </c>
      <c r="AM200" s="7" t="str">
        <f t="shared" si="33"/>
        <v/>
      </c>
      <c r="AN200" s="8" t="str">
        <f>IF(C200="","",COUNTIF($C$2:C200,C200))</f>
        <v/>
      </c>
      <c r="AO200" s="8" t="str">
        <f t="shared" si="34"/>
        <v/>
      </c>
      <c r="AP200" s="8" t="str">
        <f>IF(C200="","",IF(AND(OR([1]Consulta!$C$29="",A200=[1]Consulta!$C$29),OR([1]Consulta!$E$29="",B200=[1]Consulta!$E$29),OR([1]Consulta!$G$29="",D200=[1]Consulta!$G$29,R200=[1]Consulta!$G$29)),ROW()-1,""))</f>
        <v/>
      </c>
    </row>
    <row r="201" spans="1:42" ht="1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 t="str">
        <f t="shared" si="27"/>
        <v/>
      </c>
      <c r="AG201" s="7" t="str">
        <f t="shared" si="35"/>
        <v/>
      </c>
      <c r="AH201" s="7" t="str">
        <f t="shared" si="28"/>
        <v/>
      </c>
      <c r="AI201" s="7" t="str">
        <f t="shared" si="29"/>
        <v/>
      </c>
      <c r="AJ201" s="7" t="str">
        <f t="shared" si="30"/>
        <v/>
      </c>
      <c r="AK201" s="7" t="str">
        <f t="shared" si="31"/>
        <v/>
      </c>
      <c r="AL201" s="7" t="str">
        <f t="shared" si="32"/>
        <v/>
      </c>
      <c r="AM201" s="7" t="str">
        <f t="shared" si="33"/>
        <v/>
      </c>
      <c r="AN201" s="8" t="str">
        <f>IF(C201="","",COUNTIF($C$2:C201,C201))</f>
        <v/>
      </c>
      <c r="AO201" s="8" t="str">
        <f t="shared" si="34"/>
        <v/>
      </c>
      <c r="AP201" s="8" t="str">
        <f>IF(C201="","",IF(AND(OR([1]Consulta!$C$29="",A201=[1]Consulta!$C$29),OR([1]Consulta!$E$29="",B201=[1]Consulta!$E$29),OR([1]Consulta!$G$29="",D201=[1]Consulta!$G$29,R201=[1]Consulta!$G$29)),ROW()-1,""))</f>
        <v/>
      </c>
    </row>
    <row r="202" spans="1:42" ht="1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 t="str">
        <f t="shared" si="27"/>
        <v/>
      </c>
      <c r="AG202" s="7" t="str">
        <f t="shared" si="35"/>
        <v/>
      </c>
      <c r="AH202" s="7" t="str">
        <f t="shared" si="28"/>
        <v/>
      </c>
      <c r="AI202" s="7" t="str">
        <f t="shared" si="29"/>
        <v/>
      </c>
      <c r="AJ202" s="7" t="str">
        <f t="shared" si="30"/>
        <v/>
      </c>
      <c r="AK202" s="7" t="str">
        <f t="shared" si="31"/>
        <v/>
      </c>
      <c r="AL202" s="7" t="str">
        <f t="shared" si="32"/>
        <v/>
      </c>
      <c r="AM202" s="7" t="str">
        <f t="shared" si="33"/>
        <v/>
      </c>
      <c r="AN202" s="8" t="str">
        <f>IF(C202="","",COUNTIF($C$2:C202,C202))</f>
        <v/>
      </c>
      <c r="AO202" s="8" t="str">
        <f t="shared" si="34"/>
        <v/>
      </c>
      <c r="AP202" s="8" t="str">
        <f>IF(C202="","",IF(AND(OR([1]Consulta!$C$29="",A202=[1]Consulta!$C$29),OR([1]Consulta!$E$29="",B202=[1]Consulta!$E$29),OR([1]Consulta!$G$29="",D202=[1]Consulta!$G$29,R202=[1]Consulta!$G$29)),ROW()-1,""))</f>
        <v/>
      </c>
    </row>
    <row r="203" spans="1:42" ht="1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 t="str">
        <f t="shared" si="27"/>
        <v/>
      </c>
      <c r="AG203" s="7" t="str">
        <f t="shared" si="35"/>
        <v/>
      </c>
      <c r="AH203" s="7" t="str">
        <f t="shared" si="28"/>
        <v/>
      </c>
      <c r="AI203" s="7" t="str">
        <f t="shared" si="29"/>
        <v/>
      </c>
      <c r="AJ203" s="7" t="str">
        <f t="shared" si="30"/>
        <v/>
      </c>
      <c r="AK203" s="7" t="str">
        <f t="shared" si="31"/>
        <v/>
      </c>
      <c r="AL203" s="7" t="str">
        <f t="shared" si="32"/>
        <v/>
      </c>
      <c r="AM203" s="7" t="str">
        <f t="shared" si="33"/>
        <v/>
      </c>
      <c r="AN203" s="8" t="str">
        <f>IF(C203="","",COUNTIF($C$2:C203,C203))</f>
        <v/>
      </c>
      <c r="AO203" s="8" t="str">
        <f t="shared" si="34"/>
        <v/>
      </c>
      <c r="AP203" s="8" t="str">
        <f>IF(C203="","",IF(AND(OR([1]Consulta!$C$29="",A203=[1]Consulta!$C$29),OR([1]Consulta!$E$29="",B203=[1]Consulta!$E$29),OR([1]Consulta!$G$29="",D203=[1]Consulta!$G$29,R203=[1]Consulta!$G$29)),ROW()-1,""))</f>
        <v/>
      </c>
    </row>
    <row r="204" spans="1:42" ht="1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 t="str">
        <f t="shared" si="27"/>
        <v/>
      </c>
      <c r="AG204" s="7" t="str">
        <f t="shared" si="35"/>
        <v/>
      </c>
      <c r="AH204" s="7" t="str">
        <f t="shared" si="28"/>
        <v/>
      </c>
      <c r="AI204" s="7" t="str">
        <f t="shared" si="29"/>
        <v/>
      </c>
      <c r="AJ204" s="7" t="str">
        <f t="shared" si="30"/>
        <v/>
      </c>
      <c r="AK204" s="7" t="str">
        <f t="shared" si="31"/>
        <v/>
      </c>
      <c r="AL204" s="7" t="str">
        <f t="shared" si="32"/>
        <v/>
      </c>
      <c r="AM204" s="7" t="str">
        <f t="shared" si="33"/>
        <v/>
      </c>
      <c r="AN204" s="8" t="str">
        <f>IF(C204="","",COUNTIF($C$2:C204,C204))</f>
        <v/>
      </c>
      <c r="AO204" s="8" t="str">
        <f t="shared" si="34"/>
        <v/>
      </c>
      <c r="AP204" s="8" t="str">
        <f>IF(C204="","",IF(AND(OR([1]Consulta!$C$29="",A204=[1]Consulta!$C$29),OR([1]Consulta!$E$29="",B204=[1]Consulta!$E$29),OR([1]Consulta!$G$29="",D204=[1]Consulta!$G$29,R204=[1]Consulta!$G$29)),ROW()-1,""))</f>
        <v/>
      </c>
    </row>
    <row r="205" spans="1:42" ht="1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 t="str">
        <f t="shared" si="27"/>
        <v/>
      </c>
      <c r="AG205" s="7" t="str">
        <f t="shared" si="35"/>
        <v/>
      </c>
      <c r="AH205" s="7" t="str">
        <f t="shared" si="28"/>
        <v/>
      </c>
      <c r="AI205" s="7" t="str">
        <f t="shared" si="29"/>
        <v/>
      </c>
      <c r="AJ205" s="7" t="str">
        <f t="shared" si="30"/>
        <v/>
      </c>
      <c r="AK205" s="7" t="str">
        <f t="shared" si="31"/>
        <v/>
      </c>
      <c r="AL205" s="7" t="str">
        <f t="shared" si="32"/>
        <v/>
      </c>
      <c r="AM205" s="7" t="str">
        <f t="shared" si="33"/>
        <v/>
      </c>
      <c r="AN205" s="8" t="str">
        <f>IF(C205="","",COUNTIF($C$2:C205,C205))</f>
        <v/>
      </c>
      <c r="AO205" s="8" t="str">
        <f t="shared" si="34"/>
        <v/>
      </c>
      <c r="AP205" s="8" t="str">
        <f>IF(C205="","",IF(AND(OR([1]Consulta!$C$29="",A205=[1]Consulta!$C$29),OR([1]Consulta!$E$29="",B205=[1]Consulta!$E$29),OR([1]Consulta!$G$29="",D205=[1]Consulta!$G$29,R205=[1]Consulta!$G$29)),ROW()-1,""))</f>
        <v/>
      </c>
    </row>
    <row r="206" spans="1:42" ht="1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 t="str">
        <f t="shared" si="27"/>
        <v/>
      </c>
      <c r="AG206" s="7" t="str">
        <f t="shared" si="35"/>
        <v/>
      </c>
      <c r="AH206" s="7" t="str">
        <f t="shared" si="28"/>
        <v/>
      </c>
      <c r="AI206" s="7" t="str">
        <f t="shared" si="29"/>
        <v/>
      </c>
      <c r="AJ206" s="7" t="str">
        <f t="shared" si="30"/>
        <v/>
      </c>
      <c r="AK206" s="7" t="str">
        <f t="shared" si="31"/>
        <v/>
      </c>
      <c r="AL206" s="7" t="str">
        <f t="shared" si="32"/>
        <v/>
      </c>
      <c r="AM206" s="7" t="str">
        <f t="shared" si="33"/>
        <v/>
      </c>
      <c r="AN206" s="8" t="str">
        <f>IF(C206="","",COUNTIF($C$2:C206,C206))</f>
        <v/>
      </c>
      <c r="AO206" s="8" t="str">
        <f t="shared" si="34"/>
        <v/>
      </c>
      <c r="AP206" s="8" t="str">
        <f>IF(C206="","",IF(AND(OR([1]Consulta!$C$29="",A206=[1]Consulta!$C$29),OR([1]Consulta!$E$29="",B206=[1]Consulta!$E$29),OR([1]Consulta!$G$29="",D206=[1]Consulta!$G$29,R206=[1]Consulta!$G$29)),ROW()-1,""))</f>
        <v/>
      </c>
    </row>
    <row r="207" spans="1:42" ht="1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 t="str">
        <f t="shared" si="27"/>
        <v/>
      </c>
      <c r="AG207" s="7" t="str">
        <f t="shared" si="35"/>
        <v/>
      </c>
      <c r="AH207" s="7" t="str">
        <f t="shared" si="28"/>
        <v/>
      </c>
      <c r="AI207" s="7" t="str">
        <f t="shared" si="29"/>
        <v/>
      </c>
      <c r="AJ207" s="7" t="str">
        <f t="shared" si="30"/>
        <v/>
      </c>
      <c r="AK207" s="7" t="str">
        <f t="shared" si="31"/>
        <v/>
      </c>
      <c r="AL207" s="7" t="str">
        <f t="shared" si="32"/>
        <v/>
      </c>
      <c r="AM207" s="7" t="str">
        <f t="shared" si="33"/>
        <v/>
      </c>
      <c r="AN207" s="8" t="str">
        <f>IF(C207="","",COUNTIF($C$2:C207,C207))</f>
        <v/>
      </c>
      <c r="AO207" s="8" t="str">
        <f t="shared" si="34"/>
        <v/>
      </c>
      <c r="AP207" s="8" t="str">
        <f>IF(C207="","",IF(AND(OR([1]Consulta!$C$29="",A207=[1]Consulta!$C$29),OR([1]Consulta!$E$29="",B207=[1]Consulta!$E$29),OR([1]Consulta!$G$29="",D207=[1]Consulta!$G$29,R207=[1]Consulta!$G$29)),ROW()-1,""))</f>
        <v/>
      </c>
    </row>
    <row r="208" spans="1:42" ht="1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 t="str">
        <f t="shared" si="27"/>
        <v/>
      </c>
      <c r="AG208" s="7" t="str">
        <f t="shared" si="35"/>
        <v/>
      </c>
      <c r="AH208" s="7" t="str">
        <f t="shared" si="28"/>
        <v/>
      </c>
      <c r="AI208" s="7" t="str">
        <f t="shared" si="29"/>
        <v/>
      </c>
      <c r="AJ208" s="7" t="str">
        <f t="shared" si="30"/>
        <v/>
      </c>
      <c r="AK208" s="7" t="str">
        <f t="shared" si="31"/>
        <v/>
      </c>
      <c r="AL208" s="7" t="str">
        <f t="shared" si="32"/>
        <v/>
      </c>
      <c r="AM208" s="7" t="str">
        <f t="shared" si="33"/>
        <v/>
      </c>
      <c r="AN208" s="8" t="str">
        <f>IF(C208="","",COUNTIF($C$2:C208,C208))</f>
        <v/>
      </c>
      <c r="AO208" s="8" t="str">
        <f t="shared" si="34"/>
        <v/>
      </c>
      <c r="AP208" s="8" t="str">
        <f>IF(C208="","",IF(AND(OR([1]Consulta!$C$29="",A208=[1]Consulta!$C$29),OR([1]Consulta!$E$29="",B208=[1]Consulta!$E$29),OR([1]Consulta!$G$29="",D208=[1]Consulta!$G$29,R208=[1]Consulta!$G$29)),ROW()-1,""))</f>
        <v/>
      </c>
    </row>
    <row r="209" spans="1:42" ht="1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 t="str">
        <f t="shared" si="27"/>
        <v/>
      </c>
      <c r="AG209" s="7" t="str">
        <f t="shared" si="35"/>
        <v/>
      </c>
      <c r="AH209" s="7" t="str">
        <f t="shared" si="28"/>
        <v/>
      </c>
      <c r="AI209" s="7" t="str">
        <f t="shared" si="29"/>
        <v/>
      </c>
      <c r="AJ209" s="7" t="str">
        <f t="shared" si="30"/>
        <v/>
      </c>
      <c r="AK209" s="7" t="str">
        <f t="shared" si="31"/>
        <v/>
      </c>
      <c r="AL209" s="7" t="str">
        <f t="shared" si="32"/>
        <v/>
      </c>
      <c r="AM209" s="7" t="str">
        <f t="shared" si="33"/>
        <v/>
      </c>
      <c r="AN209" s="8" t="str">
        <f>IF(C209="","",COUNTIF($C$2:C209,C209))</f>
        <v/>
      </c>
      <c r="AO209" s="8" t="str">
        <f t="shared" si="34"/>
        <v/>
      </c>
      <c r="AP209" s="8" t="str">
        <f>IF(C209="","",IF(AND(OR([1]Consulta!$C$29="",A209=[1]Consulta!$C$29),OR([1]Consulta!$E$29="",B209=[1]Consulta!$E$29),OR([1]Consulta!$G$29="",D209=[1]Consulta!$G$29,R209=[1]Consulta!$G$29)),ROW()-1,""))</f>
        <v/>
      </c>
    </row>
    <row r="210" spans="1:42" ht="1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 t="str">
        <f t="shared" si="27"/>
        <v/>
      </c>
      <c r="AG210" s="7" t="str">
        <f t="shared" si="35"/>
        <v/>
      </c>
      <c r="AH210" s="7" t="str">
        <f t="shared" si="28"/>
        <v/>
      </c>
      <c r="AI210" s="7" t="str">
        <f t="shared" si="29"/>
        <v/>
      </c>
      <c r="AJ210" s="7" t="str">
        <f t="shared" si="30"/>
        <v/>
      </c>
      <c r="AK210" s="7" t="str">
        <f t="shared" si="31"/>
        <v/>
      </c>
      <c r="AL210" s="7" t="str">
        <f t="shared" si="32"/>
        <v/>
      </c>
      <c r="AM210" s="7" t="str">
        <f t="shared" si="33"/>
        <v/>
      </c>
      <c r="AN210" s="8" t="str">
        <f>IF(C210="","",COUNTIF($C$2:C210,C210))</f>
        <v/>
      </c>
      <c r="AO210" s="8" t="str">
        <f t="shared" si="34"/>
        <v/>
      </c>
      <c r="AP210" s="8" t="str">
        <f>IF(C210="","",IF(AND(OR([1]Consulta!$C$29="",A210=[1]Consulta!$C$29),OR([1]Consulta!$E$29="",B210=[1]Consulta!$E$29),OR([1]Consulta!$G$29="",D210=[1]Consulta!$G$29,R210=[1]Consulta!$G$29)),ROW()-1,""))</f>
        <v/>
      </c>
    </row>
    <row r="211" spans="1:42" ht="1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 t="str">
        <f t="shared" si="27"/>
        <v/>
      </c>
      <c r="AG211" s="7" t="str">
        <f t="shared" si="35"/>
        <v/>
      </c>
      <c r="AH211" s="7" t="str">
        <f t="shared" si="28"/>
        <v/>
      </c>
      <c r="AI211" s="7" t="str">
        <f t="shared" si="29"/>
        <v/>
      </c>
      <c r="AJ211" s="7" t="str">
        <f t="shared" si="30"/>
        <v/>
      </c>
      <c r="AK211" s="7" t="str">
        <f t="shared" si="31"/>
        <v/>
      </c>
      <c r="AL211" s="7" t="str">
        <f t="shared" si="32"/>
        <v/>
      </c>
      <c r="AM211" s="7" t="str">
        <f t="shared" si="33"/>
        <v/>
      </c>
      <c r="AN211" s="8" t="str">
        <f>IF(C211="","",COUNTIF($C$2:C211,C211))</f>
        <v/>
      </c>
      <c r="AO211" s="8" t="str">
        <f t="shared" si="34"/>
        <v/>
      </c>
      <c r="AP211" s="8" t="str">
        <f>IF(C211="","",IF(AND(OR([1]Consulta!$C$29="",A211=[1]Consulta!$C$29),OR([1]Consulta!$E$29="",B211=[1]Consulta!$E$29),OR([1]Consulta!$G$29="",D211=[1]Consulta!$G$29,R211=[1]Consulta!$G$29)),ROW()-1,""))</f>
        <v/>
      </c>
    </row>
    <row r="212" spans="1:42" ht="1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 t="str">
        <f t="shared" si="27"/>
        <v/>
      </c>
      <c r="AG212" s="7" t="str">
        <f t="shared" si="35"/>
        <v/>
      </c>
      <c r="AH212" s="7" t="str">
        <f t="shared" si="28"/>
        <v/>
      </c>
      <c r="AI212" s="7" t="str">
        <f t="shared" si="29"/>
        <v/>
      </c>
      <c r="AJ212" s="7" t="str">
        <f t="shared" si="30"/>
        <v/>
      </c>
      <c r="AK212" s="7" t="str">
        <f t="shared" si="31"/>
        <v/>
      </c>
      <c r="AL212" s="7" t="str">
        <f t="shared" si="32"/>
        <v/>
      </c>
      <c r="AM212" s="7" t="str">
        <f t="shared" si="33"/>
        <v/>
      </c>
      <c r="AN212" s="8" t="str">
        <f>IF(C212="","",COUNTIF($C$2:C212,C212))</f>
        <v/>
      </c>
      <c r="AO212" s="8" t="str">
        <f t="shared" si="34"/>
        <v/>
      </c>
      <c r="AP212" s="8" t="str">
        <f>IF(C212="","",IF(AND(OR([1]Consulta!$C$29="",A212=[1]Consulta!$C$29),OR([1]Consulta!$E$29="",B212=[1]Consulta!$E$29),OR([1]Consulta!$G$29="",D212=[1]Consulta!$G$29,R212=[1]Consulta!$G$29)),ROW()-1,""))</f>
        <v/>
      </c>
    </row>
    <row r="213" spans="1:42" ht="1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 t="str">
        <f t="shared" si="27"/>
        <v/>
      </c>
      <c r="AG213" s="7" t="str">
        <f t="shared" si="35"/>
        <v/>
      </c>
      <c r="AH213" s="7" t="str">
        <f t="shared" si="28"/>
        <v/>
      </c>
      <c r="AI213" s="7" t="str">
        <f t="shared" si="29"/>
        <v/>
      </c>
      <c r="AJ213" s="7" t="str">
        <f t="shared" si="30"/>
        <v/>
      </c>
      <c r="AK213" s="7" t="str">
        <f t="shared" si="31"/>
        <v/>
      </c>
      <c r="AL213" s="7" t="str">
        <f t="shared" si="32"/>
        <v/>
      </c>
      <c r="AM213" s="7" t="str">
        <f t="shared" si="33"/>
        <v/>
      </c>
      <c r="AN213" s="8" t="str">
        <f>IF(C213="","",COUNTIF($C$2:C213,C213))</f>
        <v/>
      </c>
      <c r="AO213" s="8" t="str">
        <f t="shared" si="34"/>
        <v/>
      </c>
      <c r="AP213" s="8" t="str">
        <f>IF(C213="","",IF(AND(OR([1]Consulta!$C$29="",A213=[1]Consulta!$C$29),OR([1]Consulta!$E$29="",B213=[1]Consulta!$E$29),OR([1]Consulta!$G$29="",D213=[1]Consulta!$G$29,R213=[1]Consulta!$G$29)),ROW()-1,""))</f>
        <v/>
      </c>
    </row>
    <row r="214" spans="1:42" ht="1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 t="str">
        <f t="shared" si="27"/>
        <v/>
      </c>
      <c r="AG214" s="7" t="str">
        <f t="shared" si="35"/>
        <v/>
      </c>
      <c r="AH214" s="7" t="str">
        <f t="shared" si="28"/>
        <v/>
      </c>
      <c r="AI214" s="7" t="str">
        <f t="shared" si="29"/>
        <v/>
      </c>
      <c r="AJ214" s="7" t="str">
        <f t="shared" si="30"/>
        <v/>
      </c>
      <c r="AK214" s="7" t="str">
        <f t="shared" si="31"/>
        <v/>
      </c>
      <c r="AL214" s="7" t="str">
        <f t="shared" si="32"/>
        <v/>
      </c>
      <c r="AM214" s="7" t="str">
        <f t="shared" si="33"/>
        <v/>
      </c>
      <c r="AN214" s="8" t="str">
        <f>IF(C214="","",COUNTIF($C$2:C214,C214))</f>
        <v/>
      </c>
      <c r="AO214" s="8" t="str">
        <f t="shared" si="34"/>
        <v/>
      </c>
      <c r="AP214" s="8" t="str">
        <f>IF(C214="","",IF(AND(OR([1]Consulta!$C$29="",A214=[1]Consulta!$C$29),OR([1]Consulta!$E$29="",B214=[1]Consulta!$E$29),OR([1]Consulta!$G$29="",D214=[1]Consulta!$G$29,R214=[1]Consulta!$G$29)),ROW()-1,""))</f>
        <v/>
      </c>
    </row>
    <row r="215" spans="1:42" ht="1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 t="str">
        <f t="shared" si="27"/>
        <v/>
      </c>
      <c r="AG215" s="7" t="str">
        <f t="shared" si="35"/>
        <v/>
      </c>
      <c r="AH215" s="7" t="str">
        <f t="shared" si="28"/>
        <v/>
      </c>
      <c r="AI215" s="7" t="str">
        <f t="shared" si="29"/>
        <v/>
      </c>
      <c r="AJ215" s="7" t="str">
        <f t="shared" si="30"/>
        <v/>
      </c>
      <c r="AK215" s="7" t="str">
        <f t="shared" si="31"/>
        <v/>
      </c>
      <c r="AL215" s="7" t="str">
        <f t="shared" si="32"/>
        <v/>
      </c>
      <c r="AM215" s="7" t="str">
        <f t="shared" si="33"/>
        <v/>
      </c>
      <c r="AN215" s="8" t="str">
        <f>IF(C215="","",COUNTIF($C$2:C215,C215))</f>
        <v/>
      </c>
      <c r="AO215" s="8" t="str">
        <f t="shared" si="34"/>
        <v/>
      </c>
      <c r="AP215" s="8" t="str">
        <f>IF(C215="","",IF(AND(OR([1]Consulta!$C$29="",A215=[1]Consulta!$C$29),OR([1]Consulta!$E$29="",B215=[1]Consulta!$E$29),OR([1]Consulta!$G$29="",D215=[1]Consulta!$G$29,R215=[1]Consulta!$G$29)),ROW()-1,""))</f>
        <v/>
      </c>
    </row>
    <row r="216" spans="1:42" ht="1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 t="str">
        <f t="shared" si="27"/>
        <v/>
      </c>
      <c r="AG216" s="7" t="str">
        <f t="shared" si="35"/>
        <v/>
      </c>
      <c r="AH216" s="7" t="str">
        <f t="shared" si="28"/>
        <v/>
      </c>
      <c r="AI216" s="7" t="str">
        <f t="shared" si="29"/>
        <v/>
      </c>
      <c r="AJ216" s="7" t="str">
        <f t="shared" si="30"/>
        <v/>
      </c>
      <c r="AK216" s="7" t="str">
        <f t="shared" si="31"/>
        <v/>
      </c>
      <c r="AL216" s="7" t="str">
        <f t="shared" si="32"/>
        <v/>
      </c>
      <c r="AM216" s="7" t="str">
        <f t="shared" si="33"/>
        <v/>
      </c>
      <c r="AN216" s="8" t="str">
        <f>IF(C216="","",COUNTIF($C$2:C216,C216))</f>
        <v/>
      </c>
      <c r="AO216" s="8" t="str">
        <f t="shared" si="34"/>
        <v/>
      </c>
      <c r="AP216" s="8" t="str">
        <f>IF(C216="","",IF(AND(OR([1]Consulta!$C$29="",A216=[1]Consulta!$C$29),OR([1]Consulta!$E$29="",B216=[1]Consulta!$E$29),OR([1]Consulta!$G$29="",D216=[1]Consulta!$G$29,R216=[1]Consulta!$G$29)),ROW()-1,""))</f>
        <v/>
      </c>
    </row>
    <row r="217" spans="1:42" ht="1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 t="str">
        <f t="shared" si="27"/>
        <v/>
      </c>
      <c r="AG217" s="7" t="str">
        <f t="shared" si="35"/>
        <v/>
      </c>
      <c r="AH217" s="7" t="str">
        <f t="shared" si="28"/>
        <v/>
      </c>
      <c r="AI217" s="7" t="str">
        <f t="shared" si="29"/>
        <v/>
      </c>
      <c r="AJ217" s="7" t="str">
        <f t="shared" si="30"/>
        <v/>
      </c>
      <c r="AK217" s="7" t="str">
        <f t="shared" si="31"/>
        <v/>
      </c>
      <c r="AL217" s="7" t="str">
        <f t="shared" si="32"/>
        <v/>
      </c>
      <c r="AM217" s="7" t="str">
        <f t="shared" si="33"/>
        <v/>
      </c>
      <c r="AN217" s="8" t="str">
        <f>IF(C217="","",COUNTIF($C$2:C217,C217))</f>
        <v/>
      </c>
      <c r="AO217" s="8" t="str">
        <f t="shared" si="34"/>
        <v/>
      </c>
      <c r="AP217" s="8" t="str">
        <f>IF(C217="","",IF(AND(OR([1]Consulta!$C$29="",A217=[1]Consulta!$C$29),OR([1]Consulta!$E$29="",B217=[1]Consulta!$E$29),OR([1]Consulta!$G$29="",D217=[1]Consulta!$G$29,R217=[1]Consulta!$G$29)),ROW()-1,""))</f>
        <v/>
      </c>
    </row>
    <row r="218" spans="1:42" ht="1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 t="str">
        <f t="shared" si="27"/>
        <v/>
      </c>
      <c r="AG218" s="7" t="str">
        <f t="shared" si="35"/>
        <v/>
      </c>
      <c r="AH218" s="7" t="str">
        <f t="shared" si="28"/>
        <v/>
      </c>
      <c r="AI218" s="7" t="str">
        <f t="shared" si="29"/>
        <v/>
      </c>
      <c r="AJ218" s="7" t="str">
        <f t="shared" si="30"/>
        <v/>
      </c>
      <c r="AK218" s="7" t="str">
        <f t="shared" si="31"/>
        <v/>
      </c>
      <c r="AL218" s="7" t="str">
        <f t="shared" si="32"/>
        <v/>
      </c>
      <c r="AM218" s="7" t="str">
        <f t="shared" si="33"/>
        <v/>
      </c>
      <c r="AN218" s="8" t="str">
        <f>IF(C218="","",COUNTIF($C$2:C218,C218))</f>
        <v/>
      </c>
      <c r="AO218" s="8" t="str">
        <f t="shared" si="34"/>
        <v/>
      </c>
      <c r="AP218" s="8" t="str">
        <f>IF(C218="","",IF(AND(OR([1]Consulta!$C$29="",A218=[1]Consulta!$C$29),OR([1]Consulta!$E$29="",B218=[1]Consulta!$E$29),OR([1]Consulta!$G$29="",D218=[1]Consulta!$G$29,R218=[1]Consulta!$G$29)),ROW()-1,""))</f>
        <v/>
      </c>
    </row>
    <row r="219" spans="1:42" ht="1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 t="str">
        <f t="shared" si="27"/>
        <v/>
      </c>
      <c r="AG219" s="7" t="str">
        <f t="shared" si="35"/>
        <v/>
      </c>
      <c r="AH219" s="7" t="str">
        <f t="shared" si="28"/>
        <v/>
      </c>
      <c r="AI219" s="7" t="str">
        <f t="shared" si="29"/>
        <v/>
      </c>
      <c r="AJ219" s="7" t="str">
        <f t="shared" si="30"/>
        <v/>
      </c>
      <c r="AK219" s="7" t="str">
        <f t="shared" si="31"/>
        <v/>
      </c>
      <c r="AL219" s="7" t="str">
        <f t="shared" si="32"/>
        <v/>
      </c>
      <c r="AM219" s="7" t="str">
        <f t="shared" si="33"/>
        <v/>
      </c>
      <c r="AN219" s="8" t="str">
        <f>IF(C219="","",COUNTIF($C$2:C219,C219))</f>
        <v/>
      </c>
      <c r="AO219" s="8" t="str">
        <f t="shared" si="34"/>
        <v/>
      </c>
      <c r="AP219" s="8" t="str">
        <f>IF(C219="","",IF(AND(OR([1]Consulta!$C$29="",A219=[1]Consulta!$C$29),OR([1]Consulta!$E$29="",B219=[1]Consulta!$E$29),OR([1]Consulta!$G$29="",D219=[1]Consulta!$G$29,R219=[1]Consulta!$G$29)),ROW()-1,""))</f>
        <v/>
      </c>
    </row>
    <row r="220" spans="1:42" ht="1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 t="str">
        <f t="shared" si="27"/>
        <v/>
      </c>
      <c r="AG220" s="7" t="str">
        <f t="shared" si="35"/>
        <v/>
      </c>
      <c r="AH220" s="7" t="str">
        <f t="shared" si="28"/>
        <v/>
      </c>
      <c r="AI220" s="7" t="str">
        <f t="shared" si="29"/>
        <v/>
      </c>
      <c r="AJ220" s="7" t="str">
        <f t="shared" si="30"/>
        <v/>
      </c>
      <c r="AK220" s="7" t="str">
        <f t="shared" si="31"/>
        <v/>
      </c>
      <c r="AL220" s="7" t="str">
        <f t="shared" si="32"/>
        <v/>
      </c>
      <c r="AM220" s="7" t="str">
        <f t="shared" si="33"/>
        <v/>
      </c>
      <c r="AN220" s="8" t="str">
        <f>IF(C220="","",COUNTIF($C$2:C220,C220))</f>
        <v/>
      </c>
      <c r="AO220" s="8" t="str">
        <f t="shared" si="34"/>
        <v/>
      </c>
      <c r="AP220" s="8" t="str">
        <f>IF(C220="","",IF(AND(OR([1]Consulta!$C$29="",A220=[1]Consulta!$C$29),OR([1]Consulta!$E$29="",B220=[1]Consulta!$E$29),OR([1]Consulta!$G$29="",D220=[1]Consulta!$G$29,R220=[1]Consulta!$G$29)),ROW()-1,""))</f>
        <v/>
      </c>
    </row>
    <row r="221" spans="1:42" ht="1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 t="str">
        <f t="shared" si="27"/>
        <v/>
      </c>
      <c r="AG221" s="7" t="str">
        <f t="shared" si="35"/>
        <v/>
      </c>
      <c r="AH221" s="7" t="str">
        <f t="shared" si="28"/>
        <v/>
      </c>
      <c r="AI221" s="7" t="str">
        <f t="shared" si="29"/>
        <v/>
      </c>
      <c r="AJ221" s="7" t="str">
        <f t="shared" si="30"/>
        <v/>
      </c>
      <c r="AK221" s="7" t="str">
        <f t="shared" si="31"/>
        <v/>
      </c>
      <c r="AL221" s="7" t="str">
        <f t="shared" si="32"/>
        <v/>
      </c>
      <c r="AM221" s="7" t="str">
        <f t="shared" si="33"/>
        <v/>
      </c>
      <c r="AN221" s="8" t="str">
        <f>IF(C221="","",COUNTIF($C$2:C221,C221))</f>
        <v/>
      </c>
      <c r="AO221" s="8" t="str">
        <f t="shared" si="34"/>
        <v/>
      </c>
      <c r="AP221" s="8" t="str">
        <f>IF(C221="","",IF(AND(OR([1]Consulta!$C$29="",A221=[1]Consulta!$C$29),OR([1]Consulta!$E$29="",B221=[1]Consulta!$E$29),OR([1]Consulta!$G$29="",D221=[1]Consulta!$G$29,R221=[1]Consulta!$G$29)),ROW()-1,""))</f>
        <v/>
      </c>
    </row>
    <row r="222" spans="1:42" ht="1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 t="str">
        <f t="shared" si="27"/>
        <v/>
      </c>
      <c r="AG222" s="7" t="str">
        <f t="shared" si="35"/>
        <v/>
      </c>
      <c r="AH222" s="7" t="str">
        <f t="shared" si="28"/>
        <v/>
      </c>
      <c r="AI222" s="7" t="str">
        <f t="shared" si="29"/>
        <v/>
      </c>
      <c r="AJ222" s="7" t="str">
        <f t="shared" si="30"/>
        <v/>
      </c>
      <c r="AK222" s="7" t="str">
        <f t="shared" si="31"/>
        <v/>
      </c>
      <c r="AL222" s="7" t="str">
        <f t="shared" si="32"/>
        <v/>
      </c>
      <c r="AM222" s="7" t="str">
        <f t="shared" si="33"/>
        <v/>
      </c>
      <c r="AN222" s="8" t="str">
        <f>IF(C222="","",COUNTIF($C$2:C222,C222))</f>
        <v/>
      </c>
      <c r="AO222" s="8" t="str">
        <f t="shared" si="34"/>
        <v/>
      </c>
      <c r="AP222" s="8" t="str">
        <f>IF(C222="","",IF(AND(OR([1]Consulta!$C$29="",A222=[1]Consulta!$C$29),OR([1]Consulta!$E$29="",B222=[1]Consulta!$E$29),OR([1]Consulta!$G$29="",D222=[1]Consulta!$G$29,R222=[1]Consulta!$G$29)),ROW()-1,""))</f>
        <v/>
      </c>
    </row>
    <row r="223" spans="1:42" ht="1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 t="str">
        <f t="shared" si="27"/>
        <v/>
      </c>
      <c r="AG223" s="7" t="str">
        <f t="shared" si="35"/>
        <v/>
      </c>
      <c r="AH223" s="7" t="str">
        <f t="shared" si="28"/>
        <v/>
      </c>
      <c r="AI223" s="7" t="str">
        <f t="shared" si="29"/>
        <v/>
      </c>
      <c r="AJ223" s="7" t="str">
        <f t="shared" si="30"/>
        <v/>
      </c>
      <c r="AK223" s="7" t="str">
        <f t="shared" si="31"/>
        <v/>
      </c>
      <c r="AL223" s="7" t="str">
        <f t="shared" si="32"/>
        <v/>
      </c>
      <c r="AM223" s="7" t="str">
        <f t="shared" si="33"/>
        <v/>
      </c>
      <c r="AN223" s="8" t="str">
        <f>IF(C223="","",COUNTIF($C$2:C223,C223))</f>
        <v/>
      </c>
      <c r="AO223" s="8" t="str">
        <f t="shared" si="34"/>
        <v/>
      </c>
      <c r="AP223" s="8" t="str">
        <f>IF(C223="","",IF(AND(OR([1]Consulta!$C$29="",A223=[1]Consulta!$C$29),OR([1]Consulta!$E$29="",B223=[1]Consulta!$E$29),OR([1]Consulta!$G$29="",D223=[1]Consulta!$G$29,R223=[1]Consulta!$G$29)),ROW()-1,""))</f>
        <v/>
      </c>
    </row>
    <row r="224" spans="1:42" ht="1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 t="str">
        <f t="shared" si="27"/>
        <v/>
      </c>
      <c r="AG224" s="7" t="str">
        <f t="shared" si="35"/>
        <v/>
      </c>
      <c r="AH224" s="7" t="str">
        <f t="shared" si="28"/>
        <v/>
      </c>
      <c r="AI224" s="7" t="str">
        <f t="shared" si="29"/>
        <v/>
      </c>
      <c r="AJ224" s="7" t="str">
        <f t="shared" si="30"/>
        <v/>
      </c>
      <c r="AK224" s="7" t="str">
        <f t="shared" si="31"/>
        <v/>
      </c>
      <c r="AL224" s="7" t="str">
        <f t="shared" si="32"/>
        <v/>
      </c>
      <c r="AM224" s="7" t="str">
        <f t="shared" si="33"/>
        <v/>
      </c>
      <c r="AN224" s="8" t="str">
        <f>IF(C224="","",COUNTIF($C$2:C224,C224))</f>
        <v/>
      </c>
      <c r="AO224" s="8" t="str">
        <f t="shared" si="34"/>
        <v/>
      </c>
      <c r="AP224" s="8" t="str">
        <f>IF(C224="","",IF(AND(OR([1]Consulta!$C$29="",A224=[1]Consulta!$C$29),OR([1]Consulta!$E$29="",B224=[1]Consulta!$E$29),OR([1]Consulta!$G$29="",D224=[1]Consulta!$G$29,R224=[1]Consulta!$G$29)),ROW()-1,""))</f>
        <v/>
      </c>
    </row>
    <row r="225" spans="1:42" ht="1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 t="str">
        <f t="shared" si="27"/>
        <v/>
      </c>
      <c r="AG225" s="7" t="str">
        <f t="shared" si="35"/>
        <v/>
      </c>
      <c r="AH225" s="7" t="str">
        <f t="shared" si="28"/>
        <v/>
      </c>
      <c r="AI225" s="7" t="str">
        <f t="shared" si="29"/>
        <v/>
      </c>
      <c r="AJ225" s="7" t="str">
        <f t="shared" si="30"/>
        <v/>
      </c>
      <c r="AK225" s="7" t="str">
        <f t="shared" si="31"/>
        <v/>
      </c>
      <c r="AL225" s="7" t="str">
        <f t="shared" si="32"/>
        <v/>
      </c>
      <c r="AM225" s="7" t="str">
        <f t="shared" si="33"/>
        <v/>
      </c>
      <c r="AN225" s="8" t="str">
        <f>IF(C225="","",COUNTIF($C$2:C225,C225))</f>
        <v/>
      </c>
      <c r="AO225" s="8" t="str">
        <f t="shared" si="34"/>
        <v/>
      </c>
      <c r="AP225" s="8" t="str">
        <f>IF(C225="","",IF(AND(OR([1]Consulta!$C$29="",A225=[1]Consulta!$C$29),OR([1]Consulta!$E$29="",B225=[1]Consulta!$E$29),OR([1]Consulta!$G$29="",D225=[1]Consulta!$G$29,R225=[1]Consulta!$G$29)),ROW()-1,""))</f>
        <v/>
      </c>
    </row>
    <row r="226" spans="1:42" ht="1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 t="str">
        <f t="shared" si="27"/>
        <v/>
      </c>
      <c r="AG226" s="7" t="str">
        <f t="shared" si="35"/>
        <v/>
      </c>
      <c r="AH226" s="7" t="str">
        <f t="shared" si="28"/>
        <v/>
      </c>
      <c r="AI226" s="7" t="str">
        <f t="shared" si="29"/>
        <v/>
      </c>
      <c r="AJ226" s="7" t="str">
        <f t="shared" si="30"/>
        <v/>
      </c>
      <c r="AK226" s="7" t="str">
        <f t="shared" si="31"/>
        <v/>
      </c>
      <c r="AL226" s="7" t="str">
        <f t="shared" si="32"/>
        <v/>
      </c>
      <c r="AM226" s="7" t="str">
        <f t="shared" si="33"/>
        <v/>
      </c>
      <c r="AN226" s="8" t="str">
        <f>IF(C226="","",COUNTIF($C$2:C226,C226))</f>
        <v/>
      </c>
      <c r="AO226" s="8" t="str">
        <f t="shared" si="34"/>
        <v/>
      </c>
      <c r="AP226" s="8" t="str">
        <f>IF(C226="","",IF(AND(OR([1]Consulta!$C$29="",A226=[1]Consulta!$C$29),OR([1]Consulta!$E$29="",B226=[1]Consulta!$E$29),OR([1]Consulta!$G$29="",D226=[1]Consulta!$G$29,R226=[1]Consulta!$G$29)),ROW()-1,""))</f>
        <v/>
      </c>
    </row>
    <row r="227" spans="1:42" ht="1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 t="str">
        <f t="shared" si="27"/>
        <v/>
      </c>
      <c r="AG227" s="7" t="str">
        <f t="shared" si="35"/>
        <v/>
      </c>
      <c r="AH227" s="7" t="str">
        <f t="shared" si="28"/>
        <v/>
      </c>
      <c r="AI227" s="7" t="str">
        <f t="shared" si="29"/>
        <v/>
      </c>
      <c r="AJ227" s="7" t="str">
        <f t="shared" si="30"/>
        <v/>
      </c>
      <c r="AK227" s="7" t="str">
        <f t="shared" si="31"/>
        <v/>
      </c>
      <c r="AL227" s="7" t="str">
        <f t="shared" si="32"/>
        <v/>
      </c>
      <c r="AM227" s="7" t="str">
        <f t="shared" si="33"/>
        <v/>
      </c>
      <c r="AN227" s="8" t="str">
        <f>IF(C227="","",COUNTIF($C$2:C227,C227))</f>
        <v/>
      </c>
      <c r="AO227" s="8" t="str">
        <f t="shared" si="34"/>
        <v/>
      </c>
      <c r="AP227" s="8" t="str">
        <f>IF(C227="","",IF(AND(OR([1]Consulta!$C$29="",A227=[1]Consulta!$C$29),OR([1]Consulta!$E$29="",B227=[1]Consulta!$E$29),OR([1]Consulta!$G$29="",D227=[1]Consulta!$G$29,R227=[1]Consulta!$G$29)),ROW()-1,""))</f>
        <v/>
      </c>
    </row>
    <row r="228" spans="1:42" ht="1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 t="str">
        <f t="shared" si="27"/>
        <v/>
      </c>
      <c r="AG228" s="7" t="str">
        <f t="shared" si="35"/>
        <v/>
      </c>
      <c r="AH228" s="7" t="str">
        <f t="shared" si="28"/>
        <v/>
      </c>
      <c r="AI228" s="7" t="str">
        <f t="shared" si="29"/>
        <v/>
      </c>
      <c r="AJ228" s="7" t="str">
        <f t="shared" si="30"/>
        <v/>
      </c>
      <c r="AK228" s="7" t="str">
        <f t="shared" si="31"/>
        <v/>
      </c>
      <c r="AL228" s="7" t="str">
        <f t="shared" si="32"/>
        <v/>
      </c>
      <c r="AM228" s="7" t="str">
        <f t="shared" si="33"/>
        <v/>
      </c>
      <c r="AN228" s="8" t="str">
        <f>IF(C228="","",COUNTIF($C$2:C228,C228))</f>
        <v/>
      </c>
      <c r="AO228" s="8" t="str">
        <f t="shared" si="34"/>
        <v/>
      </c>
      <c r="AP228" s="8" t="str">
        <f>IF(C228="","",IF(AND(OR([1]Consulta!$C$29="",A228=[1]Consulta!$C$29),OR([1]Consulta!$E$29="",B228=[1]Consulta!$E$29),OR([1]Consulta!$G$29="",D228=[1]Consulta!$G$29,R228=[1]Consulta!$G$29)),ROW()-1,""))</f>
        <v/>
      </c>
    </row>
    <row r="229" spans="1:42" ht="1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 t="str">
        <f t="shared" si="27"/>
        <v/>
      </c>
      <c r="AG229" s="7" t="str">
        <f t="shared" si="35"/>
        <v/>
      </c>
      <c r="AH229" s="7" t="str">
        <f t="shared" si="28"/>
        <v/>
      </c>
      <c r="AI229" s="7" t="str">
        <f t="shared" si="29"/>
        <v/>
      </c>
      <c r="AJ229" s="7" t="str">
        <f t="shared" si="30"/>
        <v/>
      </c>
      <c r="AK229" s="7" t="str">
        <f t="shared" si="31"/>
        <v/>
      </c>
      <c r="AL229" s="7" t="str">
        <f t="shared" si="32"/>
        <v/>
      </c>
      <c r="AM229" s="7" t="str">
        <f t="shared" si="33"/>
        <v/>
      </c>
      <c r="AN229" s="8" t="str">
        <f>IF(C229="","",COUNTIF($C$2:C229,C229))</f>
        <v/>
      </c>
      <c r="AO229" s="8" t="str">
        <f t="shared" si="34"/>
        <v/>
      </c>
      <c r="AP229" s="8" t="str">
        <f>IF(C229="","",IF(AND(OR([1]Consulta!$C$29="",A229=[1]Consulta!$C$29),OR([1]Consulta!$E$29="",B229=[1]Consulta!$E$29),OR([1]Consulta!$G$29="",D229=[1]Consulta!$G$29,R229=[1]Consulta!$G$29)),ROW()-1,""))</f>
        <v/>
      </c>
    </row>
    <row r="230" spans="1:42" ht="1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 t="str">
        <f t="shared" si="27"/>
        <v/>
      </c>
      <c r="AG230" s="7" t="str">
        <f t="shared" si="35"/>
        <v/>
      </c>
      <c r="AH230" s="7" t="str">
        <f t="shared" si="28"/>
        <v/>
      </c>
      <c r="AI230" s="7" t="str">
        <f t="shared" si="29"/>
        <v/>
      </c>
      <c r="AJ230" s="7" t="str">
        <f t="shared" si="30"/>
        <v/>
      </c>
      <c r="AK230" s="7" t="str">
        <f t="shared" si="31"/>
        <v/>
      </c>
      <c r="AL230" s="7" t="str">
        <f t="shared" si="32"/>
        <v/>
      </c>
      <c r="AM230" s="7" t="str">
        <f t="shared" si="33"/>
        <v/>
      </c>
      <c r="AN230" s="8" t="str">
        <f>IF(C230="","",COUNTIF($C$2:C230,C230))</f>
        <v/>
      </c>
      <c r="AO230" s="8" t="str">
        <f t="shared" si="34"/>
        <v/>
      </c>
      <c r="AP230" s="8" t="str">
        <f>IF(C230="","",IF(AND(OR([1]Consulta!$C$29="",A230=[1]Consulta!$C$29),OR([1]Consulta!$E$29="",B230=[1]Consulta!$E$29),OR([1]Consulta!$G$29="",D230=[1]Consulta!$G$29,R230=[1]Consulta!$G$29)),ROW()-1,""))</f>
        <v/>
      </c>
    </row>
    <row r="231" spans="1:42" ht="1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 t="str">
        <f t="shared" si="27"/>
        <v/>
      </c>
      <c r="AG231" s="7" t="str">
        <f t="shared" si="35"/>
        <v/>
      </c>
      <c r="AH231" s="7" t="str">
        <f t="shared" si="28"/>
        <v/>
      </c>
      <c r="AI231" s="7" t="str">
        <f t="shared" si="29"/>
        <v/>
      </c>
      <c r="AJ231" s="7" t="str">
        <f t="shared" si="30"/>
        <v/>
      </c>
      <c r="AK231" s="7" t="str">
        <f t="shared" si="31"/>
        <v/>
      </c>
      <c r="AL231" s="7" t="str">
        <f t="shared" si="32"/>
        <v/>
      </c>
      <c r="AM231" s="7" t="str">
        <f t="shared" si="33"/>
        <v/>
      </c>
      <c r="AN231" s="8" t="str">
        <f>IF(C231="","",COUNTIF($C$2:C231,C231))</f>
        <v/>
      </c>
      <c r="AO231" s="8" t="str">
        <f t="shared" si="34"/>
        <v/>
      </c>
      <c r="AP231" s="8" t="str">
        <f>IF(C231="","",IF(AND(OR([1]Consulta!$C$29="",A231=[1]Consulta!$C$29),OR([1]Consulta!$E$29="",B231=[1]Consulta!$E$29),OR([1]Consulta!$G$29="",D231=[1]Consulta!$G$29,R231=[1]Consulta!$G$29)),ROW()-1,""))</f>
        <v/>
      </c>
    </row>
    <row r="232" spans="1:42" ht="1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 t="str">
        <f t="shared" si="27"/>
        <v/>
      </c>
      <c r="AG232" s="7" t="str">
        <f t="shared" si="35"/>
        <v/>
      </c>
      <c r="AH232" s="7" t="str">
        <f t="shared" si="28"/>
        <v/>
      </c>
      <c r="AI232" s="7" t="str">
        <f t="shared" si="29"/>
        <v/>
      </c>
      <c r="AJ232" s="7" t="str">
        <f t="shared" si="30"/>
        <v/>
      </c>
      <c r="AK232" s="7" t="str">
        <f t="shared" si="31"/>
        <v/>
      </c>
      <c r="AL232" s="7" t="str">
        <f t="shared" si="32"/>
        <v/>
      </c>
      <c r="AM232" s="7" t="str">
        <f t="shared" si="33"/>
        <v/>
      </c>
      <c r="AN232" s="8" t="str">
        <f>IF(C232="","",COUNTIF($C$2:C232,C232))</f>
        <v/>
      </c>
      <c r="AO232" s="8" t="str">
        <f t="shared" si="34"/>
        <v/>
      </c>
      <c r="AP232" s="8" t="str">
        <f>IF(C232="","",IF(AND(OR([1]Consulta!$C$29="",A232=[1]Consulta!$C$29),OR([1]Consulta!$E$29="",B232=[1]Consulta!$E$29),OR([1]Consulta!$G$29="",D232=[1]Consulta!$G$29,R232=[1]Consulta!$G$29)),ROW()-1,""))</f>
        <v/>
      </c>
    </row>
    <row r="233" spans="1:42" ht="1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 t="str">
        <f t="shared" si="27"/>
        <v/>
      </c>
      <c r="AG233" s="7" t="str">
        <f t="shared" si="35"/>
        <v/>
      </c>
      <c r="AH233" s="7" t="str">
        <f t="shared" si="28"/>
        <v/>
      </c>
      <c r="AI233" s="7" t="str">
        <f t="shared" si="29"/>
        <v/>
      </c>
      <c r="AJ233" s="7" t="str">
        <f t="shared" si="30"/>
        <v/>
      </c>
      <c r="AK233" s="7" t="str">
        <f t="shared" si="31"/>
        <v/>
      </c>
      <c r="AL233" s="7" t="str">
        <f t="shared" si="32"/>
        <v/>
      </c>
      <c r="AM233" s="7" t="str">
        <f t="shared" si="33"/>
        <v/>
      </c>
      <c r="AN233" s="8" t="str">
        <f>IF(C233="","",COUNTIF($C$2:C233,C233))</f>
        <v/>
      </c>
      <c r="AO233" s="8" t="str">
        <f t="shared" si="34"/>
        <v/>
      </c>
      <c r="AP233" s="8" t="str">
        <f>IF(C233="","",IF(AND(OR([1]Consulta!$C$29="",A233=[1]Consulta!$C$29),OR([1]Consulta!$E$29="",B233=[1]Consulta!$E$29),OR([1]Consulta!$G$29="",D233=[1]Consulta!$G$29,R233=[1]Consulta!$G$29)),ROW()-1,""))</f>
        <v/>
      </c>
    </row>
    <row r="234" spans="1:42" ht="1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 t="str">
        <f t="shared" si="27"/>
        <v/>
      </c>
      <c r="AG234" s="7" t="str">
        <f t="shared" si="35"/>
        <v/>
      </c>
      <c r="AH234" s="7" t="str">
        <f t="shared" si="28"/>
        <v/>
      </c>
      <c r="AI234" s="7" t="str">
        <f t="shared" si="29"/>
        <v/>
      </c>
      <c r="AJ234" s="7" t="str">
        <f t="shared" si="30"/>
        <v/>
      </c>
      <c r="AK234" s="7" t="str">
        <f t="shared" si="31"/>
        <v/>
      </c>
      <c r="AL234" s="7" t="str">
        <f t="shared" si="32"/>
        <v/>
      </c>
      <c r="AM234" s="7" t="str">
        <f t="shared" si="33"/>
        <v/>
      </c>
      <c r="AN234" s="8" t="str">
        <f>IF(C234="","",COUNTIF($C$2:C234,C234))</f>
        <v/>
      </c>
      <c r="AO234" s="8" t="str">
        <f t="shared" si="34"/>
        <v/>
      </c>
      <c r="AP234" s="8" t="str">
        <f>IF(C234="","",IF(AND(OR([1]Consulta!$C$29="",A234=[1]Consulta!$C$29),OR([1]Consulta!$E$29="",B234=[1]Consulta!$E$29),OR([1]Consulta!$G$29="",D234=[1]Consulta!$G$29,R234=[1]Consulta!$G$29)),ROW()-1,""))</f>
        <v/>
      </c>
    </row>
    <row r="235" spans="1:42" ht="1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 t="str">
        <f t="shared" si="27"/>
        <v/>
      </c>
      <c r="AG235" s="7" t="str">
        <f t="shared" si="35"/>
        <v/>
      </c>
      <c r="AH235" s="7" t="str">
        <f t="shared" si="28"/>
        <v/>
      </c>
      <c r="AI235" s="7" t="str">
        <f t="shared" si="29"/>
        <v/>
      </c>
      <c r="AJ235" s="7" t="str">
        <f t="shared" si="30"/>
        <v/>
      </c>
      <c r="AK235" s="7" t="str">
        <f t="shared" si="31"/>
        <v/>
      </c>
      <c r="AL235" s="7" t="str">
        <f t="shared" si="32"/>
        <v/>
      </c>
      <c r="AM235" s="7" t="str">
        <f t="shared" si="33"/>
        <v/>
      </c>
      <c r="AN235" s="8" t="str">
        <f>IF(C235="","",COUNTIF($C$2:C235,C235))</f>
        <v/>
      </c>
      <c r="AO235" s="8" t="str">
        <f t="shared" si="34"/>
        <v/>
      </c>
      <c r="AP235" s="8" t="str">
        <f>IF(C235="","",IF(AND(OR([1]Consulta!$C$29="",A235=[1]Consulta!$C$29),OR([1]Consulta!$E$29="",B235=[1]Consulta!$E$29),OR([1]Consulta!$G$29="",D235=[1]Consulta!$G$29,R235=[1]Consulta!$G$29)),ROW()-1,""))</f>
        <v/>
      </c>
    </row>
    <row r="236" spans="1:42" ht="1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 t="str">
        <f t="shared" si="27"/>
        <v/>
      </c>
      <c r="AG236" s="7" t="str">
        <f t="shared" si="35"/>
        <v/>
      </c>
      <c r="AH236" s="7" t="str">
        <f t="shared" si="28"/>
        <v/>
      </c>
      <c r="AI236" s="7" t="str">
        <f t="shared" si="29"/>
        <v/>
      </c>
      <c r="AJ236" s="7" t="str">
        <f t="shared" si="30"/>
        <v/>
      </c>
      <c r="AK236" s="7" t="str">
        <f t="shared" si="31"/>
        <v/>
      </c>
      <c r="AL236" s="7" t="str">
        <f t="shared" si="32"/>
        <v/>
      </c>
      <c r="AM236" s="7" t="str">
        <f t="shared" si="33"/>
        <v/>
      </c>
      <c r="AN236" s="8" t="str">
        <f>IF(C236="","",COUNTIF($C$2:C236,C236))</f>
        <v/>
      </c>
      <c r="AO236" s="8" t="str">
        <f t="shared" si="34"/>
        <v/>
      </c>
      <c r="AP236" s="8" t="str">
        <f>IF(C236="","",IF(AND(OR([1]Consulta!$C$29="",A236=[1]Consulta!$C$29),OR([1]Consulta!$E$29="",B236=[1]Consulta!$E$29),OR([1]Consulta!$G$29="",D236=[1]Consulta!$G$29,R236=[1]Consulta!$G$29)),ROW()-1,""))</f>
        <v/>
      </c>
    </row>
    <row r="237" spans="1:42" ht="1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 t="str">
        <f t="shared" si="27"/>
        <v/>
      </c>
      <c r="AG237" s="7" t="str">
        <f t="shared" si="35"/>
        <v/>
      </c>
      <c r="AH237" s="7" t="str">
        <f t="shared" si="28"/>
        <v/>
      </c>
      <c r="AI237" s="7" t="str">
        <f t="shared" si="29"/>
        <v/>
      </c>
      <c r="AJ237" s="7" t="str">
        <f t="shared" si="30"/>
        <v/>
      </c>
      <c r="AK237" s="7" t="str">
        <f t="shared" si="31"/>
        <v/>
      </c>
      <c r="AL237" s="7" t="str">
        <f t="shared" si="32"/>
        <v/>
      </c>
      <c r="AM237" s="7" t="str">
        <f t="shared" si="33"/>
        <v/>
      </c>
      <c r="AN237" s="8" t="str">
        <f>IF(C237="","",COUNTIF($C$2:C237,C237))</f>
        <v/>
      </c>
      <c r="AO237" s="8" t="str">
        <f t="shared" si="34"/>
        <v/>
      </c>
      <c r="AP237" s="8" t="str">
        <f>IF(C237="","",IF(AND(OR([1]Consulta!$C$29="",A237=[1]Consulta!$C$29),OR([1]Consulta!$E$29="",B237=[1]Consulta!$E$29),OR([1]Consulta!$G$29="",D237=[1]Consulta!$G$29,R237=[1]Consulta!$G$29)),ROW()-1,""))</f>
        <v/>
      </c>
    </row>
    <row r="238" spans="1:42" ht="1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 t="str">
        <f t="shared" si="27"/>
        <v/>
      </c>
      <c r="AG238" s="7" t="str">
        <f t="shared" si="35"/>
        <v/>
      </c>
      <c r="AH238" s="7" t="str">
        <f t="shared" si="28"/>
        <v/>
      </c>
      <c r="AI238" s="7" t="str">
        <f t="shared" si="29"/>
        <v/>
      </c>
      <c r="AJ238" s="7" t="str">
        <f t="shared" si="30"/>
        <v/>
      </c>
      <c r="AK238" s="7" t="str">
        <f t="shared" si="31"/>
        <v/>
      </c>
      <c r="AL238" s="7" t="str">
        <f t="shared" si="32"/>
        <v/>
      </c>
      <c r="AM238" s="7" t="str">
        <f t="shared" si="33"/>
        <v/>
      </c>
      <c r="AN238" s="8" t="str">
        <f>IF(C238="","",COUNTIF($C$2:C238,C238))</f>
        <v/>
      </c>
      <c r="AO238" s="8" t="str">
        <f t="shared" si="34"/>
        <v/>
      </c>
      <c r="AP238" s="8" t="str">
        <f>IF(C238="","",IF(AND(OR([1]Consulta!$C$29="",A238=[1]Consulta!$C$29),OR([1]Consulta!$E$29="",B238=[1]Consulta!$E$29),OR([1]Consulta!$G$29="",D238=[1]Consulta!$G$29,R238=[1]Consulta!$G$29)),ROW()-1,""))</f>
        <v/>
      </c>
    </row>
    <row r="239" spans="1:42" ht="1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 t="str">
        <f t="shared" si="27"/>
        <v/>
      </c>
      <c r="AG239" s="7" t="str">
        <f t="shared" si="35"/>
        <v/>
      </c>
      <c r="AH239" s="7" t="str">
        <f t="shared" si="28"/>
        <v/>
      </c>
      <c r="AI239" s="7" t="str">
        <f t="shared" si="29"/>
        <v/>
      </c>
      <c r="AJ239" s="7" t="str">
        <f t="shared" si="30"/>
        <v/>
      </c>
      <c r="AK239" s="7" t="str">
        <f t="shared" si="31"/>
        <v/>
      </c>
      <c r="AL239" s="7" t="str">
        <f t="shared" si="32"/>
        <v/>
      </c>
      <c r="AM239" s="7" t="str">
        <f t="shared" si="33"/>
        <v/>
      </c>
      <c r="AN239" s="8" t="str">
        <f>IF(C239="","",COUNTIF($C$2:C239,C239))</f>
        <v/>
      </c>
      <c r="AO239" s="8" t="str">
        <f t="shared" si="34"/>
        <v/>
      </c>
      <c r="AP239" s="8" t="str">
        <f>IF(C239="","",IF(AND(OR([1]Consulta!$C$29="",A239=[1]Consulta!$C$29),OR([1]Consulta!$E$29="",B239=[1]Consulta!$E$29),OR([1]Consulta!$G$29="",D239=[1]Consulta!$G$29,R239=[1]Consulta!$G$29)),ROW()-1,""))</f>
        <v/>
      </c>
    </row>
    <row r="240" spans="1:42" ht="1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 t="str">
        <f t="shared" si="27"/>
        <v/>
      </c>
      <c r="AG240" s="7" t="str">
        <f t="shared" si="35"/>
        <v/>
      </c>
      <c r="AH240" s="7" t="str">
        <f t="shared" si="28"/>
        <v/>
      </c>
      <c r="AI240" s="7" t="str">
        <f t="shared" si="29"/>
        <v/>
      </c>
      <c r="AJ240" s="7" t="str">
        <f t="shared" si="30"/>
        <v/>
      </c>
      <c r="AK240" s="7" t="str">
        <f t="shared" si="31"/>
        <v/>
      </c>
      <c r="AL240" s="7" t="str">
        <f t="shared" si="32"/>
        <v/>
      </c>
      <c r="AM240" s="7" t="str">
        <f t="shared" si="33"/>
        <v/>
      </c>
      <c r="AN240" s="8" t="str">
        <f>IF(C240="","",COUNTIF($C$2:C240,C240))</f>
        <v/>
      </c>
      <c r="AO240" s="8" t="str">
        <f t="shared" si="34"/>
        <v/>
      </c>
      <c r="AP240" s="8" t="str">
        <f>IF(C240="","",IF(AND(OR([1]Consulta!$C$29="",A240=[1]Consulta!$C$29),OR([1]Consulta!$E$29="",B240=[1]Consulta!$E$29),OR([1]Consulta!$G$29="",D240=[1]Consulta!$G$29,R240=[1]Consulta!$G$29)),ROW()-1,""))</f>
        <v/>
      </c>
    </row>
    <row r="241" spans="1:42" ht="1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 t="str">
        <f t="shared" si="27"/>
        <v/>
      </c>
      <c r="AG241" s="7" t="str">
        <f t="shared" si="35"/>
        <v/>
      </c>
      <c r="AH241" s="7" t="str">
        <f t="shared" si="28"/>
        <v/>
      </c>
      <c r="AI241" s="7" t="str">
        <f t="shared" si="29"/>
        <v/>
      </c>
      <c r="AJ241" s="7" t="str">
        <f t="shared" si="30"/>
        <v/>
      </c>
      <c r="AK241" s="7" t="str">
        <f t="shared" si="31"/>
        <v/>
      </c>
      <c r="AL241" s="7" t="str">
        <f t="shared" si="32"/>
        <v/>
      </c>
      <c r="AM241" s="7" t="str">
        <f t="shared" si="33"/>
        <v/>
      </c>
      <c r="AN241" s="8" t="str">
        <f>IF(C241="","",COUNTIF($C$2:C241,C241))</f>
        <v/>
      </c>
      <c r="AO241" s="8" t="str">
        <f t="shared" si="34"/>
        <v/>
      </c>
      <c r="AP241" s="8" t="str">
        <f>IF(C241="","",IF(AND(OR([1]Consulta!$C$29="",A241=[1]Consulta!$C$29),OR([1]Consulta!$E$29="",B241=[1]Consulta!$E$29),OR([1]Consulta!$G$29="",D241=[1]Consulta!$G$29,R241=[1]Consulta!$G$29)),ROW()-1,""))</f>
        <v/>
      </c>
    </row>
    <row r="242" spans="1:42" ht="1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 t="str">
        <f t="shared" si="27"/>
        <v/>
      </c>
      <c r="AG242" s="7" t="str">
        <f t="shared" si="35"/>
        <v/>
      </c>
      <c r="AH242" s="7" t="str">
        <f t="shared" si="28"/>
        <v/>
      </c>
      <c r="AI242" s="7" t="str">
        <f t="shared" si="29"/>
        <v/>
      </c>
      <c r="AJ242" s="7" t="str">
        <f t="shared" si="30"/>
        <v/>
      </c>
      <c r="AK242" s="7" t="str">
        <f t="shared" si="31"/>
        <v/>
      </c>
      <c r="AL242" s="7" t="str">
        <f t="shared" si="32"/>
        <v/>
      </c>
      <c r="AM242" s="7" t="str">
        <f t="shared" si="33"/>
        <v/>
      </c>
      <c r="AN242" s="8" t="str">
        <f>IF(C242="","",COUNTIF($C$2:C242,C242))</f>
        <v/>
      </c>
      <c r="AO242" s="8" t="str">
        <f t="shared" si="34"/>
        <v/>
      </c>
      <c r="AP242" s="8" t="str">
        <f>IF(C242="","",IF(AND(OR([1]Consulta!$C$29="",A242=[1]Consulta!$C$29),OR([1]Consulta!$E$29="",B242=[1]Consulta!$E$29),OR([1]Consulta!$G$29="",D242=[1]Consulta!$G$29,R242=[1]Consulta!$G$29)),ROW()-1,""))</f>
        <v/>
      </c>
    </row>
    <row r="243" spans="1:42" ht="1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 t="str">
        <f t="shared" si="27"/>
        <v/>
      </c>
      <c r="AG243" s="7" t="str">
        <f t="shared" si="35"/>
        <v/>
      </c>
      <c r="AH243" s="7" t="str">
        <f t="shared" si="28"/>
        <v/>
      </c>
      <c r="AI243" s="7" t="str">
        <f t="shared" si="29"/>
        <v/>
      </c>
      <c r="AJ243" s="7" t="str">
        <f t="shared" si="30"/>
        <v/>
      </c>
      <c r="AK243" s="7" t="str">
        <f t="shared" si="31"/>
        <v/>
      </c>
      <c r="AL243" s="7" t="str">
        <f t="shared" si="32"/>
        <v/>
      </c>
      <c r="AM243" s="7" t="str">
        <f t="shared" si="33"/>
        <v/>
      </c>
      <c r="AN243" s="8" t="str">
        <f>IF(C243="","",COUNTIF($C$2:C243,C243))</f>
        <v/>
      </c>
      <c r="AO243" s="8" t="str">
        <f t="shared" si="34"/>
        <v/>
      </c>
      <c r="AP243" s="8" t="str">
        <f>IF(C243="","",IF(AND(OR([1]Consulta!$C$29="",A243=[1]Consulta!$C$29),OR([1]Consulta!$E$29="",B243=[1]Consulta!$E$29),OR([1]Consulta!$G$29="",D243=[1]Consulta!$G$29,R243=[1]Consulta!$G$29)),ROW()-1,""))</f>
        <v/>
      </c>
    </row>
    <row r="244" spans="1:42" ht="1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 t="str">
        <f t="shared" si="27"/>
        <v/>
      </c>
      <c r="AG244" s="7" t="str">
        <f t="shared" si="35"/>
        <v/>
      </c>
      <c r="AH244" s="7" t="str">
        <f t="shared" si="28"/>
        <v/>
      </c>
      <c r="AI244" s="7" t="str">
        <f t="shared" si="29"/>
        <v/>
      </c>
      <c r="AJ244" s="7" t="str">
        <f t="shared" si="30"/>
        <v/>
      </c>
      <c r="AK244" s="7" t="str">
        <f t="shared" si="31"/>
        <v/>
      </c>
      <c r="AL244" s="7" t="str">
        <f t="shared" si="32"/>
        <v/>
      </c>
      <c r="AM244" s="7" t="str">
        <f t="shared" si="33"/>
        <v/>
      </c>
      <c r="AN244" s="8" t="str">
        <f>IF(C244="","",COUNTIF($C$2:C244,C244))</f>
        <v/>
      </c>
      <c r="AO244" s="8" t="str">
        <f t="shared" si="34"/>
        <v/>
      </c>
      <c r="AP244" s="8" t="str">
        <f>IF(C244="","",IF(AND(OR([1]Consulta!$C$29="",A244=[1]Consulta!$C$29),OR([1]Consulta!$E$29="",B244=[1]Consulta!$E$29),OR([1]Consulta!$G$29="",D244=[1]Consulta!$G$29,R244=[1]Consulta!$G$29)),ROW()-1,""))</f>
        <v/>
      </c>
    </row>
    <row r="245" spans="1:42" ht="1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 t="str">
        <f t="shared" si="27"/>
        <v/>
      </c>
      <c r="AG245" s="7" t="str">
        <f t="shared" si="35"/>
        <v/>
      </c>
      <c r="AH245" s="7" t="str">
        <f t="shared" si="28"/>
        <v/>
      </c>
      <c r="AI245" s="7" t="str">
        <f t="shared" si="29"/>
        <v/>
      </c>
      <c r="AJ245" s="7" t="str">
        <f t="shared" si="30"/>
        <v/>
      </c>
      <c r="AK245" s="7" t="str">
        <f t="shared" si="31"/>
        <v/>
      </c>
      <c r="AL245" s="7" t="str">
        <f t="shared" si="32"/>
        <v/>
      </c>
      <c r="AM245" s="7" t="str">
        <f t="shared" si="33"/>
        <v/>
      </c>
      <c r="AN245" s="8" t="str">
        <f>IF(C245="","",COUNTIF($C$2:C245,C245))</f>
        <v/>
      </c>
      <c r="AO245" s="8" t="str">
        <f t="shared" si="34"/>
        <v/>
      </c>
      <c r="AP245" s="8" t="str">
        <f>IF(C245="","",IF(AND(OR([1]Consulta!$C$29="",A245=[1]Consulta!$C$29),OR([1]Consulta!$E$29="",B245=[1]Consulta!$E$29),OR([1]Consulta!$G$29="",D245=[1]Consulta!$G$29,R245=[1]Consulta!$G$29)),ROW()-1,""))</f>
        <v/>
      </c>
    </row>
    <row r="246" spans="1:42" ht="1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 t="str">
        <f t="shared" si="27"/>
        <v/>
      </c>
      <c r="AG246" s="7" t="str">
        <f t="shared" si="35"/>
        <v/>
      </c>
      <c r="AH246" s="7" t="str">
        <f t="shared" si="28"/>
        <v/>
      </c>
      <c r="AI246" s="7" t="str">
        <f t="shared" si="29"/>
        <v/>
      </c>
      <c r="AJ246" s="7" t="str">
        <f t="shared" si="30"/>
        <v/>
      </c>
      <c r="AK246" s="7" t="str">
        <f t="shared" si="31"/>
        <v/>
      </c>
      <c r="AL246" s="7" t="str">
        <f t="shared" si="32"/>
        <v/>
      </c>
      <c r="AM246" s="7" t="str">
        <f t="shared" si="33"/>
        <v/>
      </c>
      <c r="AN246" s="8" t="str">
        <f>IF(C246="","",COUNTIF($C$2:C246,C246))</f>
        <v/>
      </c>
      <c r="AO246" s="8" t="str">
        <f t="shared" si="34"/>
        <v/>
      </c>
      <c r="AP246" s="8" t="str">
        <f>IF(C246="","",IF(AND(OR([1]Consulta!$C$29="",A246=[1]Consulta!$C$29),OR([1]Consulta!$E$29="",B246=[1]Consulta!$E$29),OR([1]Consulta!$G$29="",D246=[1]Consulta!$G$29,R246=[1]Consulta!$G$29)),ROW()-1,""))</f>
        <v/>
      </c>
    </row>
    <row r="247" spans="1:42" ht="1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 t="str">
        <f t="shared" si="27"/>
        <v/>
      </c>
      <c r="AG247" s="7" t="str">
        <f t="shared" si="35"/>
        <v/>
      </c>
      <c r="AH247" s="7" t="str">
        <f t="shared" si="28"/>
        <v/>
      </c>
      <c r="AI247" s="7" t="str">
        <f t="shared" si="29"/>
        <v/>
      </c>
      <c r="AJ247" s="7" t="str">
        <f t="shared" si="30"/>
        <v/>
      </c>
      <c r="AK247" s="7" t="str">
        <f t="shared" si="31"/>
        <v/>
      </c>
      <c r="AL247" s="7" t="str">
        <f t="shared" si="32"/>
        <v/>
      </c>
      <c r="AM247" s="7" t="str">
        <f t="shared" si="33"/>
        <v/>
      </c>
      <c r="AN247" s="8" t="str">
        <f>IF(C247="","",COUNTIF($C$2:C247,C247))</f>
        <v/>
      </c>
      <c r="AO247" s="8" t="str">
        <f t="shared" si="34"/>
        <v/>
      </c>
      <c r="AP247" s="8" t="str">
        <f>IF(C247="","",IF(AND(OR([1]Consulta!$C$29="",A247=[1]Consulta!$C$29),OR([1]Consulta!$E$29="",B247=[1]Consulta!$E$29),OR([1]Consulta!$G$29="",D247=[1]Consulta!$G$29,R247=[1]Consulta!$G$29)),ROW()-1,""))</f>
        <v/>
      </c>
    </row>
    <row r="248" spans="1:42" ht="1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 t="str">
        <f t="shared" si="27"/>
        <v/>
      </c>
      <c r="AG248" s="7" t="str">
        <f t="shared" si="35"/>
        <v/>
      </c>
      <c r="AH248" s="7" t="str">
        <f t="shared" si="28"/>
        <v/>
      </c>
      <c r="AI248" s="7" t="str">
        <f t="shared" si="29"/>
        <v/>
      </c>
      <c r="AJ248" s="7" t="str">
        <f t="shared" si="30"/>
        <v/>
      </c>
      <c r="AK248" s="7" t="str">
        <f t="shared" si="31"/>
        <v/>
      </c>
      <c r="AL248" s="7" t="str">
        <f t="shared" si="32"/>
        <v/>
      </c>
      <c r="AM248" s="7" t="str">
        <f t="shared" si="33"/>
        <v/>
      </c>
      <c r="AN248" s="8" t="str">
        <f>IF(C248="","",COUNTIF($C$2:C248,C248))</f>
        <v/>
      </c>
      <c r="AO248" s="8" t="str">
        <f t="shared" si="34"/>
        <v/>
      </c>
      <c r="AP248" s="8" t="str">
        <f>IF(C248="","",IF(AND(OR([1]Consulta!$C$29="",A248=[1]Consulta!$C$29),OR([1]Consulta!$E$29="",B248=[1]Consulta!$E$29),OR([1]Consulta!$G$29="",D248=[1]Consulta!$G$29,R248=[1]Consulta!$G$29)),ROW()-1,""))</f>
        <v/>
      </c>
    </row>
    <row r="249" spans="1:42" ht="1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 t="str">
        <f t="shared" si="27"/>
        <v/>
      </c>
      <c r="AG249" s="7" t="str">
        <f t="shared" si="35"/>
        <v/>
      </c>
      <c r="AH249" s="7" t="str">
        <f t="shared" si="28"/>
        <v/>
      </c>
      <c r="AI249" s="7" t="str">
        <f t="shared" si="29"/>
        <v/>
      </c>
      <c r="AJ249" s="7" t="str">
        <f t="shared" si="30"/>
        <v/>
      </c>
      <c r="AK249" s="7" t="str">
        <f t="shared" si="31"/>
        <v/>
      </c>
      <c r="AL249" s="7" t="str">
        <f t="shared" si="32"/>
        <v/>
      </c>
      <c r="AM249" s="7" t="str">
        <f t="shared" si="33"/>
        <v/>
      </c>
      <c r="AN249" s="8" t="str">
        <f>IF(C249="","",COUNTIF($C$2:C249,C249))</f>
        <v/>
      </c>
      <c r="AO249" s="8" t="str">
        <f t="shared" si="34"/>
        <v/>
      </c>
      <c r="AP249" s="8" t="str">
        <f>IF(C249="","",IF(AND(OR([1]Consulta!$C$29="",A249=[1]Consulta!$C$29),OR([1]Consulta!$E$29="",B249=[1]Consulta!$E$29),OR([1]Consulta!$G$29="",D249=[1]Consulta!$G$29,R249=[1]Consulta!$G$29)),ROW()-1,""))</f>
        <v/>
      </c>
    </row>
    <row r="250" spans="1:42" ht="1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 t="str">
        <f t="shared" si="27"/>
        <v/>
      </c>
      <c r="AG250" s="7" t="str">
        <f t="shared" si="35"/>
        <v/>
      </c>
      <c r="AH250" s="7" t="str">
        <f t="shared" si="28"/>
        <v/>
      </c>
      <c r="AI250" s="7" t="str">
        <f t="shared" si="29"/>
        <v/>
      </c>
      <c r="AJ250" s="7" t="str">
        <f t="shared" si="30"/>
        <v/>
      </c>
      <c r="AK250" s="7" t="str">
        <f t="shared" si="31"/>
        <v/>
      </c>
      <c r="AL250" s="7" t="str">
        <f t="shared" si="32"/>
        <v/>
      </c>
      <c r="AM250" s="7" t="str">
        <f t="shared" si="33"/>
        <v/>
      </c>
      <c r="AN250" s="8" t="str">
        <f>IF(C250="","",COUNTIF($C$2:C250,C250))</f>
        <v/>
      </c>
      <c r="AO250" s="8" t="str">
        <f t="shared" si="34"/>
        <v/>
      </c>
      <c r="AP250" s="8" t="str">
        <f>IF(C250="","",IF(AND(OR([1]Consulta!$C$29="",A250=[1]Consulta!$C$29),OR([1]Consulta!$E$29="",B250=[1]Consulta!$E$29),OR([1]Consulta!$G$29="",D250=[1]Consulta!$G$29,R250=[1]Consulta!$G$29)),ROW()-1,""))</f>
        <v/>
      </c>
    </row>
    <row r="251" spans="1:42" ht="1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 t="str">
        <f t="shared" si="27"/>
        <v/>
      </c>
      <c r="AG251" s="7" t="str">
        <f t="shared" si="35"/>
        <v/>
      </c>
      <c r="AH251" s="7" t="str">
        <f t="shared" si="28"/>
        <v/>
      </c>
      <c r="AI251" s="7" t="str">
        <f t="shared" si="29"/>
        <v/>
      </c>
      <c r="AJ251" s="7" t="str">
        <f t="shared" si="30"/>
        <v/>
      </c>
      <c r="AK251" s="7" t="str">
        <f t="shared" si="31"/>
        <v/>
      </c>
      <c r="AL251" s="7" t="str">
        <f t="shared" si="32"/>
        <v/>
      </c>
      <c r="AM251" s="7" t="str">
        <f t="shared" si="33"/>
        <v/>
      </c>
      <c r="AN251" s="8" t="str">
        <f>IF(C251="","",COUNTIF($C$2:C251,C251))</f>
        <v/>
      </c>
      <c r="AO251" s="8" t="str">
        <f t="shared" si="34"/>
        <v/>
      </c>
      <c r="AP251" s="8" t="str">
        <f>IF(C251="","",IF(AND(OR([1]Consulta!$C$29="",A251=[1]Consulta!$C$29),OR([1]Consulta!$E$29="",B251=[1]Consulta!$E$29),OR([1]Consulta!$G$29="",D251=[1]Consulta!$G$29,R251=[1]Consulta!$G$29)),ROW()-1,""))</f>
        <v/>
      </c>
    </row>
    <row r="252" spans="1:42" ht="1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 t="str">
        <f t="shared" si="27"/>
        <v/>
      </c>
      <c r="AG252" s="7" t="str">
        <f t="shared" si="35"/>
        <v/>
      </c>
      <c r="AH252" s="7" t="str">
        <f t="shared" si="28"/>
        <v/>
      </c>
      <c r="AI252" s="7" t="str">
        <f t="shared" si="29"/>
        <v/>
      </c>
      <c r="AJ252" s="7" t="str">
        <f t="shared" si="30"/>
        <v/>
      </c>
      <c r="AK252" s="7" t="str">
        <f t="shared" si="31"/>
        <v/>
      </c>
      <c r="AL252" s="7" t="str">
        <f t="shared" si="32"/>
        <v/>
      </c>
      <c r="AM252" s="7" t="str">
        <f t="shared" si="33"/>
        <v/>
      </c>
      <c r="AN252" s="8" t="str">
        <f>IF(C252="","",COUNTIF($C$2:C252,C252))</f>
        <v/>
      </c>
      <c r="AO252" s="8" t="str">
        <f t="shared" si="34"/>
        <v/>
      </c>
      <c r="AP252" s="8" t="str">
        <f>IF(C252="","",IF(AND(OR([1]Consulta!$C$29="",A252=[1]Consulta!$C$29),OR([1]Consulta!$E$29="",B252=[1]Consulta!$E$29),OR([1]Consulta!$G$29="",D252=[1]Consulta!$G$29,R252=[1]Consulta!$G$29)),ROW()-1,""))</f>
        <v/>
      </c>
    </row>
    <row r="253" spans="1:42" ht="1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 t="str">
        <f t="shared" si="27"/>
        <v/>
      </c>
      <c r="AG253" s="7" t="str">
        <f t="shared" si="35"/>
        <v/>
      </c>
      <c r="AH253" s="7" t="str">
        <f t="shared" si="28"/>
        <v/>
      </c>
      <c r="AI253" s="7" t="str">
        <f t="shared" si="29"/>
        <v/>
      </c>
      <c r="AJ253" s="7" t="str">
        <f t="shared" si="30"/>
        <v/>
      </c>
      <c r="AK253" s="7" t="str">
        <f t="shared" si="31"/>
        <v/>
      </c>
      <c r="AL253" s="7" t="str">
        <f t="shared" si="32"/>
        <v/>
      </c>
      <c r="AM253" s="7" t="str">
        <f t="shared" si="33"/>
        <v/>
      </c>
      <c r="AN253" s="8" t="str">
        <f>IF(C253="","",COUNTIF($C$2:C253,C253))</f>
        <v/>
      </c>
      <c r="AO253" s="8" t="str">
        <f t="shared" si="34"/>
        <v/>
      </c>
      <c r="AP253" s="8" t="str">
        <f>IF(C253="","",IF(AND(OR([1]Consulta!$C$29="",A253=[1]Consulta!$C$29),OR([1]Consulta!$E$29="",B253=[1]Consulta!$E$29),OR([1]Consulta!$G$29="",D253=[1]Consulta!$G$29,R253=[1]Consulta!$G$29)),ROW()-1,""))</f>
        <v/>
      </c>
    </row>
    <row r="254" spans="1:42" ht="1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 t="str">
        <f t="shared" si="27"/>
        <v/>
      </c>
      <c r="AG254" s="7" t="str">
        <f t="shared" si="35"/>
        <v/>
      </c>
      <c r="AH254" s="7" t="str">
        <f t="shared" si="28"/>
        <v/>
      </c>
      <c r="AI254" s="7" t="str">
        <f t="shared" si="29"/>
        <v/>
      </c>
      <c r="AJ254" s="7" t="str">
        <f t="shared" si="30"/>
        <v/>
      </c>
      <c r="AK254" s="7" t="str">
        <f t="shared" si="31"/>
        <v/>
      </c>
      <c r="AL254" s="7" t="str">
        <f t="shared" si="32"/>
        <v/>
      </c>
      <c r="AM254" s="7" t="str">
        <f t="shared" si="33"/>
        <v/>
      </c>
      <c r="AN254" s="8" t="str">
        <f>IF(C254="","",COUNTIF($C$2:C254,C254))</f>
        <v/>
      </c>
      <c r="AO254" s="8" t="str">
        <f t="shared" si="34"/>
        <v/>
      </c>
      <c r="AP254" s="8" t="str">
        <f>IF(C254="","",IF(AND(OR([1]Consulta!$C$29="",A254=[1]Consulta!$C$29),OR([1]Consulta!$E$29="",B254=[1]Consulta!$E$29),OR([1]Consulta!$G$29="",D254=[1]Consulta!$G$29,R254=[1]Consulta!$G$29)),ROW()-1,""))</f>
        <v/>
      </c>
    </row>
    <row r="255" spans="1:42" ht="1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 t="str">
        <f t="shared" si="27"/>
        <v/>
      </c>
      <c r="AG255" s="7" t="str">
        <f t="shared" si="35"/>
        <v/>
      </c>
      <c r="AH255" s="7" t="str">
        <f t="shared" si="28"/>
        <v/>
      </c>
      <c r="AI255" s="7" t="str">
        <f t="shared" si="29"/>
        <v/>
      </c>
      <c r="AJ255" s="7" t="str">
        <f t="shared" si="30"/>
        <v/>
      </c>
      <c r="AK255" s="7" t="str">
        <f t="shared" si="31"/>
        <v/>
      </c>
      <c r="AL255" s="7" t="str">
        <f t="shared" si="32"/>
        <v/>
      </c>
      <c r="AM255" s="7" t="str">
        <f t="shared" si="33"/>
        <v/>
      </c>
      <c r="AN255" s="8" t="str">
        <f>IF(C255="","",COUNTIF($C$2:C255,C255))</f>
        <v/>
      </c>
      <c r="AO255" s="8" t="str">
        <f t="shared" si="34"/>
        <v/>
      </c>
      <c r="AP255" s="8" t="str">
        <f>IF(C255="","",IF(AND(OR([1]Consulta!$C$29="",A255=[1]Consulta!$C$29),OR([1]Consulta!$E$29="",B255=[1]Consulta!$E$29),OR([1]Consulta!$G$29="",D255=[1]Consulta!$G$29,R255=[1]Consulta!$G$29)),ROW()-1,""))</f>
        <v/>
      </c>
    </row>
    <row r="256" spans="1:42" ht="1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 t="str">
        <f t="shared" si="27"/>
        <v/>
      </c>
      <c r="AG256" s="7" t="str">
        <f t="shared" si="35"/>
        <v/>
      </c>
      <c r="AH256" s="7" t="str">
        <f t="shared" si="28"/>
        <v/>
      </c>
      <c r="AI256" s="7" t="str">
        <f t="shared" si="29"/>
        <v/>
      </c>
      <c r="AJ256" s="7" t="str">
        <f t="shared" si="30"/>
        <v/>
      </c>
      <c r="AK256" s="7" t="str">
        <f t="shared" si="31"/>
        <v/>
      </c>
      <c r="AL256" s="7" t="str">
        <f t="shared" si="32"/>
        <v/>
      </c>
      <c r="AM256" s="7" t="str">
        <f t="shared" si="33"/>
        <v/>
      </c>
      <c r="AN256" s="8" t="str">
        <f>IF(C256="","",COUNTIF($C$2:C256,C256))</f>
        <v/>
      </c>
      <c r="AO256" s="8" t="str">
        <f t="shared" si="34"/>
        <v/>
      </c>
      <c r="AP256" s="8" t="str">
        <f>IF(C256="","",IF(AND(OR([1]Consulta!$C$29="",A256=[1]Consulta!$C$29),OR([1]Consulta!$E$29="",B256=[1]Consulta!$E$29),OR([1]Consulta!$G$29="",D256=[1]Consulta!$G$29,R256=[1]Consulta!$G$29)),ROW()-1,""))</f>
        <v/>
      </c>
    </row>
    <row r="257" spans="1:42" ht="1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 t="str">
        <f t="shared" si="27"/>
        <v/>
      </c>
      <c r="AG257" s="7" t="str">
        <f t="shared" si="35"/>
        <v/>
      </c>
      <c r="AH257" s="7" t="str">
        <f t="shared" si="28"/>
        <v/>
      </c>
      <c r="AI257" s="7" t="str">
        <f t="shared" si="29"/>
        <v/>
      </c>
      <c r="AJ257" s="7" t="str">
        <f t="shared" si="30"/>
        <v/>
      </c>
      <c r="AK257" s="7" t="str">
        <f t="shared" si="31"/>
        <v/>
      </c>
      <c r="AL257" s="7" t="str">
        <f t="shared" si="32"/>
        <v/>
      </c>
      <c r="AM257" s="7" t="str">
        <f t="shared" si="33"/>
        <v/>
      </c>
      <c r="AN257" s="8" t="str">
        <f>IF(C257="","",COUNTIF($C$2:C257,C257))</f>
        <v/>
      </c>
      <c r="AO257" s="8" t="str">
        <f t="shared" si="34"/>
        <v/>
      </c>
      <c r="AP257" s="8" t="str">
        <f>IF(C257="","",IF(AND(OR([1]Consulta!$C$29="",A257=[1]Consulta!$C$29),OR([1]Consulta!$E$29="",B257=[1]Consulta!$E$29),OR([1]Consulta!$G$29="",D257=[1]Consulta!$G$29,R257=[1]Consulta!$G$29)),ROW()-1,""))</f>
        <v/>
      </c>
    </row>
    <row r="258" spans="1:42" ht="1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 t="str">
        <f t="shared" ref="AF258:AF321" si="36">IF(C258="","",IF(AND(ISNUMBER(K258),ISNUMBER(L258)),K258-L258,""))</f>
        <v/>
      </c>
      <c r="AG258" s="7" t="str">
        <f t="shared" si="35"/>
        <v/>
      </c>
      <c r="AH258" s="7" t="str">
        <f t="shared" ref="AH258:AH321" si="37">IF(C258="","",IF(AND(ISNUMBER(Y258),ISNUMBER(Z258)),Y258-Z258,""))</f>
        <v/>
      </c>
      <c r="AI258" s="7" t="str">
        <f t="shared" ref="AI258:AI321" si="38">IF(C258="","",IF(AH258="","N/A",IF(AH258&lt;0,"ALARMA","OK")))</f>
        <v/>
      </c>
      <c r="AJ258" s="7" t="str">
        <f t="shared" ref="AJ258:AJ321" si="39">IF(C258="","",IF(ISNUMBER(M258),IF(M258&gt;0,"CON ERRORES","OK"),"N/A"))</f>
        <v/>
      </c>
      <c r="AK258" s="7" t="str">
        <f t="shared" ref="AK258:AK321" si="40">IF(C258="","",IF(ISNUMBER(AA258),IF(AA258&gt;0,"CON ERRORES","OK"),"N/A"))</f>
        <v/>
      </c>
      <c r="AL258" s="7" t="str">
        <f t="shared" ref="AL258:AL321" si="41">IF(C258="","",IF(OR(AG258="ALARMA",AI258="ALARMA",AJ258="CON ERRORES",AK258="CON ERRORES"),"REVISAR","OK"))</f>
        <v/>
      </c>
      <c r="AM258" s="7" t="str">
        <f t="shared" ref="AM258:AM321" si="42">IF(C258="","",IF(ISNUMBER(Q258),Q258,IF(ISNUMBER(AE258),AE258,"Ver detalle")))</f>
        <v/>
      </c>
      <c r="AN258" s="8" t="str">
        <f>IF(C258="","",COUNTIF($C$2:C258,C258))</f>
        <v/>
      </c>
      <c r="AO258" s="8" t="str">
        <f t="shared" ref="AO258:AO321" si="43">IF(C258="","",C258&amp;"|"&amp;AN258)</f>
        <v/>
      </c>
      <c r="AP258" s="8" t="str">
        <f>IF(C258="","",IF(AND(OR([1]Consulta!$C$29="",A258=[1]Consulta!$C$29),OR([1]Consulta!$E$29="",B258=[1]Consulta!$E$29),OR([1]Consulta!$G$29="",D258=[1]Consulta!$G$29,R258=[1]Consulta!$G$29)),ROW()-1,""))</f>
        <v/>
      </c>
    </row>
    <row r="259" spans="1:42" ht="1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 t="str">
        <f t="shared" si="36"/>
        <v/>
      </c>
      <c r="AG259" s="7" t="str">
        <f t="shared" ref="AG259:AG322" si="44">IF(C259="","",IF(AF259="","N/A",IF(AF259&lt;0,"ALARMA","OK")))</f>
        <v/>
      </c>
      <c r="AH259" s="7" t="str">
        <f t="shared" si="37"/>
        <v/>
      </c>
      <c r="AI259" s="7" t="str">
        <f t="shared" si="38"/>
        <v/>
      </c>
      <c r="AJ259" s="7" t="str">
        <f t="shared" si="39"/>
        <v/>
      </c>
      <c r="AK259" s="7" t="str">
        <f t="shared" si="40"/>
        <v/>
      </c>
      <c r="AL259" s="7" t="str">
        <f t="shared" si="41"/>
        <v/>
      </c>
      <c r="AM259" s="7" t="str">
        <f t="shared" si="42"/>
        <v/>
      </c>
      <c r="AN259" s="8" t="str">
        <f>IF(C259="","",COUNTIF($C$2:C259,C259))</f>
        <v/>
      </c>
      <c r="AO259" s="8" t="str">
        <f t="shared" si="43"/>
        <v/>
      </c>
      <c r="AP259" s="8" t="str">
        <f>IF(C259="","",IF(AND(OR([1]Consulta!$C$29="",A259=[1]Consulta!$C$29),OR([1]Consulta!$E$29="",B259=[1]Consulta!$E$29),OR([1]Consulta!$G$29="",D259=[1]Consulta!$G$29,R259=[1]Consulta!$G$29)),ROW()-1,""))</f>
        <v/>
      </c>
    </row>
    <row r="260" spans="1:42" ht="1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 t="str">
        <f t="shared" si="36"/>
        <v/>
      </c>
      <c r="AG260" s="7" t="str">
        <f t="shared" si="44"/>
        <v/>
      </c>
      <c r="AH260" s="7" t="str">
        <f t="shared" si="37"/>
        <v/>
      </c>
      <c r="AI260" s="7" t="str">
        <f t="shared" si="38"/>
        <v/>
      </c>
      <c r="AJ260" s="7" t="str">
        <f t="shared" si="39"/>
        <v/>
      </c>
      <c r="AK260" s="7" t="str">
        <f t="shared" si="40"/>
        <v/>
      </c>
      <c r="AL260" s="7" t="str">
        <f t="shared" si="41"/>
        <v/>
      </c>
      <c r="AM260" s="7" t="str">
        <f t="shared" si="42"/>
        <v/>
      </c>
      <c r="AN260" s="8" t="str">
        <f>IF(C260="","",COUNTIF($C$2:C260,C260))</f>
        <v/>
      </c>
      <c r="AO260" s="8" t="str">
        <f t="shared" si="43"/>
        <v/>
      </c>
      <c r="AP260" s="8" t="str">
        <f>IF(C260="","",IF(AND(OR([1]Consulta!$C$29="",A260=[1]Consulta!$C$29),OR([1]Consulta!$E$29="",B260=[1]Consulta!$E$29),OR([1]Consulta!$G$29="",D260=[1]Consulta!$G$29,R260=[1]Consulta!$G$29)),ROW()-1,""))</f>
        <v/>
      </c>
    </row>
    <row r="261" spans="1:42" ht="1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 t="str">
        <f t="shared" si="36"/>
        <v/>
      </c>
      <c r="AG261" s="7" t="str">
        <f t="shared" si="44"/>
        <v/>
      </c>
      <c r="AH261" s="7" t="str">
        <f t="shared" si="37"/>
        <v/>
      </c>
      <c r="AI261" s="7" t="str">
        <f t="shared" si="38"/>
        <v/>
      </c>
      <c r="AJ261" s="7" t="str">
        <f t="shared" si="39"/>
        <v/>
      </c>
      <c r="AK261" s="7" t="str">
        <f t="shared" si="40"/>
        <v/>
      </c>
      <c r="AL261" s="7" t="str">
        <f t="shared" si="41"/>
        <v/>
      </c>
      <c r="AM261" s="7" t="str">
        <f t="shared" si="42"/>
        <v/>
      </c>
      <c r="AN261" s="8" t="str">
        <f>IF(C261="","",COUNTIF($C$2:C261,C261))</f>
        <v/>
      </c>
      <c r="AO261" s="8" t="str">
        <f t="shared" si="43"/>
        <v/>
      </c>
      <c r="AP261" s="8" t="str">
        <f>IF(C261="","",IF(AND(OR([1]Consulta!$C$29="",A261=[1]Consulta!$C$29),OR([1]Consulta!$E$29="",B261=[1]Consulta!$E$29),OR([1]Consulta!$G$29="",D261=[1]Consulta!$G$29,R261=[1]Consulta!$G$29)),ROW()-1,""))</f>
        <v/>
      </c>
    </row>
    <row r="262" spans="1:42" ht="1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 t="str">
        <f t="shared" si="36"/>
        <v/>
      </c>
      <c r="AG262" s="7" t="str">
        <f t="shared" si="44"/>
        <v/>
      </c>
      <c r="AH262" s="7" t="str">
        <f t="shared" si="37"/>
        <v/>
      </c>
      <c r="AI262" s="7" t="str">
        <f t="shared" si="38"/>
        <v/>
      </c>
      <c r="AJ262" s="7" t="str">
        <f t="shared" si="39"/>
        <v/>
      </c>
      <c r="AK262" s="7" t="str">
        <f t="shared" si="40"/>
        <v/>
      </c>
      <c r="AL262" s="7" t="str">
        <f t="shared" si="41"/>
        <v/>
      </c>
      <c r="AM262" s="7" t="str">
        <f t="shared" si="42"/>
        <v/>
      </c>
      <c r="AN262" s="8" t="str">
        <f>IF(C262="","",COUNTIF($C$2:C262,C262))</f>
        <v/>
      </c>
      <c r="AO262" s="8" t="str">
        <f t="shared" si="43"/>
        <v/>
      </c>
      <c r="AP262" s="8" t="str">
        <f>IF(C262="","",IF(AND(OR([1]Consulta!$C$29="",A262=[1]Consulta!$C$29),OR([1]Consulta!$E$29="",B262=[1]Consulta!$E$29),OR([1]Consulta!$G$29="",D262=[1]Consulta!$G$29,R262=[1]Consulta!$G$29)),ROW()-1,""))</f>
        <v/>
      </c>
    </row>
    <row r="263" spans="1:42" ht="1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 t="str">
        <f t="shared" si="36"/>
        <v/>
      </c>
      <c r="AG263" s="7" t="str">
        <f t="shared" si="44"/>
        <v/>
      </c>
      <c r="AH263" s="7" t="str">
        <f t="shared" si="37"/>
        <v/>
      </c>
      <c r="AI263" s="7" t="str">
        <f t="shared" si="38"/>
        <v/>
      </c>
      <c r="AJ263" s="7" t="str">
        <f t="shared" si="39"/>
        <v/>
      </c>
      <c r="AK263" s="7" t="str">
        <f t="shared" si="40"/>
        <v/>
      </c>
      <c r="AL263" s="7" t="str">
        <f t="shared" si="41"/>
        <v/>
      </c>
      <c r="AM263" s="7" t="str">
        <f t="shared" si="42"/>
        <v/>
      </c>
      <c r="AN263" s="8" t="str">
        <f>IF(C263="","",COUNTIF($C$2:C263,C263))</f>
        <v/>
      </c>
      <c r="AO263" s="8" t="str">
        <f t="shared" si="43"/>
        <v/>
      </c>
      <c r="AP263" s="8" t="str">
        <f>IF(C263="","",IF(AND(OR([1]Consulta!$C$29="",A263=[1]Consulta!$C$29),OR([1]Consulta!$E$29="",B263=[1]Consulta!$E$29),OR([1]Consulta!$G$29="",D263=[1]Consulta!$G$29,R263=[1]Consulta!$G$29)),ROW()-1,""))</f>
        <v/>
      </c>
    </row>
    <row r="264" spans="1:42" ht="1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 t="str">
        <f t="shared" si="36"/>
        <v/>
      </c>
      <c r="AG264" s="7" t="str">
        <f t="shared" si="44"/>
        <v/>
      </c>
      <c r="AH264" s="7" t="str">
        <f t="shared" si="37"/>
        <v/>
      </c>
      <c r="AI264" s="7" t="str">
        <f t="shared" si="38"/>
        <v/>
      </c>
      <c r="AJ264" s="7" t="str">
        <f t="shared" si="39"/>
        <v/>
      </c>
      <c r="AK264" s="7" t="str">
        <f t="shared" si="40"/>
        <v/>
      </c>
      <c r="AL264" s="7" t="str">
        <f t="shared" si="41"/>
        <v/>
      </c>
      <c r="AM264" s="7" t="str">
        <f t="shared" si="42"/>
        <v/>
      </c>
      <c r="AN264" s="8" t="str">
        <f>IF(C264="","",COUNTIF($C$2:C264,C264))</f>
        <v/>
      </c>
      <c r="AO264" s="8" t="str">
        <f t="shared" si="43"/>
        <v/>
      </c>
      <c r="AP264" s="8" t="str">
        <f>IF(C264="","",IF(AND(OR([1]Consulta!$C$29="",A264=[1]Consulta!$C$29),OR([1]Consulta!$E$29="",B264=[1]Consulta!$E$29),OR([1]Consulta!$G$29="",D264=[1]Consulta!$G$29,R264=[1]Consulta!$G$29)),ROW()-1,""))</f>
        <v/>
      </c>
    </row>
    <row r="265" spans="1:42" ht="1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 t="str">
        <f t="shared" si="36"/>
        <v/>
      </c>
      <c r="AG265" s="7" t="str">
        <f t="shared" si="44"/>
        <v/>
      </c>
      <c r="AH265" s="7" t="str">
        <f t="shared" si="37"/>
        <v/>
      </c>
      <c r="AI265" s="7" t="str">
        <f t="shared" si="38"/>
        <v/>
      </c>
      <c r="AJ265" s="7" t="str">
        <f t="shared" si="39"/>
        <v/>
      </c>
      <c r="AK265" s="7" t="str">
        <f t="shared" si="40"/>
        <v/>
      </c>
      <c r="AL265" s="7" t="str">
        <f t="shared" si="41"/>
        <v/>
      </c>
      <c r="AM265" s="7" t="str">
        <f t="shared" si="42"/>
        <v/>
      </c>
      <c r="AN265" s="8" t="str">
        <f>IF(C265="","",COUNTIF($C$2:C265,C265))</f>
        <v/>
      </c>
      <c r="AO265" s="8" t="str">
        <f t="shared" si="43"/>
        <v/>
      </c>
      <c r="AP265" s="8" t="str">
        <f>IF(C265="","",IF(AND(OR([1]Consulta!$C$29="",A265=[1]Consulta!$C$29),OR([1]Consulta!$E$29="",B265=[1]Consulta!$E$29),OR([1]Consulta!$G$29="",D265=[1]Consulta!$G$29,R265=[1]Consulta!$G$29)),ROW()-1,""))</f>
        <v/>
      </c>
    </row>
    <row r="266" spans="1:42" ht="1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 t="str">
        <f t="shared" si="36"/>
        <v/>
      </c>
      <c r="AG266" s="7" t="str">
        <f t="shared" si="44"/>
        <v/>
      </c>
      <c r="AH266" s="7" t="str">
        <f t="shared" si="37"/>
        <v/>
      </c>
      <c r="AI266" s="7" t="str">
        <f t="shared" si="38"/>
        <v/>
      </c>
      <c r="AJ266" s="7" t="str">
        <f t="shared" si="39"/>
        <v/>
      </c>
      <c r="AK266" s="7" t="str">
        <f t="shared" si="40"/>
        <v/>
      </c>
      <c r="AL266" s="7" t="str">
        <f t="shared" si="41"/>
        <v/>
      </c>
      <c r="AM266" s="7" t="str">
        <f t="shared" si="42"/>
        <v/>
      </c>
      <c r="AN266" s="8" t="str">
        <f>IF(C266="","",COUNTIF($C$2:C266,C266))</f>
        <v/>
      </c>
      <c r="AO266" s="8" t="str">
        <f t="shared" si="43"/>
        <v/>
      </c>
      <c r="AP266" s="8" t="str">
        <f>IF(C266="","",IF(AND(OR([1]Consulta!$C$29="",A266=[1]Consulta!$C$29),OR([1]Consulta!$E$29="",B266=[1]Consulta!$E$29),OR([1]Consulta!$G$29="",D266=[1]Consulta!$G$29,R266=[1]Consulta!$G$29)),ROW()-1,""))</f>
        <v/>
      </c>
    </row>
    <row r="267" spans="1:42" ht="1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 t="str">
        <f t="shared" si="36"/>
        <v/>
      </c>
      <c r="AG267" s="7" t="str">
        <f t="shared" si="44"/>
        <v/>
      </c>
      <c r="AH267" s="7" t="str">
        <f t="shared" si="37"/>
        <v/>
      </c>
      <c r="AI267" s="7" t="str">
        <f t="shared" si="38"/>
        <v/>
      </c>
      <c r="AJ267" s="7" t="str">
        <f t="shared" si="39"/>
        <v/>
      </c>
      <c r="AK267" s="7" t="str">
        <f t="shared" si="40"/>
        <v/>
      </c>
      <c r="AL267" s="7" t="str">
        <f t="shared" si="41"/>
        <v/>
      </c>
      <c r="AM267" s="7" t="str">
        <f t="shared" si="42"/>
        <v/>
      </c>
      <c r="AN267" s="8" t="str">
        <f>IF(C267="","",COUNTIF($C$2:C267,C267))</f>
        <v/>
      </c>
      <c r="AO267" s="8" t="str">
        <f t="shared" si="43"/>
        <v/>
      </c>
      <c r="AP267" s="8" t="str">
        <f>IF(C267="","",IF(AND(OR([1]Consulta!$C$29="",A267=[1]Consulta!$C$29),OR([1]Consulta!$E$29="",B267=[1]Consulta!$E$29),OR([1]Consulta!$G$29="",D267=[1]Consulta!$G$29,R267=[1]Consulta!$G$29)),ROW()-1,""))</f>
        <v/>
      </c>
    </row>
    <row r="268" spans="1:42" ht="1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 t="str">
        <f t="shared" si="36"/>
        <v/>
      </c>
      <c r="AG268" s="7" t="str">
        <f t="shared" si="44"/>
        <v/>
      </c>
      <c r="AH268" s="7" t="str">
        <f t="shared" si="37"/>
        <v/>
      </c>
      <c r="AI268" s="7" t="str">
        <f t="shared" si="38"/>
        <v/>
      </c>
      <c r="AJ268" s="7" t="str">
        <f t="shared" si="39"/>
        <v/>
      </c>
      <c r="AK268" s="7" t="str">
        <f t="shared" si="40"/>
        <v/>
      </c>
      <c r="AL268" s="7" t="str">
        <f t="shared" si="41"/>
        <v/>
      </c>
      <c r="AM268" s="7" t="str">
        <f t="shared" si="42"/>
        <v/>
      </c>
      <c r="AN268" s="8" t="str">
        <f>IF(C268="","",COUNTIF($C$2:C268,C268))</f>
        <v/>
      </c>
      <c r="AO268" s="8" t="str">
        <f t="shared" si="43"/>
        <v/>
      </c>
      <c r="AP268" s="8" t="str">
        <f>IF(C268="","",IF(AND(OR([1]Consulta!$C$29="",A268=[1]Consulta!$C$29),OR([1]Consulta!$E$29="",B268=[1]Consulta!$E$29),OR([1]Consulta!$G$29="",D268=[1]Consulta!$G$29,R268=[1]Consulta!$G$29)),ROW()-1,""))</f>
        <v/>
      </c>
    </row>
    <row r="269" spans="1:42" ht="1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 t="str">
        <f t="shared" si="36"/>
        <v/>
      </c>
      <c r="AG269" s="7" t="str">
        <f t="shared" si="44"/>
        <v/>
      </c>
      <c r="AH269" s="7" t="str">
        <f t="shared" si="37"/>
        <v/>
      </c>
      <c r="AI269" s="7" t="str">
        <f t="shared" si="38"/>
        <v/>
      </c>
      <c r="AJ269" s="7" t="str">
        <f t="shared" si="39"/>
        <v/>
      </c>
      <c r="AK269" s="7" t="str">
        <f t="shared" si="40"/>
        <v/>
      </c>
      <c r="AL269" s="7" t="str">
        <f t="shared" si="41"/>
        <v/>
      </c>
      <c r="AM269" s="7" t="str">
        <f t="shared" si="42"/>
        <v/>
      </c>
      <c r="AN269" s="8" t="str">
        <f>IF(C269="","",COUNTIF($C$2:C269,C269))</f>
        <v/>
      </c>
      <c r="AO269" s="8" t="str">
        <f t="shared" si="43"/>
        <v/>
      </c>
      <c r="AP269" s="8" t="str">
        <f>IF(C269="","",IF(AND(OR([1]Consulta!$C$29="",A269=[1]Consulta!$C$29),OR([1]Consulta!$E$29="",B269=[1]Consulta!$E$29),OR([1]Consulta!$G$29="",D269=[1]Consulta!$G$29,R269=[1]Consulta!$G$29)),ROW()-1,""))</f>
        <v/>
      </c>
    </row>
    <row r="270" spans="1:42" ht="1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 t="str">
        <f t="shared" si="36"/>
        <v/>
      </c>
      <c r="AG270" s="7" t="str">
        <f t="shared" si="44"/>
        <v/>
      </c>
      <c r="AH270" s="7" t="str">
        <f t="shared" si="37"/>
        <v/>
      </c>
      <c r="AI270" s="7" t="str">
        <f t="shared" si="38"/>
        <v/>
      </c>
      <c r="AJ270" s="7" t="str">
        <f t="shared" si="39"/>
        <v/>
      </c>
      <c r="AK270" s="7" t="str">
        <f t="shared" si="40"/>
        <v/>
      </c>
      <c r="AL270" s="7" t="str">
        <f t="shared" si="41"/>
        <v/>
      </c>
      <c r="AM270" s="7" t="str">
        <f t="shared" si="42"/>
        <v/>
      </c>
      <c r="AN270" s="8" t="str">
        <f>IF(C270="","",COUNTIF($C$2:C270,C270))</f>
        <v/>
      </c>
      <c r="AO270" s="8" t="str">
        <f t="shared" si="43"/>
        <v/>
      </c>
      <c r="AP270" s="8" t="str">
        <f>IF(C270="","",IF(AND(OR([1]Consulta!$C$29="",A270=[1]Consulta!$C$29),OR([1]Consulta!$E$29="",B270=[1]Consulta!$E$29),OR([1]Consulta!$G$29="",D270=[1]Consulta!$G$29,R270=[1]Consulta!$G$29)),ROW()-1,""))</f>
        <v/>
      </c>
    </row>
    <row r="271" spans="1:42" ht="1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 t="str">
        <f t="shared" si="36"/>
        <v/>
      </c>
      <c r="AG271" s="7" t="str">
        <f t="shared" si="44"/>
        <v/>
      </c>
      <c r="AH271" s="7" t="str">
        <f t="shared" si="37"/>
        <v/>
      </c>
      <c r="AI271" s="7" t="str">
        <f t="shared" si="38"/>
        <v/>
      </c>
      <c r="AJ271" s="7" t="str">
        <f t="shared" si="39"/>
        <v/>
      </c>
      <c r="AK271" s="7" t="str">
        <f t="shared" si="40"/>
        <v/>
      </c>
      <c r="AL271" s="7" t="str">
        <f t="shared" si="41"/>
        <v/>
      </c>
      <c r="AM271" s="7" t="str">
        <f t="shared" si="42"/>
        <v/>
      </c>
      <c r="AN271" s="8" t="str">
        <f>IF(C271="","",COUNTIF($C$2:C271,C271))</f>
        <v/>
      </c>
      <c r="AO271" s="8" t="str">
        <f t="shared" si="43"/>
        <v/>
      </c>
      <c r="AP271" s="8" t="str">
        <f>IF(C271="","",IF(AND(OR([1]Consulta!$C$29="",A271=[1]Consulta!$C$29),OR([1]Consulta!$E$29="",B271=[1]Consulta!$E$29),OR([1]Consulta!$G$29="",D271=[1]Consulta!$G$29,R271=[1]Consulta!$G$29)),ROW()-1,""))</f>
        <v/>
      </c>
    </row>
    <row r="272" spans="1:42" ht="1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 t="str">
        <f t="shared" si="36"/>
        <v/>
      </c>
      <c r="AG272" s="7" t="str">
        <f t="shared" si="44"/>
        <v/>
      </c>
      <c r="AH272" s="7" t="str">
        <f t="shared" si="37"/>
        <v/>
      </c>
      <c r="AI272" s="7" t="str">
        <f t="shared" si="38"/>
        <v/>
      </c>
      <c r="AJ272" s="7" t="str">
        <f t="shared" si="39"/>
        <v/>
      </c>
      <c r="AK272" s="7" t="str">
        <f t="shared" si="40"/>
        <v/>
      </c>
      <c r="AL272" s="7" t="str">
        <f t="shared" si="41"/>
        <v/>
      </c>
      <c r="AM272" s="7" t="str">
        <f t="shared" si="42"/>
        <v/>
      </c>
      <c r="AN272" s="8" t="str">
        <f>IF(C272="","",COUNTIF($C$2:C272,C272))</f>
        <v/>
      </c>
      <c r="AO272" s="8" t="str">
        <f t="shared" si="43"/>
        <v/>
      </c>
      <c r="AP272" s="8" t="str">
        <f>IF(C272="","",IF(AND(OR([1]Consulta!$C$29="",A272=[1]Consulta!$C$29),OR([1]Consulta!$E$29="",B272=[1]Consulta!$E$29),OR([1]Consulta!$G$29="",D272=[1]Consulta!$G$29,R272=[1]Consulta!$G$29)),ROW()-1,""))</f>
        <v/>
      </c>
    </row>
    <row r="273" spans="1:42" ht="1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 t="str">
        <f t="shared" si="36"/>
        <v/>
      </c>
      <c r="AG273" s="7" t="str">
        <f t="shared" si="44"/>
        <v/>
      </c>
      <c r="AH273" s="7" t="str">
        <f t="shared" si="37"/>
        <v/>
      </c>
      <c r="AI273" s="7" t="str">
        <f t="shared" si="38"/>
        <v/>
      </c>
      <c r="AJ273" s="7" t="str">
        <f t="shared" si="39"/>
        <v/>
      </c>
      <c r="AK273" s="7" t="str">
        <f t="shared" si="40"/>
        <v/>
      </c>
      <c r="AL273" s="7" t="str">
        <f t="shared" si="41"/>
        <v/>
      </c>
      <c r="AM273" s="7" t="str">
        <f t="shared" si="42"/>
        <v/>
      </c>
      <c r="AN273" s="8" t="str">
        <f>IF(C273="","",COUNTIF($C$2:C273,C273))</f>
        <v/>
      </c>
      <c r="AO273" s="8" t="str">
        <f t="shared" si="43"/>
        <v/>
      </c>
      <c r="AP273" s="8" t="str">
        <f>IF(C273="","",IF(AND(OR([1]Consulta!$C$29="",A273=[1]Consulta!$C$29),OR([1]Consulta!$E$29="",B273=[1]Consulta!$E$29),OR([1]Consulta!$G$29="",D273=[1]Consulta!$G$29,R273=[1]Consulta!$G$29)),ROW()-1,""))</f>
        <v/>
      </c>
    </row>
    <row r="274" spans="1:42" ht="1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 t="str">
        <f t="shared" si="36"/>
        <v/>
      </c>
      <c r="AG274" s="7" t="str">
        <f t="shared" si="44"/>
        <v/>
      </c>
      <c r="AH274" s="7" t="str">
        <f t="shared" si="37"/>
        <v/>
      </c>
      <c r="AI274" s="7" t="str">
        <f t="shared" si="38"/>
        <v/>
      </c>
      <c r="AJ274" s="7" t="str">
        <f t="shared" si="39"/>
        <v/>
      </c>
      <c r="AK274" s="7" t="str">
        <f t="shared" si="40"/>
        <v/>
      </c>
      <c r="AL274" s="7" t="str">
        <f t="shared" si="41"/>
        <v/>
      </c>
      <c r="AM274" s="7" t="str">
        <f t="shared" si="42"/>
        <v/>
      </c>
      <c r="AN274" s="8" t="str">
        <f>IF(C274="","",COUNTIF($C$2:C274,C274))</f>
        <v/>
      </c>
      <c r="AO274" s="8" t="str">
        <f t="shared" si="43"/>
        <v/>
      </c>
      <c r="AP274" s="8" t="str">
        <f>IF(C274="","",IF(AND(OR([1]Consulta!$C$29="",A274=[1]Consulta!$C$29),OR([1]Consulta!$E$29="",B274=[1]Consulta!$E$29),OR([1]Consulta!$G$29="",D274=[1]Consulta!$G$29,R274=[1]Consulta!$G$29)),ROW()-1,""))</f>
        <v/>
      </c>
    </row>
    <row r="275" spans="1:42" ht="1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 t="str">
        <f t="shared" si="36"/>
        <v/>
      </c>
      <c r="AG275" s="7" t="str">
        <f t="shared" si="44"/>
        <v/>
      </c>
      <c r="AH275" s="7" t="str">
        <f t="shared" si="37"/>
        <v/>
      </c>
      <c r="AI275" s="7" t="str">
        <f t="shared" si="38"/>
        <v/>
      </c>
      <c r="AJ275" s="7" t="str">
        <f t="shared" si="39"/>
        <v/>
      </c>
      <c r="AK275" s="7" t="str">
        <f t="shared" si="40"/>
        <v/>
      </c>
      <c r="AL275" s="7" t="str">
        <f t="shared" si="41"/>
        <v/>
      </c>
      <c r="AM275" s="7" t="str">
        <f t="shared" si="42"/>
        <v/>
      </c>
      <c r="AN275" s="8" t="str">
        <f>IF(C275="","",COUNTIF($C$2:C275,C275))</f>
        <v/>
      </c>
      <c r="AO275" s="8" t="str">
        <f t="shared" si="43"/>
        <v/>
      </c>
      <c r="AP275" s="8" t="str">
        <f>IF(C275="","",IF(AND(OR([1]Consulta!$C$29="",A275=[1]Consulta!$C$29),OR([1]Consulta!$E$29="",B275=[1]Consulta!$E$29),OR([1]Consulta!$G$29="",D275=[1]Consulta!$G$29,R275=[1]Consulta!$G$29)),ROW()-1,""))</f>
        <v/>
      </c>
    </row>
    <row r="276" spans="1:42" ht="1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 t="str">
        <f t="shared" si="36"/>
        <v/>
      </c>
      <c r="AG276" s="7" t="str">
        <f t="shared" si="44"/>
        <v/>
      </c>
      <c r="AH276" s="7" t="str">
        <f t="shared" si="37"/>
        <v/>
      </c>
      <c r="AI276" s="7" t="str">
        <f t="shared" si="38"/>
        <v/>
      </c>
      <c r="AJ276" s="7" t="str">
        <f t="shared" si="39"/>
        <v/>
      </c>
      <c r="AK276" s="7" t="str">
        <f t="shared" si="40"/>
        <v/>
      </c>
      <c r="AL276" s="7" t="str">
        <f t="shared" si="41"/>
        <v/>
      </c>
      <c r="AM276" s="7" t="str">
        <f t="shared" si="42"/>
        <v/>
      </c>
      <c r="AN276" s="8" t="str">
        <f>IF(C276="","",COUNTIF($C$2:C276,C276))</f>
        <v/>
      </c>
      <c r="AO276" s="8" t="str">
        <f t="shared" si="43"/>
        <v/>
      </c>
      <c r="AP276" s="8" t="str">
        <f>IF(C276="","",IF(AND(OR([1]Consulta!$C$29="",A276=[1]Consulta!$C$29),OR([1]Consulta!$E$29="",B276=[1]Consulta!$E$29),OR([1]Consulta!$G$29="",D276=[1]Consulta!$G$29,R276=[1]Consulta!$G$29)),ROW()-1,""))</f>
        <v/>
      </c>
    </row>
    <row r="277" spans="1:42" ht="1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 t="str">
        <f t="shared" si="36"/>
        <v/>
      </c>
      <c r="AG277" s="7" t="str">
        <f t="shared" si="44"/>
        <v/>
      </c>
      <c r="AH277" s="7" t="str">
        <f t="shared" si="37"/>
        <v/>
      </c>
      <c r="AI277" s="7" t="str">
        <f t="shared" si="38"/>
        <v/>
      </c>
      <c r="AJ277" s="7" t="str">
        <f t="shared" si="39"/>
        <v/>
      </c>
      <c r="AK277" s="7" t="str">
        <f t="shared" si="40"/>
        <v/>
      </c>
      <c r="AL277" s="7" t="str">
        <f t="shared" si="41"/>
        <v/>
      </c>
      <c r="AM277" s="7" t="str">
        <f t="shared" si="42"/>
        <v/>
      </c>
      <c r="AN277" s="8" t="str">
        <f>IF(C277="","",COUNTIF($C$2:C277,C277))</f>
        <v/>
      </c>
      <c r="AO277" s="8" t="str">
        <f t="shared" si="43"/>
        <v/>
      </c>
      <c r="AP277" s="8" t="str">
        <f>IF(C277="","",IF(AND(OR([1]Consulta!$C$29="",A277=[1]Consulta!$C$29),OR([1]Consulta!$E$29="",B277=[1]Consulta!$E$29),OR([1]Consulta!$G$29="",D277=[1]Consulta!$G$29,R277=[1]Consulta!$G$29)),ROW()-1,""))</f>
        <v/>
      </c>
    </row>
    <row r="278" spans="1:42" ht="1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 t="str">
        <f t="shared" si="36"/>
        <v/>
      </c>
      <c r="AG278" s="7" t="str">
        <f t="shared" si="44"/>
        <v/>
      </c>
      <c r="AH278" s="7" t="str">
        <f t="shared" si="37"/>
        <v/>
      </c>
      <c r="AI278" s="7" t="str">
        <f t="shared" si="38"/>
        <v/>
      </c>
      <c r="AJ278" s="7" t="str">
        <f t="shared" si="39"/>
        <v/>
      </c>
      <c r="AK278" s="7" t="str">
        <f t="shared" si="40"/>
        <v/>
      </c>
      <c r="AL278" s="7" t="str">
        <f t="shared" si="41"/>
        <v/>
      </c>
      <c r="AM278" s="7" t="str">
        <f t="shared" si="42"/>
        <v/>
      </c>
      <c r="AN278" s="8" t="str">
        <f>IF(C278="","",COUNTIF($C$2:C278,C278))</f>
        <v/>
      </c>
      <c r="AO278" s="8" t="str">
        <f t="shared" si="43"/>
        <v/>
      </c>
      <c r="AP278" s="8" t="str">
        <f>IF(C278="","",IF(AND(OR([1]Consulta!$C$29="",A278=[1]Consulta!$C$29),OR([1]Consulta!$E$29="",B278=[1]Consulta!$E$29),OR([1]Consulta!$G$29="",D278=[1]Consulta!$G$29,R278=[1]Consulta!$G$29)),ROW()-1,""))</f>
        <v/>
      </c>
    </row>
    <row r="279" spans="1:42" ht="1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 t="str">
        <f t="shared" si="36"/>
        <v/>
      </c>
      <c r="AG279" s="7" t="str">
        <f t="shared" si="44"/>
        <v/>
      </c>
      <c r="AH279" s="7" t="str">
        <f t="shared" si="37"/>
        <v/>
      </c>
      <c r="AI279" s="7" t="str">
        <f t="shared" si="38"/>
        <v/>
      </c>
      <c r="AJ279" s="7" t="str">
        <f t="shared" si="39"/>
        <v/>
      </c>
      <c r="AK279" s="7" t="str">
        <f t="shared" si="40"/>
        <v/>
      </c>
      <c r="AL279" s="7" t="str">
        <f t="shared" si="41"/>
        <v/>
      </c>
      <c r="AM279" s="7" t="str">
        <f t="shared" si="42"/>
        <v/>
      </c>
      <c r="AN279" s="8" t="str">
        <f>IF(C279="","",COUNTIF($C$2:C279,C279))</f>
        <v/>
      </c>
      <c r="AO279" s="8" t="str">
        <f t="shared" si="43"/>
        <v/>
      </c>
      <c r="AP279" s="8" t="str">
        <f>IF(C279="","",IF(AND(OR([1]Consulta!$C$29="",A279=[1]Consulta!$C$29),OR([1]Consulta!$E$29="",B279=[1]Consulta!$E$29),OR([1]Consulta!$G$29="",D279=[1]Consulta!$G$29,R279=[1]Consulta!$G$29)),ROW()-1,""))</f>
        <v/>
      </c>
    </row>
    <row r="280" spans="1:42" ht="1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 t="str">
        <f t="shared" si="36"/>
        <v/>
      </c>
      <c r="AG280" s="7" t="str">
        <f t="shared" si="44"/>
        <v/>
      </c>
      <c r="AH280" s="7" t="str">
        <f t="shared" si="37"/>
        <v/>
      </c>
      <c r="AI280" s="7" t="str">
        <f t="shared" si="38"/>
        <v/>
      </c>
      <c r="AJ280" s="7" t="str">
        <f t="shared" si="39"/>
        <v/>
      </c>
      <c r="AK280" s="7" t="str">
        <f t="shared" si="40"/>
        <v/>
      </c>
      <c r="AL280" s="7" t="str">
        <f t="shared" si="41"/>
        <v/>
      </c>
      <c r="AM280" s="7" t="str">
        <f t="shared" si="42"/>
        <v/>
      </c>
      <c r="AN280" s="8" t="str">
        <f>IF(C280="","",COUNTIF($C$2:C280,C280))</f>
        <v/>
      </c>
      <c r="AO280" s="8" t="str">
        <f t="shared" si="43"/>
        <v/>
      </c>
      <c r="AP280" s="8" t="str">
        <f>IF(C280="","",IF(AND(OR([1]Consulta!$C$29="",A280=[1]Consulta!$C$29),OR([1]Consulta!$E$29="",B280=[1]Consulta!$E$29),OR([1]Consulta!$G$29="",D280=[1]Consulta!$G$29,R280=[1]Consulta!$G$29)),ROW()-1,""))</f>
        <v/>
      </c>
    </row>
    <row r="281" spans="1:42" ht="1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 t="str">
        <f t="shared" si="36"/>
        <v/>
      </c>
      <c r="AG281" s="7" t="str">
        <f t="shared" si="44"/>
        <v/>
      </c>
      <c r="AH281" s="7" t="str">
        <f t="shared" si="37"/>
        <v/>
      </c>
      <c r="AI281" s="7" t="str">
        <f t="shared" si="38"/>
        <v/>
      </c>
      <c r="AJ281" s="7" t="str">
        <f t="shared" si="39"/>
        <v/>
      </c>
      <c r="AK281" s="7" t="str">
        <f t="shared" si="40"/>
        <v/>
      </c>
      <c r="AL281" s="7" t="str">
        <f t="shared" si="41"/>
        <v/>
      </c>
      <c r="AM281" s="7" t="str">
        <f t="shared" si="42"/>
        <v/>
      </c>
      <c r="AN281" s="8" t="str">
        <f>IF(C281="","",COUNTIF($C$2:C281,C281))</f>
        <v/>
      </c>
      <c r="AO281" s="8" t="str">
        <f t="shared" si="43"/>
        <v/>
      </c>
      <c r="AP281" s="8" t="str">
        <f>IF(C281="","",IF(AND(OR([1]Consulta!$C$29="",A281=[1]Consulta!$C$29),OR([1]Consulta!$E$29="",B281=[1]Consulta!$E$29),OR([1]Consulta!$G$29="",D281=[1]Consulta!$G$29,R281=[1]Consulta!$G$29)),ROW()-1,""))</f>
        <v/>
      </c>
    </row>
    <row r="282" spans="1:42" ht="1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 t="str">
        <f t="shared" si="36"/>
        <v/>
      </c>
      <c r="AG282" s="7" t="str">
        <f t="shared" si="44"/>
        <v/>
      </c>
      <c r="AH282" s="7" t="str">
        <f t="shared" si="37"/>
        <v/>
      </c>
      <c r="AI282" s="7" t="str">
        <f t="shared" si="38"/>
        <v/>
      </c>
      <c r="AJ282" s="7" t="str">
        <f t="shared" si="39"/>
        <v/>
      </c>
      <c r="AK282" s="7" t="str">
        <f t="shared" si="40"/>
        <v/>
      </c>
      <c r="AL282" s="7" t="str">
        <f t="shared" si="41"/>
        <v/>
      </c>
      <c r="AM282" s="7" t="str">
        <f t="shared" si="42"/>
        <v/>
      </c>
      <c r="AN282" s="8" t="str">
        <f>IF(C282="","",COUNTIF($C$2:C282,C282))</f>
        <v/>
      </c>
      <c r="AO282" s="8" t="str">
        <f t="shared" si="43"/>
        <v/>
      </c>
      <c r="AP282" s="8" t="str">
        <f>IF(C282="","",IF(AND(OR([1]Consulta!$C$29="",A282=[1]Consulta!$C$29),OR([1]Consulta!$E$29="",B282=[1]Consulta!$E$29),OR([1]Consulta!$G$29="",D282=[1]Consulta!$G$29,R282=[1]Consulta!$G$29)),ROW()-1,""))</f>
        <v/>
      </c>
    </row>
    <row r="283" spans="1:42" ht="1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 t="str">
        <f t="shared" si="36"/>
        <v/>
      </c>
      <c r="AG283" s="7" t="str">
        <f t="shared" si="44"/>
        <v/>
      </c>
      <c r="AH283" s="7" t="str">
        <f t="shared" si="37"/>
        <v/>
      </c>
      <c r="AI283" s="7" t="str">
        <f t="shared" si="38"/>
        <v/>
      </c>
      <c r="AJ283" s="7" t="str">
        <f t="shared" si="39"/>
        <v/>
      </c>
      <c r="AK283" s="7" t="str">
        <f t="shared" si="40"/>
        <v/>
      </c>
      <c r="AL283" s="7" t="str">
        <f t="shared" si="41"/>
        <v/>
      </c>
      <c r="AM283" s="7" t="str">
        <f t="shared" si="42"/>
        <v/>
      </c>
      <c r="AN283" s="8" t="str">
        <f>IF(C283="","",COUNTIF($C$2:C283,C283))</f>
        <v/>
      </c>
      <c r="AO283" s="8" t="str">
        <f t="shared" si="43"/>
        <v/>
      </c>
      <c r="AP283" s="8" t="str">
        <f>IF(C283="","",IF(AND(OR([1]Consulta!$C$29="",A283=[1]Consulta!$C$29),OR([1]Consulta!$E$29="",B283=[1]Consulta!$E$29),OR([1]Consulta!$G$29="",D283=[1]Consulta!$G$29,R283=[1]Consulta!$G$29)),ROW()-1,""))</f>
        <v/>
      </c>
    </row>
    <row r="284" spans="1:42" ht="1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 t="str">
        <f t="shared" si="36"/>
        <v/>
      </c>
      <c r="AG284" s="7" t="str">
        <f t="shared" si="44"/>
        <v/>
      </c>
      <c r="AH284" s="7" t="str">
        <f t="shared" si="37"/>
        <v/>
      </c>
      <c r="AI284" s="7" t="str">
        <f t="shared" si="38"/>
        <v/>
      </c>
      <c r="AJ284" s="7" t="str">
        <f t="shared" si="39"/>
        <v/>
      </c>
      <c r="AK284" s="7" t="str">
        <f t="shared" si="40"/>
        <v/>
      </c>
      <c r="AL284" s="7" t="str">
        <f t="shared" si="41"/>
        <v/>
      </c>
      <c r="AM284" s="7" t="str">
        <f t="shared" si="42"/>
        <v/>
      </c>
      <c r="AN284" s="8" t="str">
        <f>IF(C284="","",COUNTIF($C$2:C284,C284))</f>
        <v/>
      </c>
      <c r="AO284" s="8" t="str">
        <f t="shared" si="43"/>
        <v/>
      </c>
      <c r="AP284" s="8" t="str">
        <f>IF(C284="","",IF(AND(OR([1]Consulta!$C$29="",A284=[1]Consulta!$C$29),OR([1]Consulta!$E$29="",B284=[1]Consulta!$E$29),OR([1]Consulta!$G$29="",D284=[1]Consulta!$G$29,R284=[1]Consulta!$G$29)),ROW()-1,""))</f>
        <v/>
      </c>
    </row>
    <row r="285" spans="1:42" ht="1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 t="str">
        <f t="shared" si="36"/>
        <v/>
      </c>
      <c r="AG285" s="7" t="str">
        <f t="shared" si="44"/>
        <v/>
      </c>
      <c r="AH285" s="7" t="str">
        <f t="shared" si="37"/>
        <v/>
      </c>
      <c r="AI285" s="7" t="str">
        <f t="shared" si="38"/>
        <v/>
      </c>
      <c r="AJ285" s="7" t="str">
        <f t="shared" si="39"/>
        <v/>
      </c>
      <c r="AK285" s="7" t="str">
        <f t="shared" si="40"/>
        <v/>
      </c>
      <c r="AL285" s="7" t="str">
        <f t="shared" si="41"/>
        <v/>
      </c>
      <c r="AM285" s="7" t="str">
        <f t="shared" si="42"/>
        <v/>
      </c>
      <c r="AN285" s="8" t="str">
        <f>IF(C285="","",COUNTIF($C$2:C285,C285))</f>
        <v/>
      </c>
      <c r="AO285" s="8" t="str">
        <f t="shared" si="43"/>
        <v/>
      </c>
      <c r="AP285" s="8" t="str">
        <f>IF(C285="","",IF(AND(OR([1]Consulta!$C$29="",A285=[1]Consulta!$C$29),OR([1]Consulta!$E$29="",B285=[1]Consulta!$E$29),OR([1]Consulta!$G$29="",D285=[1]Consulta!$G$29,R285=[1]Consulta!$G$29)),ROW()-1,""))</f>
        <v/>
      </c>
    </row>
    <row r="286" spans="1:42" ht="1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 t="str">
        <f t="shared" si="36"/>
        <v/>
      </c>
      <c r="AG286" s="7" t="str">
        <f t="shared" si="44"/>
        <v/>
      </c>
      <c r="AH286" s="7" t="str">
        <f t="shared" si="37"/>
        <v/>
      </c>
      <c r="AI286" s="7" t="str">
        <f t="shared" si="38"/>
        <v/>
      </c>
      <c r="AJ286" s="7" t="str">
        <f t="shared" si="39"/>
        <v/>
      </c>
      <c r="AK286" s="7" t="str">
        <f t="shared" si="40"/>
        <v/>
      </c>
      <c r="AL286" s="7" t="str">
        <f t="shared" si="41"/>
        <v/>
      </c>
      <c r="AM286" s="7" t="str">
        <f t="shared" si="42"/>
        <v/>
      </c>
      <c r="AN286" s="8" t="str">
        <f>IF(C286="","",COUNTIF($C$2:C286,C286))</f>
        <v/>
      </c>
      <c r="AO286" s="8" t="str">
        <f t="shared" si="43"/>
        <v/>
      </c>
      <c r="AP286" s="8" t="str">
        <f>IF(C286="","",IF(AND(OR([1]Consulta!$C$29="",A286=[1]Consulta!$C$29),OR([1]Consulta!$E$29="",B286=[1]Consulta!$E$29),OR([1]Consulta!$G$29="",D286=[1]Consulta!$G$29,R286=[1]Consulta!$G$29)),ROW()-1,""))</f>
        <v/>
      </c>
    </row>
    <row r="287" spans="1:42" ht="1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 t="str">
        <f t="shared" si="36"/>
        <v/>
      </c>
      <c r="AG287" s="7" t="str">
        <f t="shared" si="44"/>
        <v/>
      </c>
      <c r="AH287" s="7" t="str">
        <f t="shared" si="37"/>
        <v/>
      </c>
      <c r="AI287" s="7" t="str">
        <f t="shared" si="38"/>
        <v/>
      </c>
      <c r="AJ287" s="7" t="str">
        <f t="shared" si="39"/>
        <v/>
      </c>
      <c r="AK287" s="7" t="str">
        <f t="shared" si="40"/>
        <v/>
      </c>
      <c r="AL287" s="7" t="str">
        <f t="shared" si="41"/>
        <v/>
      </c>
      <c r="AM287" s="7" t="str">
        <f t="shared" si="42"/>
        <v/>
      </c>
      <c r="AN287" s="8" t="str">
        <f>IF(C287="","",COUNTIF($C$2:C287,C287))</f>
        <v/>
      </c>
      <c r="AO287" s="8" t="str">
        <f t="shared" si="43"/>
        <v/>
      </c>
      <c r="AP287" s="8" t="str">
        <f>IF(C287="","",IF(AND(OR([1]Consulta!$C$29="",A287=[1]Consulta!$C$29),OR([1]Consulta!$E$29="",B287=[1]Consulta!$E$29),OR([1]Consulta!$G$29="",D287=[1]Consulta!$G$29,R287=[1]Consulta!$G$29)),ROW()-1,""))</f>
        <v/>
      </c>
    </row>
    <row r="288" spans="1:42" ht="1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 t="str">
        <f t="shared" si="36"/>
        <v/>
      </c>
      <c r="AG288" s="7" t="str">
        <f t="shared" si="44"/>
        <v/>
      </c>
      <c r="AH288" s="7" t="str">
        <f t="shared" si="37"/>
        <v/>
      </c>
      <c r="AI288" s="7" t="str">
        <f t="shared" si="38"/>
        <v/>
      </c>
      <c r="AJ288" s="7" t="str">
        <f t="shared" si="39"/>
        <v/>
      </c>
      <c r="AK288" s="7" t="str">
        <f t="shared" si="40"/>
        <v/>
      </c>
      <c r="AL288" s="7" t="str">
        <f t="shared" si="41"/>
        <v/>
      </c>
      <c r="AM288" s="7" t="str">
        <f t="shared" si="42"/>
        <v/>
      </c>
      <c r="AN288" s="8" t="str">
        <f>IF(C288="","",COUNTIF($C$2:C288,C288))</f>
        <v/>
      </c>
      <c r="AO288" s="8" t="str">
        <f t="shared" si="43"/>
        <v/>
      </c>
      <c r="AP288" s="8" t="str">
        <f>IF(C288="","",IF(AND(OR([1]Consulta!$C$29="",A288=[1]Consulta!$C$29),OR([1]Consulta!$E$29="",B288=[1]Consulta!$E$29),OR([1]Consulta!$G$29="",D288=[1]Consulta!$G$29,R288=[1]Consulta!$G$29)),ROW()-1,""))</f>
        <v/>
      </c>
    </row>
    <row r="289" spans="1:42" ht="1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 t="str">
        <f t="shared" si="36"/>
        <v/>
      </c>
      <c r="AG289" s="7" t="str">
        <f t="shared" si="44"/>
        <v/>
      </c>
      <c r="AH289" s="7" t="str">
        <f t="shared" si="37"/>
        <v/>
      </c>
      <c r="AI289" s="7" t="str">
        <f t="shared" si="38"/>
        <v/>
      </c>
      <c r="AJ289" s="7" t="str">
        <f t="shared" si="39"/>
        <v/>
      </c>
      <c r="AK289" s="7" t="str">
        <f t="shared" si="40"/>
        <v/>
      </c>
      <c r="AL289" s="7" t="str">
        <f t="shared" si="41"/>
        <v/>
      </c>
      <c r="AM289" s="7" t="str">
        <f t="shared" si="42"/>
        <v/>
      </c>
      <c r="AN289" s="8" t="str">
        <f>IF(C289="","",COUNTIF($C$2:C289,C289))</f>
        <v/>
      </c>
      <c r="AO289" s="8" t="str">
        <f t="shared" si="43"/>
        <v/>
      </c>
      <c r="AP289" s="8" t="str">
        <f>IF(C289="","",IF(AND(OR([1]Consulta!$C$29="",A289=[1]Consulta!$C$29),OR([1]Consulta!$E$29="",B289=[1]Consulta!$E$29),OR([1]Consulta!$G$29="",D289=[1]Consulta!$G$29,R289=[1]Consulta!$G$29)),ROW()-1,""))</f>
        <v/>
      </c>
    </row>
    <row r="290" spans="1:42" ht="1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 t="str">
        <f t="shared" si="36"/>
        <v/>
      </c>
      <c r="AG290" s="7" t="str">
        <f t="shared" si="44"/>
        <v/>
      </c>
      <c r="AH290" s="7" t="str">
        <f t="shared" si="37"/>
        <v/>
      </c>
      <c r="AI290" s="7" t="str">
        <f t="shared" si="38"/>
        <v/>
      </c>
      <c r="AJ290" s="7" t="str">
        <f t="shared" si="39"/>
        <v/>
      </c>
      <c r="AK290" s="7" t="str">
        <f t="shared" si="40"/>
        <v/>
      </c>
      <c r="AL290" s="7" t="str">
        <f t="shared" si="41"/>
        <v/>
      </c>
      <c r="AM290" s="7" t="str">
        <f t="shared" si="42"/>
        <v/>
      </c>
      <c r="AN290" s="8" t="str">
        <f>IF(C290="","",COUNTIF($C$2:C290,C290))</f>
        <v/>
      </c>
      <c r="AO290" s="8" t="str">
        <f t="shared" si="43"/>
        <v/>
      </c>
      <c r="AP290" s="8" t="str">
        <f>IF(C290="","",IF(AND(OR([1]Consulta!$C$29="",A290=[1]Consulta!$C$29),OR([1]Consulta!$E$29="",B290=[1]Consulta!$E$29),OR([1]Consulta!$G$29="",D290=[1]Consulta!$G$29,R290=[1]Consulta!$G$29)),ROW()-1,""))</f>
        <v/>
      </c>
    </row>
    <row r="291" spans="1:42" ht="1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 t="str">
        <f t="shared" si="36"/>
        <v/>
      </c>
      <c r="AG291" s="7" t="str">
        <f t="shared" si="44"/>
        <v/>
      </c>
      <c r="AH291" s="7" t="str">
        <f t="shared" si="37"/>
        <v/>
      </c>
      <c r="AI291" s="7" t="str">
        <f t="shared" si="38"/>
        <v/>
      </c>
      <c r="AJ291" s="7" t="str">
        <f t="shared" si="39"/>
        <v/>
      </c>
      <c r="AK291" s="7" t="str">
        <f t="shared" si="40"/>
        <v/>
      </c>
      <c r="AL291" s="7" t="str">
        <f t="shared" si="41"/>
        <v/>
      </c>
      <c r="AM291" s="7" t="str">
        <f t="shared" si="42"/>
        <v/>
      </c>
      <c r="AN291" s="8" t="str">
        <f>IF(C291="","",COUNTIF($C$2:C291,C291))</f>
        <v/>
      </c>
      <c r="AO291" s="8" t="str">
        <f t="shared" si="43"/>
        <v/>
      </c>
      <c r="AP291" s="8" t="str">
        <f>IF(C291="","",IF(AND(OR([1]Consulta!$C$29="",A291=[1]Consulta!$C$29),OR([1]Consulta!$E$29="",B291=[1]Consulta!$E$29),OR([1]Consulta!$G$29="",D291=[1]Consulta!$G$29,R291=[1]Consulta!$G$29)),ROW()-1,""))</f>
        <v/>
      </c>
    </row>
    <row r="292" spans="1:42" ht="1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 t="str">
        <f t="shared" si="36"/>
        <v/>
      </c>
      <c r="AG292" s="7" t="str">
        <f t="shared" si="44"/>
        <v/>
      </c>
      <c r="AH292" s="7" t="str">
        <f t="shared" si="37"/>
        <v/>
      </c>
      <c r="AI292" s="7" t="str">
        <f t="shared" si="38"/>
        <v/>
      </c>
      <c r="AJ292" s="7" t="str">
        <f t="shared" si="39"/>
        <v/>
      </c>
      <c r="AK292" s="7" t="str">
        <f t="shared" si="40"/>
        <v/>
      </c>
      <c r="AL292" s="7" t="str">
        <f t="shared" si="41"/>
        <v/>
      </c>
      <c r="AM292" s="7" t="str">
        <f t="shared" si="42"/>
        <v/>
      </c>
      <c r="AN292" s="8" t="str">
        <f>IF(C292="","",COUNTIF($C$2:C292,C292))</f>
        <v/>
      </c>
      <c r="AO292" s="8" t="str">
        <f t="shared" si="43"/>
        <v/>
      </c>
      <c r="AP292" s="8" t="str">
        <f>IF(C292="","",IF(AND(OR([1]Consulta!$C$29="",A292=[1]Consulta!$C$29),OR([1]Consulta!$E$29="",B292=[1]Consulta!$E$29),OR([1]Consulta!$G$29="",D292=[1]Consulta!$G$29,R292=[1]Consulta!$G$29)),ROW()-1,""))</f>
        <v/>
      </c>
    </row>
    <row r="293" spans="1:42" ht="1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 t="str">
        <f t="shared" si="36"/>
        <v/>
      </c>
      <c r="AG293" s="7" t="str">
        <f t="shared" si="44"/>
        <v/>
      </c>
      <c r="AH293" s="7" t="str">
        <f t="shared" si="37"/>
        <v/>
      </c>
      <c r="AI293" s="7" t="str">
        <f t="shared" si="38"/>
        <v/>
      </c>
      <c r="AJ293" s="7" t="str">
        <f t="shared" si="39"/>
        <v/>
      </c>
      <c r="AK293" s="7" t="str">
        <f t="shared" si="40"/>
        <v/>
      </c>
      <c r="AL293" s="7" t="str">
        <f t="shared" si="41"/>
        <v/>
      </c>
      <c r="AM293" s="7" t="str">
        <f t="shared" si="42"/>
        <v/>
      </c>
      <c r="AN293" s="8" t="str">
        <f>IF(C293="","",COUNTIF($C$2:C293,C293))</f>
        <v/>
      </c>
      <c r="AO293" s="8" t="str">
        <f t="shared" si="43"/>
        <v/>
      </c>
      <c r="AP293" s="8" t="str">
        <f>IF(C293="","",IF(AND(OR([1]Consulta!$C$29="",A293=[1]Consulta!$C$29),OR([1]Consulta!$E$29="",B293=[1]Consulta!$E$29),OR([1]Consulta!$G$29="",D293=[1]Consulta!$G$29,R293=[1]Consulta!$G$29)),ROW()-1,""))</f>
        <v/>
      </c>
    </row>
    <row r="294" spans="1:42" ht="1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 t="str">
        <f t="shared" si="36"/>
        <v/>
      </c>
      <c r="AG294" s="7" t="str">
        <f t="shared" si="44"/>
        <v/>
      </c>
      <c r="AH294" s="7" t="str">
        <f t="shared" si="37"/>
        <v/>
      </c>
      <c r="AI294" s="7" t="str">
        <f t="shared" si="38"/>
        <v/>
      </c>
      <c r="AJ294" s="7" t="str">
        <f t="shared" si="39"/>
        <v/>
      </c>
      <c r="AK294" s="7" t="str">
        <f t="shared" si="40"/>
        <v/>
      </c>
      <c r="AL294" s="7" t="str">
        <f t="shared" si="41"/>
        <v/>
      </c>
      <c r="AM294" s="7" t="str">
        <f t="shared" si="42"/>
        <v/>
      </c>
      <c r="AN294" s="8" t="str">
        <f>IF(C294="","",COUNTIF($C$2:C294,C294))</f>
        <v/>
      </c>
      <c r="AO294" s="8" t="str">
        <f t="shared" si="43"/>
        <v/>
      </c>
      <c r="AP294" s="8" t="str">
        <f>IF(C294="","",IF(AND(OR([1]Consulta!$C$29="",A294=[1]Consulta!$C$29),OR([1]Consulta!$E$29="",B294=[1]Consulta!$E$29),OR([1]Consulta!$G$29="",D294=[1]Consulta!$G$29,R294=[1]Consulta!$G$29)),ROW()-1,""))</f>
        <v/>
      </c>
    </row>
    <row r="295" spans="1:42" ht="1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 t="str">
        <f t="shared" si="36"/>
        <v/>
      </c>
      <c r="AG295" s="7" t="str">
        <f t="shared" si="44"/>
        <v/>
      </c>
      <c r="AH295" s="7" t="str">
        <f t="shared" si="37"/>
        <v/>
      </c>
      <c r="AI295" s="7" t="str">
        <f t="shared" si="38"/>
        <v/>
      </c>
      <c r="AJ295" s="7" t="str">
        <f t="shared" si="39"/>
        <v/>
      </c>
      <c r="AK295" s="7" t="str">
        <f t="shared" si="40"/>
        <v/>
      </c>
      <c r="AL295" s="7" t="str">
        <f t="shared" si="41"/>
        <v/>
      </c>
      <c r="AM295" s="7" t="str">
        <f t="shared" si="42"/>
        <v/>
      </c>
      <c r="AN295" s="8" t="str">
        <f>IF(C295="","",COUNTIF($C$2:C295,C295))</f>
        <v/>
      </c>
      <c r="AO295" s="8" t="str">
        <f t="shared" si="43"/>
        <v/>
      </c>
      <c r="AP295" s="8" t="str">
        <f>IF(C295="","",IF(AND(OR([1]Consulta!$C$29="",A295=[1]Consulta!$C$29),OR([1]Consulta!$E$29="",B295=[1]Consulta!$E$29),OR([1]Consulta!$G$29="",D295=[1]Consulta!$G$29,R295=[1]Consulta!$G$29)),ROW()-1,""))</f>
        <v/>
      </c>
    </row>
    <row r="296" spans="1:42" ht="1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 t="str">
        <f t="shared" si="36"/>
        <v/>
      </c>
      <c r="AG296" s="7" t="str">
        <f t="shared" si="44"/>
        <v/>
      </c>
      <c r="AH296" s="7" t="str">
        <f t="shared" si="37"/>
        <v/>
      </c>
      <c r="AI296" s="7" t="str">
        <f t="shared" si="38"/>
        <v/>
      </c>
      <c r="AJ296" s="7" t="str">
        <f t="shared" si="39"/>
        <v/>
      </c>
      <c r="AK296" s="7" t="str">
        <f t="shared" si="40"/>
        <v/>
      </c>
      <c r="AL296" s="7" t="str">
        <f t="shared" si="41"/>
        <v/>
      </c>
      <c r="AM296" s="7" t="str">
        <f t="shared" si="42"/>
        <v/>
      </c>
      <c r="AN296" s="8" t="str">
        <f>IF(C296="","",COUNTIF($C$2:C296,C296))</f>
        <v/>
      </c>
      <c r="AO296" s="8" t="str">
        <f t="shared" si="43"/>
        <v/>
      </c>
      <c r="AP296" s="8" t="str">
        <f>IF(C296="","",IF(AND(OR([1]Consulta!$C$29="",A296=[1]Consulta!$C$29),OR([1]Consulta!$E$29="",B296=[1]Consulta!$E$29),OR([1]Consulta!$G$29="",D296=[1]Consulta!$G$29,R296=[1]Consulta!$G$29)),ROW()-1,""))</f>
        <v/>
      </c>
    </row>
    <row r="297" spans="1:42" ht="1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 t="str">
        <f t="shared" si="36"/>
        <v/>
      </c>
      <c r="AG297" s="7" t="str">
        <f t="shared" si="44"/>
        <v/>
      </c>
      <c r="AH297" s="7" t="str">
        <f t="shared" si="37"/>
        <v/>
      </c>
      <c r="AI297" s="7" t="str">
        <f t="shared" si="38"/>
        <v/>
      </c>
      <c r="AJ297" s="7" t="str">
        <f t="shared" si="39"/>
        <v/>
      </c>
      <c r="AK297" s="7" t="str">
        <f t="shared" si="40"/>
        <v/>
      </c>
      <c r="AL297" s="7" t="str">
        <f t="shared" si="41"/>
        <v/>
      </c>
      <c r="AM297" s="7" t="str">
        <f t="shared" si="42"/>
        <v/>
      </c>
      <c r="AN297" s="8" t="str">
        <f>IF(C297="","",COUNTIF($C$2:C297,C297))</f>
        <v/>
      </c>
      <c r="AO297" s="8" t="str">
        <f t="shared" si="43"/>
        <v/>
      </c>
      <c r="AP297" s="8" t="str">
        <f>IF(C297="","",IF(AND(OR([1]Consulta!$C$29="",A297=[1]Consulta!$C$29),OR([1]Consulta!$E$29="",B297=[1]Consulta!$E$29),OR([1]Consulta!$G$29="",D297=[1]Consulta!$G$29,R297=[1]Consulta!$G$29)),ROW()-1,""))</f>
        <v/>
      </c>
    </row>
    <row r="298" spans="1:42" ht="1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 t="str">
        <f t="shared" si="36"/>
        <v/>
      </c>
      <c r="AG298" s="7" t="str">
        <f t="shared" si="44"/>
        <v/>
      </c>
      <c r="AH298" s="7" t="str">
        <f t="shared" si="37"/>
        <v/>
      </c>
      <c r="AI298" s="7" t="str">
        <f t="shared" si="38"/>
        <v/>
      </c>
      <c r="AJ298" s="7" t="str">
        <f t="shared" si="39"/>
        <v/>
      </c>
      <c r="AK298" s="7" t="str">
        <f t="shared" si="40"/>
        <v/>
      </c>
      <c r="AL298" s="7" t="str">
        <f t="shared" si="41"/>
        <v/>
      </c>
      <c r="AM298" s="7" t="str">
        <f t="shared" si="42"/>
        <v/>
      </c>
      <c r="AN298" s="8" t="str">
        <f>IF(C298="","",COUNTIF($C$2:C298,C298))</f>
        <v/>
      </c>
      <c r="AO298" s="8" t="str">
        <f t="shared" si="43"/>
        <v/>
      </c>
      <c r="AP298" s="8" t="str">
        <f>IF(C298="","",IF(AND(OR([1]Consulta!$C$29="",A298=[1]Consulta!$C$29),OR([1]Consulta!$E$29="",B298=[1]Consulta!$E$29),OR([1]Consulta!$G$29="",D298=[1]Consulta!$G$29,R298=[1]Consulta!$G$29)),ROW()-1,""))</f>
        <v/>
      </c>
    </row>
    <row r="299" spans="1:42" ht="1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 t="str">
        <f t="shared" si="36"/>
        <v/>
      </c>
      <c r="AG299" s="7" t="str">
        <f t="shared" si="44"/>
        <v/>
      </c>
      <c r="AH299" s="7" t="str">
        <f t="shared" si="37"/>
        <v/>
      </c>
      <c r="AI299" s="7" t="str">
        <f t="shared" si="38"/>
        <v/>
      </c>
      <c r="AJ299" s="7" t="str">
        <f t="shared" si="39"/>
        <v/>
      </c>
      <c r="AK299" s="7" t="str">
        <f t="shared" si="40"/>
        <v/>
      </c>
      <c r="AL299" s="7" t="str">
        <f t="shared" si="41"/>
        <v/>
      </c>
      <c r="AM299" s="7" t="str">
        <f t="shared" si="42"/>
        <v/>
      </c>
      <c r="AN299" s="8" t="str">
        <f>IF(C299="","",COUNTIF($C$2:C299,C299))</f>
        <v/>
      </c>
      <c r="AO299" s="8" t="str">
        <f t="shared" si="43"/>
        <v/>
      </c>
      <c r="AP299" s="8" t="str">
        <f>IF(C299="","",IF(AND(OR([1]Consulta!$C$29="",A299=[1]Consulta!$C$29),OR([1]Consulta!$E$29="",B299=[1]Consulta!$E$29),OR([1]Consulta!$G$29="",D299=[1]Consulta!$G$29,R299=[1]Consulta!$G$29)),ROW()-1,""))</f>
        <v/>
      </c>
    </row>
    <row r="300" spans="1:42" ht="1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 t="str">
        <f t="shared" si="36"/>
        <v/>
      </c>
      <c r="AG300" s="7" t="str">
        <f t="shared" si="44"/>
        <v/>
      </c>
      <c r="AH300" s="7" t="str">
        <f t="shared" si="37"/>
        <v/>
      </c>
      <c r="AI300" s="7" t="str">
        <f t="shared" si="38"/>
        <v/>
      </c>
      <c r="AJ300" s="7" t="str">
        <f t="shared" si="39"/>
        <v/>
      </c>
      <c r="AK300" s="7" t="str">
        <f t="shared" si="40"/>
        <v/>
      </c>
      <c r="AL300" s="7" t="str">
        <f t="shared" si="41"/>
        <v/>
      </c>
      <c r="AM300" s="7" t="str">
        <f t="shared" si="42"/>
        <v/>
      </c>
      <c r="AN300" s="8" t="str">
        <f>IF(C300="","",COUNTIF($C$2:C300,C300))</f>
        <v/>
      </c>
      <c r="AO300" s="8" t="str">
        <f t="shared" si="43"/>
        <v/>
      </c>
      <c r="AP300" s="8" t="str">
        <f>IF(C300="","",IF(AND(OR([1]Consulta!$C$29="",A300=[1]Consulta!$C$29),OR([1]Consulta!$E$29="",B300=[1]Consulta!$E$29),OR([1]Consulta!$G$29="",D300=[1]Consulta!$G$29,R300=[1]Consulta!$G$29)),ROW()-1,""))</f>
        <v/>
      </c>
    </row>
    <row r="301" spans="1:42" ht="1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 t="str">
        <f t="shared" si="36"/>
        <v/>
      </c>
      <c r="AG301" s="7" t="str">
        <f t="shared" si="44"/>
        <v/>
      </c>
      <c r="AH301" s="7" t="str">
        <f t="shared" si="37"/>
        <v/>
      </c>
      <c r="AI301" s="7" t="str">
        <f t="shared" si="38"/>
        <v/>
      </c>
      <c r="AJ301" s="7" t="str">
        <f t="shared" si="39"/>
        <v/>
      </c>
      <c r="AK301" s="7" t="str">
        <f t="shared" si="40"/>
        <v/>
      </c>
      <c r="AL301" s="7" t="str">
        <f t="shared" si="41"/>
        <v/>
      </c>
      <c r="AM301" s="7" t="str">
        <f t="shared" si="42"/>
        <v/>
      </c>
      <c r="AN301" s="8" t="str">
        <f>IF(C301="","",COUNTIF($C$2:C301,C301))</f>
        <v/>
      </c>
      <c r="AO301" s="8" t="str">
        <f t="shared" si="43"/>
        <v/>
      </c>
      <c r="AP301" s="8" t="str">
        <f>IF(C301="","",IF(AND(OR([1]Consulta!$C$29="",A301=[1]Consulta!$C$29),OR([1]Consulta!$E$29="",B301=[1]Consulta!$E$29),OR([1]Consulta!$G$29="",D301=[1]Consulta!$G$29,R301=[1]Consulta!$G$29)),ROW()-1,""))</f>
        <v/>
      </c>
    </row>
    <row r="302" spans="1:42" ht="1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 t="str">
        <f t="shared" si="36"/>
        <v/>
      </c>
      <c r="AG302" s="7" t="str">
        <f t="shared" si="44"/>
        <v/>
      </c>
      <c r="AH302" s="7" t="str">
        <f t="shared" si="37"/>
        <v/>
      </c>
      <c r="AI302" s="7" t="str">
        <f t="shared" si="38"/>
        <v/>
      </c>
      <c r="AJ302" s="7" t="str">
        <f t="shared" si="39"/>
        <v/>
      </c>
      <c r="AK302" s="7" t="str">
        <f t="shared" si="40"/>
        <v/>
      </c>
      <c r="AL302" s="7" t="str">
        <f t="shared" si="41"/>
        <v/>
      </c>
      <c r="AM302" s="7" t="str">
        <f t="shared" si="42"/>
        <v/>
      </c>
      <c r="AN302" s="8" t="str">
        <f>IF(C302="","",COUNTIF($C$2:C302,C302))</f>
        <v/>
      </c>
      <c r="AO302" s="8" t="str">
        <f t="shared" si="43"/>
        <v/>
      </c>
      <c r="AP302" s="8" t="str">
        <f>IF(C302="","",IF(AND(OR([1]Consulta!$C$29="",A302=[1]Consulta!$C$29),OR([1]Consulta!$E$29="",B302=[1]Consulta!$E$29),OR([1]Consulta!$G$29="",D302=[1]Consulta!$G$29,R302=[1]Consulta!$G$29)),ROW()-1,""))</f>
        <v/>
      </c>
    </row>
    <row r="303" spans="1:42" ht="1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 t="str">
        <f t="shared" si="36"/>
        <v/>
      </c>
      <c r="AG303" s="7" t="str">
        <f t="shared" si="44"/>
        <v/>
      </c>
      <c r="AH303" s="7" t="str">
        <f t="shared" si="37"/>
        <v/>
      </c>
      <c r="AI303" s="7" t="str">
        <f t="shared" si="38"/>
        <v/>
      </c>
      <c r="AJ303" s="7" t="str">
        <f t="shared" si="39"/>
        <v/>
      </c>
      <c r="AK303" s="7" t="str">
        <f t="shared" si="40"/>
        <v/>
      </c>
      <c r="AL303" s="7" t="str">
        <f t="shared" si="41"/>
        <v/>
      </c>
      <c r="AM303" s="7" t="str">
        <f t="shared" si="42"/>
        <v/>
      </c>
      <c r="AN303" s="8" t="str">
        <f>IF(C303="","",COUNTIF($C$2:C303,C303))</f>
        <v/>
      </c>
      <c r="AO303" s="8" t="str">
        <f t="shared" si="43"/>
        <v/>
      </c>
      <c r="AP303" s="8" t="str">
        <f>IF(C303="","",IF(AND(OR([1]Consulta!$C$29="",A303=[1]Consulta!$C$29),OR([1]Consulta!$E$29="",B303=[1]Consulta!$E$29),OR([1]Consulta!$G$29="",D303=[1]Consulta!$G$29,R303=[1]Consulta!$G$29)),ROW()-1,""))</f>
        <v/>
      </c>
    </row>
    <row r="304" spans="1:42" ht="1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 t="str">
        <f t="shared" si="36"/>
        <v/>
      </c>
      <c r="AG304" s="7" t="str">
        <f t="shared" si="44"/>
        <v/>
      </c>
      <c r="AH304" s="7" t="str">
        <f t="shared" si="37"/>
        <v/>
      </c>
      <c r="AI304" s="7" t="str">
        <f t="shared" si="38"/>
        <v/>
      </c>
      <c r="AJ304" s="7" t="str">
        <f t="shared" si="39"/>
        <v/>
      </c>
      <c r="AK304" s="7" t="str">
        <f t="shared" si="40"/>
        <v/>
      </c>
      <c r="AL304" s="7" t="str">
        <f t="shared" si="41"/>
        <v/>
      </c>
      <c r="AM304" s="7" t="str">
        <f t="shared" si="42"/>
        <v/>
      </c>
      <c r="AN304" s="8" t="str">
        <f>IF(C304="","",COUNTIF($C$2:C304,C304))</f>
        <v/>
      </c>
      <c r="AO304" s="8" t="str">
        <f t="shared" si="43"/>
        <v/>
      </c>
      <c r="AP304" s="8" t="str">
        <f>IF(C304="","",IF(AND(OR([1]Consulta!$C$29="",A304=[1]Consulta!$C$29),OR([1]Consulta!$E$29="",B304=[1]Consulta!$E$29),OR([1]Consulta!$G$29="",D304=[1]Consulta!$G$29,R304=[1]Consulta!$G$29)),ROW()-1,""))</f>
        <v/>
      </c>
    </row>
    <row r="305" spans="1:42" ht="1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 t="str">
        <f t="shared" si="36"/>
        <v/>
      </c>
      <c r="AG305" s="7" t="str">
        <f t="shared" si="44"/>
        <v/>
      </c>
      <c r="AH305" s="7" t="str">
        <f t="shared" si="37"/>
        <v/>
      </c>
      <c r="AI305" s="7" t="str">
        <f t="shared" si="38"/>
        <v/>
      </c>
      <c r="AJ305" s="7" t="str">
        <f t="shared" si="39"/>
        <v/>
      </c>
      <c r="AK305" s="7" t="str">
        <f t="shared" si="40"/>
        <v/>
      </c>
      <c r="AL305" s="7" t="str">
        <f t="shared" si="41"/>
        <v/>
      </c>
      <c r="AM305" s="7" t="str">
        <f t="shared" si="42"/>
        <v/>
      </c>
      <c r="AN305" s="8" t="str">
        <f>IF(C305="","",COUNTIF($C$2:C305,C305))</f>
        <v/>
      </c>
      <c r="AO305" s="8" t="str">
        <f t="shared" si="43"/>
        <v/>
      </c>
      <c r="AP305" s="8" t="str">
        <f>IF(C305="","",IF(AND(OR([1]Consulta!$C$29="",A305=[1]Consulta!$C$29),OR([1]Consulta!$E$29="",B305=[1]Consulta!$E$29),OR([1]Consulta!$G$29="",D305=[1]Consulta!$G$29,R305=[1]Consulta!$G$29)),ROW()-1,""))</f>
        <v/>
      </c>
    </row>
    <row r="306" spans="1:42" ht="1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 t="str">
        <f t="shared" si="36"/>
        <v/>
      </c>
      <c r="AG306" s="7" t="str">
        <f t="shared" si="44"/>
        <v/>
      </c>
      <c r="AH306" s="7" t="str">
        <f t="shared" si="37"/>
        <v/>
      </c>
      <c r="AI306" s="7" t="str">
        <f t="shared" si="38"/>
        <v/>
      </c>
      <c r="AJ306" s="7" t="str">
        <f t="shared" si="39"/>
        <v/>
      </c>
      <c r="AK306" s="7" t="str">
        <f t="shared" si="40"/>
        <v/>
      </c>
      <c r="AL306" s="7" t="str">
        <f t="shared" si="41"/>
        <v/>
      </c>
      <c r="AM306" s="7" t="str">
        <f t="shared" si="42"/>
        <v/>
      </c>
      <c r="AN306" s="8" t="str">
        <f>IF(C306="","",COUNTIF($C$2:C306,C306))</f>
        <v/>
      </c>
      <c r="AO306" s="8" t="str">
        <f t="shared" si="43"/>
        <v/>
      </c>
      <c r="AP306" s="8" t="str">
        <f>IF(C306="","",IF(AND(OR([1]Consulta!$C$29="",A306=[1]Consulta!$C$29),OR([1]Consulta!$E$29="",B306=[1]Consulta!$E$29),OR([1]Consulta!$G$29="",D306=[1]Consulta!$G$29,R306=[1]Consulta!$G$29)),ROW()-1,""))</f>
        <v/>
      </c>
    </row>
    <row r="307" spans="1:42" ht="1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 t="str">
        <f t="shared" si="36"/>
        <v/>
      </c>
      <c r="AG307" s="7" t="str">
        <f t="shared" si="44"/>
        <v/>
      </c>
      <c r="AH307" s="7" t="str">
        <f t="shared" si="37"/>
        <v/>
      </c>
      <c r="AI307" s="7" t="str">
        <f t="shared" si="38"/>
        <v/>
      </c>
      <c r="AJ307" s="7" t="str">
        <f t="shared" si="39"/>
        <v/>
      </c>
      <c r="AK307" s="7" t="str">
        <f t="shared" si="40"/>
        <v/>
      </c>
      <c r="AL307" s="7" t="str">
        <f t="shared" si="41"/>
        <v/>
      </c>
      <c r="AM307" s="7" t="str">
        <f t="shared" si="42"/>
        <v/>
      </c>
      <c r="AN307" s="8" t="str">
        <f>IF(C307="","",COUNTIF($C$2:C307,C307))</f>
        <v/>
      </c>
      <c r="AO307" s="8" t="str">
        <f t="shared" si="43"/>
        <v/>
      </c>
      <c r="AP307" s="8" t="str">
        <f>IF(C307="","",IF(AND(OR([1]Consulta!$C$29="",A307=[1]Consulta!$C$29),OR([1]Consulta!$E$29="",B307=[1]Consulta!$E$29),OR([1]Consulta!$G$29="",D307=[1]Consulta!$G$29,R307=[1]Consulta!$G$29)),ROW()-1,""))</f>
        <v/>
      </c>
    </row>
    <row r="308" spans="1:42" ht="1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 t="str">
        <f t="shared" si="36"/>
        <v/>
      </c>
      <c r="AG308" s="7" t="str">
        <f t="shared" si="44"/>
        <v/>
      </c>
      <c r="AH308" s="7" t="str">
        <f t="shared" si="37"/>
        <v/>
      </c>
      <c r="AI308" s="7" t="str">
        <f t="shared" si="38"/>
        <v/>
      </c>
      <c r="AJ308" s="7" t="str">
        <f t="shared" si="39"/>
        <v/>
      </c>
      <c r="AK308" s="7" t="str">
        <f t="shared" si="40"/>
        <v/>
      </c>
      <c r="AL308" s="7" t="str">
        <f t="shared" si="41"/>
        <v/>
      </c>
      <c r="AM308" s="7" t="str">
        <f t="shared" si="42"/>
        <v/>
      </c>
      <c r="AN308" s="8" t="str">
        <f>IF(C308="","",COUNTIF($C$2:C308,C308))</f>
        <v/>
      </c>
      <c r="AO308" s="8" t="str">
        <f t="shared" si="43"/>
        <v/>
      </c>
      <c r="AP308" s="8" t="str">
        <f>IF(C308="","",IF(AND(OR([1]Consulta!$C$29="",A308=[1]Consulta!$C$29),OR([1]Consulta!$E$29="",B308=[1]Consulta!$E$29),OR([1]Consulta!$G$29="",D308=[1]Consulta!$G$29,R308=[1]Consulta!$G$29)),ROW()-1,""))</f>
        <v/>
      </c>
    </row>
    <row r="309" spans="1:42" ht="1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 t="str">
        <f t="shared" si="36"/>
        <v/>
      </c>
      <c r="AG309" s="7" t="str">
        <f t="shared" si="44"/>
        <v/>
      </c>
      <c r="AH309" s="7" t="str">
        <f t="shared" si="37"/>
        <v/>
      </c>
      <c r="AI309" s="7" t="str">
        <f t="shared" si="38"/>
        <v/>
      </c>
      <c r="AJ309" s="7" t="str">
        <f t="shared" si="39"/>
        <v/>
      </c>
      <c r="AK309" s="7" t="str">
        <f t="shared" si="40"/>
        <v/>
      </c>
      <c r="AL309" s="7" t="str">
        <f t="shared" si="41"/>
        <v/>
      </c>
      <c r="AM309" s="7" t="str">
        <f t="shared" si="42"/>
        <v/>
      </c>
      <c r="AN309" s="8" t="str">
        <f>IF(C309="","",COUNTIF($C$2:C309,C309))</f>
        <v/>
      </c>
      <c r="AO309" s="8" t="str">
        <f t="shared" si="43"/>
        <v/>
      </c>
      <c r="AP309" s="8" t="str">
        <f>IF(C309="","",IF(AND(OR([1]Consulta!$C$29="",A309=[1]Consulta!$C$29),OR([1]Consulta!$E$29="",B309=[1]Consulta!$E$29),OR([1]Consulta!$G$29="",D309=[1]Consulta!$G$29,R309=[1]Consulta!$G$29)),ROW()-1,""))</f>
        <v/>
      </c>
    </row>
    <row r="310" spans="1:42" ht="1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 t="str">
        <f t="shared" si="36"/>
        <v/>
      </c>
      <c r="AG310" s="7" t="str">
        <f t="shared" si="44"/>
        <v/>
      </c>
      <c r="AH310" s="7" t="str">
        <f t="shared" si="37"/>
        <v/>
      </c>
      <c r="AI310" s="7" t="str">
        <f t="shared" si="38"/>
        <v/>
      </c>
      <c r="AJ310" s="7" t="str">
        <f t="shared" si="39"/>
        <v/>
      </c>
      <c r="AK310" s="7" t="str">
        <f t="shared" si="40"/>
        <v/>
      </c>
      <c r="AL310" s="7" t="str">
        <f t="shared" si="41"/>
        <v/>
      </c>
      <c r="AM310" s="7" t="str">
        <f t="shared" si="42"/>
        <v/>
      </c>
      <c r="AN310" s="8" t="str">
        <f>IF(C310="","",COUNTIF($C$2:C310,C310))</f>
        <v/>
      </c>
      <c r="AO310" s="8" t="str">
        <f t="shared" si="43"/>
        <v/>
      </c>
      <c r="AP310" s="8" t="str">
        <f>IF(C310="","",IF(AND(OR([1]Consulta!$C$29="",A310=[1]Consulta!$C$29),OR([1]Consulta!$E$29="",B310=[1]Consulta!$E$29),OR([1]Consulta!$G$29="",D310=[1]Consulta!$G$29,R310=[1]Consulta!$G$29)),ROW()-1,""))</f>
        <v/>
      </c>
    </row>
    <row r="311" spans="1:42" ht="1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 t="str">
        <f t="shared" si="36"/>
        <v/>
      </c>
      <c r="AG311" s="7" t="str">
        <f t="shared" si="44"/>
        <v/>
      </c>
      <c r="AH311" s="7" t="str">
        <f t="shared" si="37"/>
        <v/>
      </c>
      <c r="AI311" s="7" t="str">
        <f t="shared" si="38"/>
        <v/>
      </c>
      <c r="AJ311" s="7" t="str">
        <f t="shared" si="39"/>
        <v/>
      </c>
      <c r="AK311" s="7" t="str">
        <f t="shared" si="40"/>
        <v/>
      </c>
      <c r="AL311" s="7" t="str">
        <f t="shared" si="41"/>
        <v/>
      </c>
      <c r="AM311" s="7" t="str">
        <f t="shared" si="42"/>
        <v/>
      </c>
      <c r="AN311" s="8" t="str">
        <f>IF(C311="","",COUNTIF($C$2:C311,C311))</f>
        <v/>
      </c>
      <c r="AO311" s="8" t="str">
        <f t="shared" si="43"/>
        <v/>
      </c>
      <c r="AP311" s="8" t="str">
        <f>IF(C311="","",IF(AND(OR([1]Consulta!$C$29="",A311=[1]Consulta!$C$29),OR([1]Consulta!$E$29="",B311=[1]Consulta!$E$29),OR([1]Consulta!$G$29="",D311=[1]Consulta!$G$29,R311=[1]Consulta!$G$29)),ROW()-1,""))</f>
        <v/>
      </c>
    </row>
    <row r="312" spans="1:42" ht="1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 t="str">
        <f t="shared" si="36"/>
        <v/>
      </c>
      <c r="AG312" s="7" t="str">
        <f t="shared" si="44"/>
        <v/>
      </c>
      <c r="AH312" s="7" t="str">
        <f t="shared" si="37"/>
        <v/>
      </c>
      <c r="AI312" s="7" t="str">
        <f t="shared" si="38"/>
        <v/>
      </c>
      <c r="AJ312" s="7" t="str">
        <f t="shared" si="39"/>
        <v/>
      </c>
      <c r="AK312" s="7" t="str">
        <f t="shared" si="40"/>
        <v/>
      </c>
      <c r="AL312" s="7" t="str">
        <f t="shared" si="41"/>
        <v/>
      </c>
      <c r="AM312" s="7" t="str">
        <f t="shared" si="42"/>
        <v/>
      </c>
      <c r="AN312" s="8" t="str">
        <f>IF(C312="","",COUNTIF($C$2:C312,C312))</f>
        <v/>
      </c>
      <c r="AO312" s="8" t="str">
        <f t="shared" si="43"/>
        <v/>
      </c>
      <c r="AP312" s="8" t="str">
        <f>IF(C312="","",IF(AND(OR([1]Consulta!$C$29="",A312=[1]Consulta!$C$29),OR([1]Consulta!$E$29="",B312=[1]Consulta!$E$29),OR([1]Consulta!$G$29="",D312=[1]Consulta!$G$29,R312=[1]Consulta!$G$29)),ROW()-1,""))</f>
        <v/>
      </c>
    </row>
    <row r="313" spans="1:42" ht="1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 t="str">
        <f t="shared" si="36"/>
        <v/>
      </c>
      <c r="AG313" s="7" t="str">
        <f t="shared" si="44"/>
        <v/>
      </c>
      <c r="AH313" s="7" t="str">
        <f t="shared" si="37"/>
        <v/>
      </c>
      <c r="AI313" s="7" t="str">
        <f t="shared" si="38"/>
        <v/>
      </c>
      <c r="AJ313" s="7" t="str">
        <f t="shared" si="39"/>
        <v/>
      </c>
      <c r="AK313" s="7" t="str">
        <f t="shared" si="40"/>
        <v/>
      </c>
      <c r="AL313" s="7" t="str">
        <f t="shared" si="41"/>
        <v/>
      </c>
      <c r="AM313" s="7" t="str">
        <f t="shared" si="42"/>
        <v/>
      </c>
      <c r="AN313" s="8" t="str">
        <f>IF(C313="","",COUNTIF($C$2:C313,C313))</f>
        <v/>
      </c>
      <c r="AO313" s="8" t="str">
        <f t="shared" si="43"/>
        <v/>
      </c>
      <c r="AP313" s="8" t="str">
        <f>IF(C313="","",IF(AND(OR([1]Consulta!$C$29="",A313=[1]Consulta!$C$29),OR([1]Consulta!$E$29="",B313=[1]Consulta!$E$29),OR([1]Consulta!$G$29="",D313=[1]Consulta!$G$29,R313=[1]Consulta!$G$29)),ROW()-1,""))</f>
        <v/>
      </c>
    </row>
    <row r="314" spans="1:42" ht="1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 t="str">
        <f t="shared" si="36"/>
        <v/>
      </c>
      <c r="AG314" s="7" t="str">
        <f t="shared" si="44"/>
        <v/>
      </c>
      <c r="AH314" s="7" t="str">
        <f t="shared" si="37"/>
        <v/>
      </c>
      <c r="AI314" s="7" t="str">
        <f t="shared" si="38"/>
        <v/>
      </c>
      <c r="AJ314" s="7" t="str">
        <f t="shared" si="39"/>
        <v/>
      </c>
      <c r="AK314" s="7" t="str">
        <f t="shared" si="40"/>
        <v/>
      </c>
      <c r="AL314" s="7" t="str">
        <f t="shared" si="41"/>
        <v/>
      </c>
      <c r="AM314" s="7" t="str">
        <f t="shared" si="42"/>
        <v/>
      </c>
      <c r="AN314" s="8" t="str">
        <f>IF(C314="","",COUNTIF($C$2:C314,C314))</f>
        <v/>
      </c>
      <c r="AO314" s="8" t="str">
        <f t="shared" si="43"/>
        <v/>
      </c>
      <c r="AP314" s="8" t="str">
        <f>IF(C314="","",IF(AND(OR([1]Consulta!$C$29="",A314=[1]Consulta!$C$29),OR([1]Consulta!$E$29="",B314=[1]Consulta!$E$29),OR([1]Consulta!$G$29="",D314=[1]Consulta!$G$29,R314=[1]Consulta!$G$29)),ROW()-1,""))</f>
        <v/>
      </c>
    </row>
    <row r="315" spans="1:42" ht="1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 t="str">
        <f t="shared" si="36"/>
        <v/>
      </c>
      <c r="AG315" s="7" t="str">
        <f t="shared" si="44"/>
        <v/>
      </c>
      <c r="AH315" s="7" t="str">
        <f t="shared" si="37"/>
        <v/>
      </c>
      <c r="AI315" s="7" t="str">
        <f t="shared" si="38"/>
        <v/>
      </c>
      <c r="AJ315" s="7" t="str">
        <f t="shared" si="39"/>
        <v/>
      </c>
      <c r="AK315" s="7" t="str">
        <f t="shared" si="40"/>
        <v/>
      </c>
      <c r="AL315" s="7" t="str">
        <f t="shared" si="41"/>
        <v/>
      </c>
      <c r="AM315" s="7" t="str">
        <f t="shared" si="42"/>
        <v/>
      </c>
      <c r="AN315" s="8" t="str">
        <f>IF(C315="","",COUNTIF($C$2:C315,C315))</f>
        <v/>
      </c>
      <c r="AO315" s="8" t="str">
        <f t="shared" si="43"/>
        <v/>
      </c>
      <c r="AP315" s="8" t="str">
        <f>IF(C315="","",IF(AND(OR([1]Consulta!$C$29="",A315=[1]Consulta!$C$29),OR([1]Consulta!$E$29="",B315=[1]Consulta!$E$29),OR([1]Consulta!$G$29="",D315=[1]Consulta!$G$29,R315=[1]Consulta!$G$29)),ROW()-1,""))</f>
        <v/>
      </c>
    </row>
    <row r="316" spans="1:42" ht="1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 t="str">
        <f t="shared" si="36"/>
        <v/>
      </c>
      <c r="AG316" s="7" t="str">
        <f t="shared" si="44"/>
        <v/>
      </c>
      <c r="AH316" s="7" t="str">
        <f t="shared" si="37"/>
        <v/>
      </c>
      <c r="AI316" s="7" t="str">
        <f t="shared" si="38"/>
        <v/>
      </c>
      <c r="AJ316" s="7" t="str">
        <f t="shared" si="39"/>
        <v/>
      </c>
      <c r="AK316" s="7" t="str">
        <f t="shared" si="40"/>
        <v/>
      </c>
      <c r="AL316" s="7" t="str">
        <f t="shared" si="41"/>
        <v/>
      </c>
      <c r="AM316" s="7" t="str">
        <f t="shared" si="42"/>
        <v/>
      </c>
      <c r="AN316" s="8" t="str">
        <f>IF(C316="","",COUNTIF($C$2:C316,C316))</f>
        <v/>
      </c>
      <c r="AO316" s="8" t="str">
        <f t="shared" si="43"/>
        <v/>
      </c>
      <c r="AP316" s="8" t="str">
        <f>IF(C316="","",IF(AND(OR([1]Consulta!$C$29="",A316=[1]Consulta!$C$29),OR([1]Consulta!$E$29="",B316=[1]Consulta!$E$29),OR([1]Consulta!$G$29="",D316=[1]Consulta!$G$29,R316=[1]Consulta!$G$29)),ROW()-1,""))</f>
        <v/>
      </c>
    </row>
    <row r="317" spans="1:42" ht="1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 t="str">
        <f t="shared" si="36"/>
        <v/>
      </c>
      <c r="AG317" s="7" t="str">
        <f t="shared" si="44"/>
        <v/>
      </c>
      <c r="AH317" s="7" t="str">
        <f t="shared" si="37"/>
        <v/>
      </c>
      <c r="AI317" s="7" t="str">
        <f t="shared" si="38"/>
        <v/>
      </c>
      <c r="AJ317" s="7" t="str">
        <f t="shared" si="39"/>
        <v/>
      </c>
      <c r="AK317" s="7" t="str">
        <f t="shared" si="40"/>
        <v/>
      </c>
      <c r="AL317" s="7" t="str">
        <f t="shared" si="41"/>
        <v/>
      </c>
      <c r="AM317" s="7" t="str">
        <f t="shared" si="42"/>
        <v/>
      </c>
      <c r="AN317" s="8" t="str">
        <f>IF(C317="","",COUNTIF($C$2:C317,C317))</f>
        <v/>
      </c>
      <c r="AO317" s="8" t="str">
        <f t="shared" si="43"/>
        <v/>
      </c>
      <c r="AP317" s="8" t="str">
        <f>IF(C317="","",IF(AND(OR([1]Consulta!$C$29="",A317=[1]Consulta!$C$29),OR([1]Consulta!$E$29="",B317=[1]Consulta!$E$29),OR([1]Consulta!$G$29="",D317=[1]Consulta!$G$29,R317=[1]Consulta!$G$29)),ROW()-1,""))</f>
        <v/>
      </c>
    </row>
    <row r="318" spans="1:42" ht="1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 t="str">
        <f t="shared" si="36"/>
        <v/>
      </c>
      <c r="AG318" s="7" t="str">
        <f t="shared" si="44"/>
        <v/>
      </c>
      <c r="AH318" s="7" t="str">
        <f t="shared" si="37"/>
        <v/>
      </c>
      <c r="AI318" s="7" t="str">
        <f t="shared" si="38"/>
        <v/>
      </c>
      <c r="AJ318" s="7" t="str">
        <f t="shared" si="39"/>
        <v/>
      </c>
      <c r="AK318" s="7" t="str">
        <f t="shared" si="40"/>
        <v/>
      </c>
      <c r="AL318" s="7" t="str">
        <f t="shared" si="41"/>
        <v/>
      </c>
      <c r="AM318" s="7" t="str">
        <f t="shared" si="42"/>
        <v/>
      </c>
      <c r="AN318" s="8" t="str">
        <f>IF(C318="","",COUNTIF($C$2:C318,C318))</f>
        <v/>
      </c>
      <c r="AO318" s="8" t="str">
        <f t="shared" si="43"/>
        <v/>
      </c>
      <c r="AP318" s="8" t="str">
        <f>IF(C318="","",IF(AND(OR([1]Consulta!$C$29="",A318=[1]Consulta!$C$29),OR([1]Consulta!$E$29="",B318=[1]Consulta!$E$29),OR([1]Consulta!$G$29="",D318=[1]Consulta!$G$29,R318=[1]Consulta!$G$29)),ROW()-1,""))</f>
        <v/>
      </c>
    </row>
    <row r="319" spans="1:42" ht="1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 t="str">
        <f t="shared" si="36"/>
        <v/>
      </c>
      <c r="AG319" s="7" t="str">
        <f t="shared" si="44"/>
        <v/>
      </c>
      <c r="AH319" s="7" t="str">
        <f t="shared" si="37"/>
        <v/>
      </c>
      <c r="AI319" s="7" t="str">
        <f t="shared" si="38"/>
        <v/>
      </c>
      <c r="AJ319" s="7" t="str">
        <f t="shared" si="39"/>
        <v/>
      </c>
      <c r="AK319" s="7" t="str">
        <f t="shared" si="40"/>
        <v/>
      </c>
      <c r="AL319" s="7" t="str">
        <f t="shared" si="41"/>
        <v/>
      </c>
      <c r="AM319" s="7" t="str">
        <f t="shared" si="42"/>
        <v/>
      </c>
      <c r="AN319" s="8" t="str">
        <f>IF(C319="","",COUNTIF($C$2:C319,C319))</f>
        <v/>
      </c>
      <c r="AO319" s="8" t="str">
        <f t="shared" si="43"/>
        <v/>
      </c>
      <c r="AP319" s="8" t="str">
        <f>IF(C319="","",IF(AND(OR([1]Consulta!$C$29="",A319=[1]Consulta!$C$29),OR([1]Consulta!$E$29="",B319=[1]Consulta!$E$29),OR([1]Consulta!$G$29="",D319=[1]Consulta!$G$29,R319=[1]Consulta!$G$29)),ROW()-1,""))</f>
        <v/>
      </c>
    </row>
    <row r="320" spans="1:42" ht="1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 t="str">
        <f t="shared" si="36"/>
        <v/>
      </c>
      <c r="AG320" s="7" t="str">
        <f t="shared" si="44"/>
        <v/>
      </c>
      <c r="AH320" s="7" t="str">
        <f t="shared" si="37"/>
        <v/>
      </c>
      <c r="AI320" s="7" t="str">
        <f t="shared" si="38"/>
        <v/>
      </c>
      <c r="AJ320" s="7" t="str">
        <f t="shared" si="39"/>
        <v/>
      </c>
      <c r="AK320" s="7" t="str">
        <f t="shared" si="40"/>
        <v/>
      </c>
      <c r="AL320" s="7" t="str">
        <f t="shared" si="41"/>
        <v/>
      </c>
      <c r="AM320" s="7" t="str">
        <f t="shared" si="42"/>
        <v/>
      </c>
      <c r="AN320" s="8" t="str">
        <f>IF(C320="","",COUNTIF($C$2:C320,C320))</f>
        <v/>
      </c>
      <c r="AO320" s="8" t="str">
        <f t="shared" si="43"/>
        <v/>
      </c>
      <c r="AP320" s="8" t="str">
        <f>IF(C320="","",IF(AND(OR([1]Consulta!$C$29="",A320=[1]Consulta!$C$29),OR([1]Consulta!$E$29="",B320=[1]Consulta!$E$29),OR([1]Consulta!$G$29="",D320=[1]Consulta!$G$29,R320=[1]Consulta!$G$29)),ROW()-1,""))</f>
        <v/>
      </c>
    </row>
    <row r="321" spans="1:42" ht="1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 t="str">
        <f t="shared" si="36"/>
        <v/>
      </c>
      <c r="AG321" s="7" t="str">
        <f t="shared" si="44"/>
        <v/>
      </c>
      <c r="AH321" s="7" t="str">
        <f t="shared" si="37"/>
        <v/>
      </c>
      <c r="AI321" s="7" t="str">
        <f t="shared" si="38"/>
        <v/>
      </c>
      <c r="AJ321" s="7" t="str">
        <f t="shared" si="39"/>
        <v/>
      </c>
      <c r="AK321" s="7" t="str">
        <f t="shared" si="40"/>
        <v/>
      </c>
      <c r="AL321" s="7" t="str">
        <f t="shared" si="41"/>
        <v/>
      </c>
      <c r="AM321" s="7" t="str">
        <f t="shared" si="42"/>
        <v/>
      </c>
      <c r="AN321" s="8" t="str">
        <f>IF(C321="","",COUNTIF($C$2:C321,C321))</f>
        <v/>
      </c>
      <c r="AO321" s="8" t="str">
        <f t="shared" si="43"/>
        <v/>
      </c>
      <c r="AP321" s="8" t="str">
        <f>IF(C321="","",IF(AND(OR([1]Consulta!$C$29="",A321=[1]Consulta!$C$29),OR([1]Consulta!$E$29="",B321=[1]Consulta!$E$29),OR([1]Consulta!$G$29="",D321=[1]Consulta!$G$29,R321=[1]Consulta!$G$29)),ROW()-1,""))</f>
        <v/>
      </c>
    </row>
    <row r="322" spans="1:42" ht="1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 t="str">
        <f t="shared" ref="AF322:AF385" si="45">IF(C322="","",IF(AND(ISNUMBER(K322),ISNUMBER(L322)),K322-L322,""))</f>
        <v/>
      </c>
      <c r="AG322" s="7" t="str">
        <f t="shared" si="44"/>
        <v/>
      </c>
      <c r="AH322" s="7" t="str">
        <f t="shared" ref="AH322:AH385" si="46">IF(C322="","",IF(AND(ISNUMBER(Y322),ISNUMBER(Z322)),Y322-Z322,""))</f>
        <v/>
      </c>
      <c r="AI322" s="7" t="str">
        <f t="shared" ref="AI322:AI385" si="47">IF(C322="","",IF(AH322="","N/A",IF(AH322&lt;0,"ALARMA","OK")))</f>
        <v/>
      </c>
      <c r="AJ322" s="7" t="str">
        <f t="shared" ref="AJ322:AJ385" si="48">IF(C322="","",IF(ISNUMBER(M322),IF(M322&gt;0,"CON ERRORES","OK"),"N/A"))</f>
        <v/>
      </c>
      <c r="AK322" s="7" t="str">
        <f t="shared" ref="AK322:AK385" si="49">IF(C322="","",IF(ISNUMBER(AA322),IF(AA322&gt;0,"CON ERRORES","OK"),"N/A"))</f>
        <v/>
      </c>
      <c r="AL322" s="7" t="str">
        <f t="shared" ref="AL322:AL385" si="50">IF(C322="","",IF(OR(AG322="ALARMA",AI322="ALARMA",AJ322="CON ERRORES",AK322="CON ERRORES"),"REVISAR","OK"))</f>
        <v/>
      </c>
      <c r="AM322" s="7" t="str">
        <f t="shared" ref="AM322:AM385" si="51">IF(C322="","",IF(ISNUMBER(Q322),Q322,IF(ISNUMBER(AE322),AE322,"Ver detalle")))</f>
        <v/>
      </c>
      <c r="AN322" s="8" t="str">
        <f>IF(C322="","",COUNTIF($C$2:C322,C322))</f>
        <v/>
      </c>
      <c r="AO322" s="8" t="str">
        <f t="shared" ref="AO322:AO385" si="52">IF(C322="","",C322&amp;"|"&amp;AN322)</f>
        <v/>
      </c>
      <c r="AP322" s="8" t="str">
        <f>IF(C322="","",IF(AND(OR([1]Consulta!$C$29="",A322=[1]Consulta!$C$29),OR([1]Consulta!$E$29="",B322=[1]Consulta!$E$29),OR([1]Consulta!$G$29="",D322=[1]Consulta!$G$29,R322=[1]Consulta!$G$29)),ROW()-1,""))</f>
        <v/>
      </c>
    </row>
    <row r="323" spans="1:42" ht="1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 t="str">
        <f t="shared" si="45"/>
        <v/>
      </c>
      <c r="AG323" s="7" t="str">
        <f t="shared" ref="AG323:AG386" si="53">IF(C323="","",IF(AF323="","N/A",IF(AF323&lt;0,"ALARMA","OK")))</f>
        <v/>
      </c>
      <c r="AH323" s="7" t="str">
        <f t="shared" si="46"/>
        <v/>
      </c>
      <c r="AI323" s="7" t="str">
        <f t="shared" si="47"/>
        <v/>
      </c>
      <c r="AJ323" s="7" t="str">
        <f t="shared" si="48"/>
        <v/>
      </c>
      <c r="AK323" s="7" t="str">
        <f t="shared" si="49"/>
        <v/>
      </c>
      <c r="AL323" s="7" t="str">
        <f t="shared" si="50"/>
        <v/>
      </c>
      <c r="AM323" s="7" t="str">
        <f t="shared" si="51"/>
        <v/>
      </c>
      <c r="AN323" s="8" t="str">
        <f>IF(C323="","",COUNTIF($C$2:C323,C323))</f>
        <v/>
      </c>
      <c r="AO323" s="8" t="str">
        <f t="shared" si="52"/>
        <v/>
      </c>
      <c r="AP323" s="8" t="str">
        <f>IF(C323="","",IF(AND(OR([1]Consulta!$C$29="",A323=[1]Consulta!$C$29),OR([1]Consulta!$E$29="",B323=[1]Consulta!$E$29),OR([1]Consulta!$G$29="",D323=[1]Consulta!$G$29,R323=[1]Consulta!$G$29)),ROW()-1,""))</f>
        <v/>
      </c>
    </row>
    <row r="324" spans="1:42" ht="1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 t="str">
        <f t="shared" si="45"/>
        <v/>
      </c>
      <c r="AG324" s="7" t="str">
        <f t="shared" si="53"/>
        <v/>
      </c>
      <c r="AH324" s="7" t="str">
        <f t="shared" si="46"/>
        <v/>
      </c>
      <c r="AI324" s="7" t="str">
        <f t="shared" si="47"/>
        <v/>
      </c>
      <c r="AJ324" s="7" t="str">
        <f t="shared" si="48"/>
        <v/>
      </c>
      <c r="AK324" s="7" t="str">
        <f t="shared" si="49"/>
        <v/>
      </c>
      <c r="AL324" s="7" t="str">
        <f t="shared" si="50"/>
        <v/>
      </c>
      <c r="AM324" s="7" t="str">
        <f t="shared" si="51"/>
        <v/>
      </c>
      <c r="AN324" s="8" t="str">
        <f>IF(C324="","",COUNTIF($C$2:C324,C324))</f>
        <v/>
      </c>
      <c r="AO324" s="8" t="str">
        <f t="shared" si="52"/>
        <v/>
      </c>
      <c r="AP324" s="8" t="str">
        <f>IF(C324="","",IF(AND(OR([1]Consulta!$C$29="",A324=[1]Consulta!$C$29),OR([1]Consulta!$E$29="",B324=[1]Consulta!$E$29),OR([1]Consulta!$G$29="",D324=[1]Consulta!$G$29,R324=[1]Consulta!$G$29)),ROW()-1,""))</f>
        <v/>
      </c>
    </row>
    <row r="325" spans="1:42" ht="1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 t="str">
        <f t="shared" si="45"/>
        <v/>
      </c>
      <c r="AG325" s="7" t="str">
        <f t="shared" si="53"/>
        <v/>
      </c>
      <c r="AH325" s="7" t="str">
        <f t="shared" si="46"/>
        <v/>
      </c>
      <c r="AI325" s="7" t="str">
        <f t="shared" si="47"/>
        <v/>
      </c>
      <c r="AJ325" s="7" t="str">
        <f t="shared" si="48"/>
        <v/>
      </c>
      <c r="AK325" s="7" t="str">
        <f t="shared" si="49"/>
        <v/>
      </c>
      <c r="AL325" s="7" t="str">
        <f t="shared" si="50"/>
        <v/>
      </c>
      <c r="AM325" s="7" t="str">
        <f t="shared" si="51"/>
        <v/>
      </c>
      <c r="AN325" s="8" t="str">
        <f>IF(C325="","",COUNTIF($C$2:C325,C325))</f>
        <v/>
      </c>
      <c r="AO325" s="8" t="str">
        <f t="shared" si="52"/>
        <v/>
      </c>
      <c r="AP325" s="8" t="str">
        <f>IF(C325="","",IF(AND(OR([1]Consulta!$C$29="",A325=[1]Consulta!$C$29),OR([1]Consulta!$E$29="",B325=[1]Consulta!$E$29),OR([1]Consulta!$G$29="",D325=[1]Consulta!$G$29,R325=[1]Consulta!$G$29)),ROW()-1,""))</f>
        <v/>
      </c>
    </row>
    <row r="326" spans="1:42" ht="1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 t="str">
        <f t="shared" si="45"/>
        <v/>
      </c>
      <c r="AG326" s="7" t="str">
        <f t="shared" si="53"/>
        <v/>
      </c>
      <c r="AH326" s="7" t="str">
        <f t="shared" si="46"/>
        <v/>
      </c>
      <c r="AI326" s="7" t="str">
        <f t="shared" si="47"/>
        <v/>
      </c>
      <c r="AJ326" s="7" t="str">
        <f t="shared" si="48"/>
        <v/>
      </c>
      <c r="AK326" s="7" t="str">
        <f t="shared" si="49"/>
        <v/>
      </c>
      <c r="AL326" s="7" t="str">
        <f t="shared" si="50"/>
        <v/>
      </c>
      <c r="AM326" s="7" t="str">
        <f t="shared" si="51"/>
        <v/>
      </c>
      <c r="AN326" s="8" t="str">
        <f>IF(C326="","",COUNTIF($C$2:C326,C326))</f>
        <v/>
      </c>
      <c r="AO326" s="8" t="str">
        <f t="shared" si="52"/>
        <v/>
      </c>
      <c r="AP326" s="8" t="str">
        <f>IF(C326="","",IF(AND(OR([1]Consulta!$C$29="",A326=[1]Consulta!$C$29),OR([1]Consulta!$E$29="",B326=[1]Consulta!$E$29),OR([1]Consulta!$G$29="",D326=[1]Consulta!$G$29,R326=[1]Consulta!$G$29)),ROW()-1,""))</f>
        <v/>
      </c>
    </row>
    <row r="327" spans="1:42" ht="1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 t="str">
        <f t="shared" si="45"/>
        <v/>
      </c>
      <c r="AG327" s="7" t="str">
        <f t="shared" si="53"/>
        <v/>
      </c>
      <c r="AH327" s="7" t="str">
        <f t="shared" si="46"/>
        <v/>
      </c>
      <c r="AI327" s="7" t="str">
        <f t="shared" si="47"/>
        <v/>
      </c>
      <c r="AJ327" s="7" t="str">
        <f t="shared" si="48"/>
        <v/>
      </c>
      <c r="AK327" s="7" t="str">
        <f t="shared" si="49"/>
        <v/>
      </c>
      <c r="AL327" s="7" t="str">
        <f t="shared" si="50"/>
        <v/>
      </c>
      <c r="AM327" s="7" t="str">
        <f t="shared" si="51"/>
        <v/>
      </c>
      <c r="AN327" s="8" t="str">
        <f>IF(C327="","",COUNTIF($C$2:C327,C327))</f>
        <v/>
      </c>
      <c r="AO327" s="8" t="str">
        <f t="shared" si="52"/>
        <v/>
      </c>
      <c r="AP327" s="8" t="str">
        <f>IF(C327="","",IF(AND(OR([1]Consulta!$C$29="",A327=[1]Consulta!$C$29),OR([1]Consulta!$E$29="",B327=[1]Consulta!$E$29),OR([1]Consulta!$G$29="",D327=[1]Consulta!$G$29,R327=[1]Consulta!$G$29)),ROW()-1,""))</f>
        <v/>
      </c>
    </row>
    <row r="328" spans="1:42" ht="1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 t="str">
        <f t="shared" si="45"/>
        <v/>
      </c>
      <c r="AG328" s="7" t="str">
        <f t="shared" si="53"/>
        <v/>
      </c>
      <c r="AH328" s="7" t="str">
        <f t="shared" si="46"/>
        <v/>
      </c>
      <c r="AI328" s="7" t="str">
        <f t="shared" si="47"/>
        <v/>
      </c>
      <c r="AJ328" s="7" t="str">
        <f t="shared" si="48"/>
        <v/>
      </c>
      <c r="AK328" s="7" t="str">
        <f t="shared" si="49"/>
        <v/>
      </c>
      <c r="AL328" s="7" t="str">
        <f t="shared" si="50"/>
        <v/>
      </c>
      <c r="AM328" s="7" t="str">
        <f t="shared" si="51"/>
        <v/>
      </c>
      <c r="AN328" s="8" t="str">
        <f>IF(C328="","",COUNTIF($C$2:C328,C328))</f>
        <v/>
      </c>
      <c r="AO328" s="8" t="str">
        <f t="shared" si="52"/>
        <v/>
      </c>
      <c r="AP328" s="8" t="str">
        <f>IF(C328="","",IF(AND(OR([1]Consulta!$C$29="",A328=[1]Consulta!$C$29),OR([1]Consulta!$E$29="",B328=[1]Consulta!$E$29),OR([1]Consulta!$G$29="",D328=[1]Consulta!$G$29,R328=[1]Consulta!$G$29)),ROW()-1,""))</f>
        <v/>
      </c>
    </row>
    <row r="329" spans="1:42" ht="1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 t="str">
        <f t="shared" si="45"/>
        <v/>
      </c>
      <c r="AG329" s="7" t="str">
        <f t="shared" si="53"/>
        <v/>
      </c>
      <c r="AH329" s="7" t="str">
        <f t="shared" si="46"/>
        <v/>
      </c>
      <c r="AI329" s="7" t="str">
        <f t="shared" si="47"/>
        <v/>
      </c>
      <c r="AJ329" s="7" t="str">
        <f t="shared" si="48"/>
        <v/>
      </c>
      <c r="AK329" s="7" t="str">
        <f t="shared" si="49"/>
        <v/>
      </c>
      <c r="AL329" s="7" t="str">
        <f t="shared" si="50"/>
        <v/>
      </c>
      <c r="AM329" s="7" t="str">
        <f t="shared" si="51"/>
        <v/>
      </c>
      <c r="AN329" s="8" t="str">
        <f>IF(C329="","",COUNTIF($C$2:C329,C329))</f>
        <v/>
      </c>
      <c r="AO329" s="8" t="str">
        <f t="shared" si="52"/>
        <v/>
      </c>
      <c r="AP329" s="8" t="str">
        <f>IF(C329="","",IF(AND(OR([1]Consulta!$C$29="",A329=[1]Consulta!$C$29),OR([1]Consulta!$E$29="",B329=[1]Consulta!$E$29),OR([1]Consulta!$G$29="",D329=[1]Consulta!$G$29,R329=[1]Consulta!$G$29)),ROW()-1,""))</f>
        <v/>
      </c>
    </row>
    <row r="330" spans="1:42" ht="1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 t="str">
        <f t="shared" si="45"/>
        <v/>
      </c>
      <c r="AG330" s="7" t="str">
        <f t="shared" si="53"/>
        <v/>
      </c>
      <c r="AH330" s="7" t="str">
        <f t="shared" si="46"/>
        <v/>
      </c>
      <c r="AI330" s="7" t="str">
        <f t="shared" si="47"/>
        <v/>
      </c>
      <c r="AJ330" s="7" t="str">
        <f t="shared" si="48"/>
        <v/>
      </c>
      <c r="AK330" s="7" t="str">
        <f t="shared" si="49"/>
        <v/>
      </c>
      <c r="AL330" s="7" t="str">
        <f t="shared" si="50"/>
        <v/>
      </c>
      <c r="AM330" s="7" t="str">
        <f t="shared" si="51"/>
        <v/>
      </c>
      <c r="AN330" s="8" t="str">
        <f>IF(C330="","",COUNTIF($C$2:C330,C330))</f>
        <v/>
      </c>
      <c r="AO330" s="8" t="str">
        <f t="shared" si="52"/>
        <v/>
      </c>
      <c r="AP330" s="8" t="str">
        <f>IF(C330="","",IF(AND(OR([1]Consulta!$C$29="",A330=[1]Consulta!$C$29),OR([1]Consulta!$E$29="",B330=[1]Consulta!$E$29),OR([1]Consulta!$G$29="",D330=[1]Consulta!$G$29,R330=[1]Consulta!$G$29)),ROW()-1,""))</f>
        <v/>
      </c>
    </row>
    <row r="331" spans="1:42" ht="1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 t="str">
        <f t="shared" si="45"/>
        <v/>
      </c>
      <c r="AG331" s="7" t="str">
        <f t="shared" si="53"/>
        <v/>
      </c>
      <c r="AH331" s="7" t="str">
        <f t="shared" si="46"/>
        <v/>
      </c>
      <c r="AI331" s="7" t="str">
        <f t="shared" si="47"/>
        <v/>
      </c>
      <c r="AJ331" s="7" t="str">
        <f t="shared" si="48"/>
        <v/>
      </c>
      <c r="AK331" s="7" t="str">
        <f t="shared" si="49"/>
        <v/>
      </c>
      <c r="AL331" s="7" t="str">
        <f t="shared" si="50"/>
        <v/>
      </c>
      <c r="AM331" s="7" t="str">
        <f t="shared" si="51"/>
        <v/>
      </c>
      <c r="AN331" s="8" t="str">
        <f>IF(C331="","",COUNTIF($C$2:C331,C331))</f>
        <v/>
      </c>
      <c r="AO331" s="8" t="str">
        <f t="shared" si="52"/>
        <v/>
      </c>
      <c r="AP331" s="8" t="str">
        <f>IF(C331="","",IF(AND(OR([1]Consulta!$C$29="",A331=[1]Consulta!$C$29),OR([1]Consulta!$E$29="",B331=[1]Consulta!$E$29),OR([1]Consulta!$G$29="",D331=[1]Consulta!$G$29,R331=[1]Consulta!$G$29)),ROW()-1,""))</f>
        <v/>
      </c>
    </row>
    <row r="332" spans="1:42" ht="1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 t="str">
        <f t="shared" si="45"/>
        <v/>
      </c>
      <c r="AG332" s="7" t="str">
        <f t="shared" si="53"/>
        <v/>
      </c>
      <c r="AH332" s="7" t="str">
        <f t="shared" si="46"/>
        <v/>
      </c>
      <c r="AI332" s="7" t="str">
        <f t="shared" si="47"/>
        <v/>
      </c>
      <c r="AJ332" s="7" t="str">
        <f t="shared" si="48"/>
        <v/>
      </c>
      <c r="AK332" s="7" t="str">
        <f t="shared" si="49"/>
        <v/>
      </c>
      <c r="AL332" s="7" t="str">
        <f t="shared" si="50"/>
        <v/>
      </c>
      <c r="AM332" s="7" t="str">
        <f t="shared" si="51"/>
        <v/>
      </c>
      <c r="AN332" s="8" t="str">
        <f>IF(C332="","",COUNTIF($C$2:C332,C332))</f>
        <v/>
      </c>
      <c r="AO332" s="8" t="str">
        <f t="shared" si="52"/>
        <v/>
      </c>
      <c r="AP332" s="8" t="str">
        <f>IF(C332="","",IF(AND(OR([1]Consulta!$C$29="",A332=[1]Consulta!$C$29),OR([1]Consulta!$E$29="",B332=[1]Consulta!$E$29),OR([1]Consulta!$G$29="",D332=[1]Consulta!$G$29,R332=[1]Consulta!$G$29)),ROW()-1,""))</f>
        <v/>
      </c>
    </row>
    <row r="333" spans="1:42" ht="1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 t="str">
        <f t="shared" si="45"/>
        <v/>
      </c>
      <c r="AG333" s="7" t="str">
        <f t="shared" si="53"/>
        <v/>
      </c>
      <c r="AH333" s="7" t="str">
        <f t="shared" si="46"/>
        <v/>
      </c>
      <c r="AI333" s="7" t="str">
        <f t="shared" si="47"/>
        <v/>
      </c>
      <c r="AJ333" s="7" t="str">
        <f t="shared" si="48"/>
        <v/>
      </c>
      <c r="AK333" s="7" t="str">
        <f t="shared" si="49"/>
        <v/>
      </c>
      <c r="AL333" s="7" t="str">
        <f t="shared" si="50"/>
        <v/>
      </c>
      <c r="AM333" s="7" t="str">
        <f t="shared" si="51"/>
        <v/>
      </c>
      <c r="AN333" s="8" t="str">
        <f>IF(C333="","",COUNTIF($C$2:C333,C333))</f>
        <v/>
      </c>
      <c r="AO333" s="8" t="str">
        <f t="shared" si="52"/>
        <v/>
      </c>
      <c r="AP333" s="8" t="str">
        <f>IF(C333="","",IF(AND(OR([1]Consulta!$C$29="",A333=[1]Consulta!$C$29),OR([1]Consulta!$E$29="",B333=[1]Consulta!$E$29),OR([1]Consulta!$G$29="",D333=[1]Consulta!$G$29,R333=[1]Consulta!$G$29)),ROW()-1,""))</f>
        <v/>
      </c>
    </row>
    <row r="334" spans="1:42" ht="1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 t="str">
        <f t="shared" si="45"/>
        <v/>
      </c>
      <c r="AG334" s="7" t="str">
        <f t="shared" si="53"/>
        <v/>
      </c>
      <c r="AH334" s="7" t="str">
        <f t="shared" si="46"/>
        <v/>
      </c>
      <c r="AI334" s="7" t="str">
        <f t="shared" si="47"/>
        <v/>
      </c>
      <c r="AJ334" s="7" t="str">
        <f t="shared" si="48"/>
        <v/>
      </c>
      <c r="AK334" s="7" t="str">
        <f t="shared" si="49"/>
        <v/>
      </c>
      <c r="AL334" s="7" t="str">
        <f t="shared" si="50"/>
        <v/>
      </c>
      <c r="AM334" s="7" t="str">
        <f t="shared" si="51"/>
        <v/>
      </c>
      <c r="AN334" s="8" t="str">
        <f>IF(C334="","",COUNTIF($C$2:C334,C334))</f>
        <v/>
      </c>
      <c r="AO334" s="8" t="str">
        <f t="shared" si="52"/>
        <v/>
      </c>
      <c r="AP334" s="8" t="str">
        <f>IF(C334="","",IF(AND(OR([1]Consulta!$C$29="",A334=[1]Consulta!$C$29),OR([1]Consulta!$E$29="",B334=[1]Consulta!$E$29),OR([1]Consulta!$G$29="",D334=[1]Consulta!$G$29,R334=[1]Consulta!$G$29)),ROW()-1,""))</f>
        <v/>
      </c>
    </row>
    <row r="335" spans="1:42" ht="1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 t="str">
        <f t="shared" si="45"/>
        <v/>
      </c>
      <c r="AG335" s="7" t="str">
        <f t="shared" si="53"/>
        <v/>
      </c>
      <c r="AH335" s="7" t="str">
        <f t="shared" si="46"/>
        <v/>
      </c>
      <c r="AI335" s="7" t="str">
        <f t="shared" si="47"/>
        <v/>
      </c>
      <c r="AJ335" s="7" t="str">
        <f t="shared" si="48"/>
        <v/>
      </c>
      <c r="AK335" s="7" t="str">
        <f t="shared" si="49"/>
        <v/>
      </c>
      <c r="AL335" s="7" t="str">
        <f t="shared" si="50"/>
        <v/>
      </c>
      <c r="AM335" s="7" t="str">
        <f t="shared" si="51"/>
        <v/>
      </c>
      <c r="AN335" s="8" t="str">
        <f>IF(C335="","",COUNTIF($C$2:C335,C335))</f>
        <v/>
      </c>
      <c r="AO335" s="8" t="str">
        <f t="shared" si="52"/>
        <v/>
      </c>
      <c r="AP335" s="8" t="str">
        <f>IF(C335="","",IF(AND(OR([1]Consulta!$C$29="",A335=[1]Consulta!$C$29),OR([1]Consulta!$E$29="",B335=[1]Consulta!$E$29),OR([1]Consulta!$G$29="",D335=[1]Consulta!$G$29,R335=[1]Consulta!$G$29)),ROW()-1,""))</f>
        <v/>
      </c>
    </row>
    <row r="336" spans="1:42" ht="1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 t="str">
        <f t="shared" si="45"/>
        <v/>
      </c>
      <c r="AG336" s="7" t="str">
        <f t="shared" si="53"/>
        <v/>
      </c>
      <c r="AH336" s="7" t="str">
        <f t="shared" si="46"/>
        <v/>
      </c>
      <c r="AI336" s="7" t="str">
        <f t="shared" si="47"/>
        <v/>
      </c>
      <c r="AJ336" s="7" t="str">
        <f t="shared" si="48"/>
        <v/>
      </c>
      <c r="AK336" s="7" t="str">
        <f t="shared" si="49"/>
        <v/>
      </c>
      <c r="AL336" s="7" t="str">
        <f t="shared" si="50"/>
        <v/>
      </c>
      <c r="AM336" s="7" t="str">
        <f t="shared" si="51"/>
        <v/>
      </c>
      <c r="AN336" s="8" t="str">
        <f>IF(C336="","",COUNTIF($C$2:C336,C336))</f>
        <v/>
      </c>
      <c r="AO336" s="8" t="str">
        <f t="shared" si="52"/>
        <v/>
      </c>
      <c r="AP336" s="8" t="str">
        <f>IF(C336="","",IF(AND(OR([1]Consulta!$C$29="",A336=[1]Consulta!$C$29),OR([1]Consulta!$E$29="",B336=[1]Consulta!$E$29),OR([1]Consulta!$G$29="",D336=[1]Consulta!$G$29,R336=[1]Consulta!$G$29)),ROW()-1,""))</f>
        <v/>
      </c>
    </row>
    <row r="337" spans="1:42" ht="1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 t="str">
        <f t="shared" si="45"/>
        <v/>
      </c>
      <c r="AG337" s="7" t="str">
        <f t="shared" si="53"/>
        <v/>
      </c>
      <c r="AH337" s="7" t="str">
        <f t="shared" si="46"/>
        <v/>
      </c>
      <c r="AI337" s="7" t="str">
        <f t="shared" si="47"/>
        <v/>
      </c>
      <c r="AJ337" s="7" t="str">
        <f t="shared" si="48"/>
        <v/>
      </c>
      <c r="AK337" s="7" t="str">
        <f t="shared" si="49"/>
        <v/>
      </c>
      <c r="AL337" s="7" t="str">
        <f t="shared" si="50"/>
        <v/>
      </c>
      <c r="AM337" s="7" t="str">
        <f t="shared" si="51"/>
        <v/>
      </c>
      <c r="AN337" s="8" t="str">
        <f>IF(C337="","",COUNTIF($C$2:C337,C337))</f>
        <v/>
      </c>
      <c r="AO337" s="8" t="str">
        <f t="shared" si="52"/>
        <v/>
      </c>
      <c r="AP337" s="8" t="str">
        <f>IF(C337="","",IF(AND(OR([1]Consulta!$C$29="",A337=[1]Consulta!$C$29),OR([1]Consulta!$E$29="",B337=[1]Consulta!$E$29),OR([1]Consulta!$G$29="",D337=[1]Consulta!$G$29,R337=[1]Consulta!$G$29)),ROW()-1,""))</f>
        <v/>
      </c>
    </row>
    <row r="338" spans="1:42" ht="1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 t="str">
        <f t="shared" si="45"/>
        <v/>
      </c>
      <c r="AG338" s="7" t="str">
        <f t="shared" si="53"/>
        <v/>
      </c>
      <c r="AH338" s="7" t="str">
        <f t="shared" si="46"/>
        <v/>
      </c>
      <c r="AI338" s="7" t="str">
        <f t="shared" si="47"/>
        <v/>
      </c>
      <c r="AJ338" s="7" t="str">
        <f t="shared" si="48"/>
        <v/>
      </c>
      <c r="AK338" s="7" t="str">
        <f t="shared" si="49"/>
        <v/>
      </c>
      <c r="AL338" s="7" t="str">
        <f t="shared" si="50"/>
        <v/>
      </c>
      <c r="AM338" s="7" t="str">
        <f t="shared" si="51"/>
        <v/>
      </c>
      <c r="AN338" s="8" t="str">
        <f>IF(C338="","",COUNTIF($C$2:C338,C338))</f>
        <v/>
      </c>
      <c r="AO338" s="8" t="str">
        <f t="shared" si="52"/>
        <v/>
      </c>
      <c r="AP338" s="8" t="str">
        <f>IF(C338="","",IF(AND(OR([1]Consulta!$C$29="",A338=[1]Consulta!$C$29),OR([1]Consulta!$E$29="",B338=[1]Consulta!$E$29),OR([1]Consulta!$G$29="",D338=[1]Consulta!$G$29,R338=[1]Consulta!$G$29)),ROW()-1,""))</f>
        <v/>
      </c>
    </row>
    <row r="339" spans="1:42" ht="1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 t="str">
        <f t="shared" si="45"/>
        <v/>
      </c>
      <c r="AG339" s="7" t="str">
        <f t="shared" si="53"/>
        <v/>
      </c>
      <c r="AH339" s="7" t="str">
        <f t="shared" si="46"/>
        <v/>
      </c>
      <c r="AI339" s="7" t="str">
        <f t="shared" si="47"/>
        <v/>
      </c>
      <c r="AJ339" s="7" t="str">
        <f t="shared" si="48"/>
        <v/>
      </c>
      <c r="AK339" s="7" t="str">
        <f t="shared" si="49"/>
        <v/>
      </c>
      <c r="AL339" s="7" t="str">
        <f t="shared" si="50"/>
        <v/>
      </c>
      <c r="AM339" s="7" t="str">
        <f t="shared" si="51"/>
        <v/>
      </c>
      <c r="AN339" s="8" t="str">
        <f>IF(C339="","",COUNTIF($C$2:C339,C339))</f>
        <v/>
      </c>
      <c r="AO339" s="8" t="str">
        <f t="shared" si="52"/>
        <v/>
      </c>
      <c r="AP339" s="8" t="str">
        <f>IF(C339="","",IF(AND(OR([1]Consulta!$C$29="",A339=[1]Consulta!$C$29),OR([1]Consulta!$E$29="",B339=[1]Consulta!$E$29),OR([1]Consulta!$G$29="",D339=[1]Consulta!$G$29,R339=[1]Consulta!$G$29)),ROW()-1,""))</f>
        <v/>
      </c>
    </row>
    <row r="340" spans="1:42" ht="1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 t="str">
        <f t="shared" si="45"/>
        <v/>
      </c>
      <c r="AG340" s="7" t="str">
        <f t="shared" si="53"/>
        <v/>
      </c>
      <c r="AH340" s="7" t="str">
        <f t="shared" si="46"/>
        <v/>
      </c>
      <c r="AI340" s="7" t="str">
        <f t="shared" si="47"/>
        <v/>
      </c>
      <c r="AJ340" s="7" t="str">
        <f t="shared" si="48"/>
        <v/>
      </c>
      <c r="AK340" s="7" t="str">
        <f t="shared" si="49"/>
        <v/>
      </c>
      <c r="AL340" s="7" t="str">
        <f t="shared" si="50"/>
        <v/>
      </c>
      <c r="AM340" s="7" t="str">
        <f t="shared" si="51"/>
        <v/>
      </c>
      <c r="AN340" s="8" t="str">
        <f>IF(C340="","",COUNTIF($C$2:C340,C340))</f>
        <v/>
      </c>
      <c r="AO340" s="8" t="str">
        <f t="shared" si="52"/>
        <v/>
      </c>
      <c r="AP340" s="8" t="str">
        <f>IF(C340="","",IF(AND(OR([1]Consulta!$C$29="",A340=[1]Consulta!$C$29),OR([1]Consulta!$E$29="",B340=[1]Consulta!$E$29),OR([1]Consulta!$G$29="",D340=[1]Consulta!$G$29,R340=[1]Consulta!$G$29)),ROW()-1,""))</f>
        <v/>
      </c>
    </row>
    <row r="341" spans="1:42" ht="1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 t="str">
        <f t="shared" si="45"/>
        <v/>
      </c>
      <c r="AG341" s="7" t="str">
        <f t="shared" si="53"/>
        <v/>
      </c>
      <c r="AH341" s="7" t="str">
        <f t="shared" si="46"/>
        <v/>
      </c>
      <c r="AI341" s="7" t="str">
        <f t="shared" si="47"/>
        <v/>
      </c>
      <c r="AJ341" s="7" t="str">
        <f t="shared" si="48"/>
        <v/>
      </c>
      <c r="AK341" s="7" t="str">
        <f t="shared" si="49"/>
        <v/>
      </c>
      <c r="AL341" s="7" t="str">
        <f t="shared" si="50"/>
        <v/>
      </c>
      <c r="AM341" s="7" t="str">
        <f t="shared" si="51"/>
        <v/>
      </c>
      <c r="AN341" s="8" t="str">
        <f>IF(C341="","",COUNTIF($C$2:C341,C341))</f>
        <v/>
      </c>
      <c r="AO341" s="8" t="str">
        <f t="shared" si="52"/>
        <v/>
      </c>
      <c r="AP341" s="8" t="str">
        <f>IF(C341="","",IF(AND(OR([1]Consulta!$C$29="",A341=[1]Consulta!$C$29),OR([1]Consulta!$E$29="",B341=[1]Consulta!$E$29),OR([1]Consulta!$G$29="",D341=[1]Consulta!$G$29,R341=[1]Consulta!$G$29)),ROW()-1,""))</f>
        <v/>
      </c>
    </row>
    <row r="342" spans="1:42" ht="1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 t="str">
        <f t="shared" si="45"/>
        <v/>
      </c>
      <c r="AG342" s="7" t="str">
        <f t="shared" si="53"/>
        <v/>
      </c>
      <c r="AH342" s="7" t="str">
        <f t="shared" si="46"/>
        <v/>
      </c>
      <c r="AI342" s="7" t="str">
        <f t="shared" si="47"/>
        <v/>
      </c>
      <c r="AJ342" s="7" t="str">
        <f t="shared" si="48"/>
        <v/>
      </c>
      <c r="AK342" s="7" t="str">
        <f t="shared" si="49"/>
        <v/>
      </c>
      <c r="AL342" s="7" t="str">
        <f t="shared" si="50"/>
        <v/>
      </c>
      <c r="AM342" s="7" t="str">
        <f t="shared" si="51"/>
        <v/>
      </c>
      <c r="AN342" s="8" t="str">
        <f>IF(C342="","",COUNTIF($C$2:C342,C342))</f>
        <v/>
      </c>
      <c r="AO342" s="8" t="str">
        <f t="shared" si="52"/>
        <v/>
      </c>
      <c r="AP342" s="8" t="str">
        <f>IF(C342="","",IF(AND(OR([1]Consulta!$C$29="",A342=[1]Consulta!$C$29),OR([1]Consulta!$E$29="",B342=[1]Consulta!$E$29),OR([1]Consulta!$G$29="",D342=[1]Consulta!$G$29,R342=[1]Consulta!$G$29)),ROW()-1,""))</f>
        <v/>
      </c>
    </row>
    <row r="343" spans="1:42" ht="1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 t="str">
        <f t="shared" si="45"/>
        <v/>
      </c>
      <c r="AG343" s="7" t="str">
        <f t="shared" si="53"/>
        <v/>
      </c>
      <c r="AH343" s="7" t="str">
        <f t="shared" si="46"/>
        <v/>
      </c>
      <c r="AI343" s="7" t="str">
        <f t="shared" si="47"/>
        <v/>
      </c>
      <c r="AJ343" s="7" t="str">
        <f t="shared" si="48"/>
        <v/>
      </c>
      <c r="AK343" s="7" t="str">
        <f t="shared" si="49"/>
        <v/>
      </c>
      <c r="AL343" s="7" t="str">
        <f t="shared" si="50"/>
        <v/>
      </c>
      <c r="AM343" s="7" t="str">
        <f t="shared" si="51"/>
        <v/>
      </c>
      <c r="AN343" s="8" t="str">
        <f>IF(C343="","",COUNTIF($C$2:C343,C343))</f>
        <v/>
      </c>
      <c r="AO343" s="8" t="str">
        <f t="shared" si="52"/>
        <v/>
      </c>
      <c r="AP343" s="8" t="str">
        <f>IF(C343="","",IF(AND(OR([1]Consulta!$C$29="",A343=[1]Consulta!$C$29),OR([1]Consulta!$E$29="",B343=[1]Consulta!$E$29),OR([1]Consulta!$G$29="",D343=[1]Consulta!$G$29,R343=[1]Consulta!$G$29)),ROW()-1,""))</f>
        <v/>
      </c>
    </row>
    <row r="344" spans="1:42" ht="1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 t="str">
        <f t="shared" si="45"/>
        <v/>
      </c>
      <c r="AG344" s="7" t="str">
        <f t="shared" si="53"/>
        <v/>
      </c>
      <c r="AH344" s="7" t="str">
        <f t="shared" si="46"/>
        <v/>
      </c>
      <c r="AI344" s="7" t="str">
        <f t="shared" si="47"/>
        <v/>
      </c>
      <c r="AJ344" s="7" t="str">
        <f t="shared" si="48"/>
        <v/>
      </c>
      <c r="AK344" s="7" t="str">
        <f t="shared" si="49"/>
        <v/>
      </c>
      <c r="AL344" s="7" t="str">
        <f t="shared" si="50"/>
        <v/>
      </c>
      <c r="AM344" s="7" t="str">
        <f t="shared" si="51"/>
        <v/>
      </c>
      <c r="AN344" s="8" t="str">
        <f>IF(C344="","",COUNTIF($C$2:C344,C344))</f>
        <v/>
      </c>
      <c r="AO344" s="8" t="str">
        <f t="shared" si="52"/>
        <v/>
      </c>
      <c r="AP344" s="8" t="str">
        <f>IF(C344="","",IF(AND(OR([1]Consulta!$C$29="",A344=[1]Consulta!$C$29),OR([1]Consulta!$E$29="",B344=[1]Consulta!$E$29),OR([1]Consulta!$G$29="",D344=[1]Consulta!$G$29,R344=[1]Consulta!$G$29)),ROW()-1,""))</f>
        <v/>
      </c>
    </row>
    <row r="345" spans="1:42" ht="1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 t="str">
        <f t="shared" si="45"/>
        <v/>
      </c>
      <c r="AG345" s="7" t="str">
        <f t="shared" si="53"/>
        <v/>
      </c>
      <c r="AH345" s="7" t="str">
        <f t="shared" si="46"/>
        <v/>
      </c>
      <c r="AI345" s="7" t="str">
        <f t="shared" si="47"/>
        <v/>
      </c>
      <c r="AJ345" s="7" t="str">
        <f t="shared" si="48"/>
        <v/>
      </c>
      <c r="AK345" s="7" t="str">
        <f t="shared" si="49"/>
        <v/>
      </c>
      <c r="AL345" s="7" t="str">
        <f t="shared" si="50"/>
        <v/>
      </c>
      <c r="AM345" s="7" t="str">
        <f t="shared" si="51"/>
        <v/>
      </c>
      <c r="AN345" s="8" t="str">
        <f>IF(C345="","",COUNTIF($C$2:C345,C345))</f>
        <v/>
      </c>
      <c r="AO345" s="8" t="str">
        <f t="shared" si="52"/>
        <v/>
      </c>
      <c r="AP345" s="8" t="str">
        <f>IF(C345="","",IF(AND(OR([1]Consulta!$C$29="",A345=[1]Consulta!$C$29),OR([1]Consulta!$E$29="",B345=[1]Consulta!$E$29),OR([1]Consulta!$G$29="",D345=[1]Consulta!$G$29,R345=[1]Consulta!$G$29)),ROW()-1,""))</f>
        <v/>
      </c>
    </row>
    <row r="346" spans="1:42" ht="1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 t="str">
        <f t="shared" si="45"/>
        <v/>
      </c>
      <c r="AG346" s="7" t="str">
        <f t="shared" si="53"/>
        <v/>
      </c>
      <c r="AH346" s="7" t="str">
        <f t="shared" si="46"/>
        <v/>
      </c>
      <c r="AI346" s="7" t="str">
        <f t="shared" si="47"/>
        <v/>
      </c>
      <c r="AJ346" s="7" t="str">
        <f t="shared" si="48"/>
        <v/>
      </c>
      <c r="AK346" s="7" t="str">
        <f t="shared" si="49"/>
        <v/>
      </c>
      <c r="AL346" s="7" t="str">
        <f t="shared" si="50"/>
        <v/>
      </c>
      <c r="AM346" s="7" t="str">
        <f t="shared" si="51"/>
        <v/>
      </c>
      <c r="AN346" s="8" t="str">
        <f>IF(C346="","",COUNTIF($C$2:C346,C346))</f>
        <v/>
      </c>
      <c r="AO346" s="8" t="str">
        <f t="shared" si="52"/>
        <v/>
      </c>
      <c r="AP346" s="8" t="str">
        <f>IF(C346="","",IF(AND(OR([1]Consulta!$C$29="",A346=[1]Consulta!$C$29),OR([1]Consulta!$E$29="",B346=[1]Consulta!$E$29),OR([1]Consulta!$G$29="",D346=[1]Consulta!$G$29,R346=[1]Consulta!$G$29)),ROW()-1,""))</f>
        <v/>
      </c>
    </row>
    <row r="347" spans="1:42" ht="1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 t="str">
        <f t="shared" si="45"/>
        <v/>
      </c>
      <c r="AG347" s="7" t="str">
        <f t="shared" si="53"/>
        <v/>
      </c>
      <c r="AH347" s="7" t="str">
        <f t="shared" si="46"/>
        <v/>
      </c>
      <c r="AI347" s="7" t="str">
        <f t="shared" si="47"/>
        <v/>
      </c>
      <c r="AJ347" s="7" t="str">
        <f t="shared" si="48"/>
        <v/>
      </c>
      <c r="AK347" s="7" t="str">
        <f t="shared" si="49"/>
        <v/>
      </c>
      <c r="AL347" s="7" t="str">
        <f t="shared" si="50"/>
        <v/>
      </c>
      <c r="AM347" s="7" t="str">
        <f t="shared" si="51"/>
        <v/>
      </c>
      <c r="AN347" s="8" t="str">
        <f>IF(C347="","",COUNTIF($C$2:C347,C347))</f>
        <v/>
      </c>
      <c r="AO347" s="8" t="str">
        <f t="shared" si="52"/>
        <v/>
      </c>
      <c r="AP347" s="8" t="str">
        <f>IF(C347="","",IF(AND(OR([1]Consulta!$C$29="",A347=[1]Consulta!$C$29),OR([1]Consulta!$E$29="",B347=[1]Consulta!$E$29),OR([1]Consulta!$G$29="",D347=[1]Consulta!$G$29,R347=[1]Consulta!$G$29)),ROW()-1,""))</f>
        <v/>
      </c>
    </row>
    <row r="348" spans="1:42" ht="1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 t="str">
        <f t="shared" si="45"/>
        <v/>
      </c>
      <c r="AG348" s="7" t="str">
        <f t="shared" si="53"/>
        <v/>
      </c>
      <c r="AH348" s="7" t="str">
        <f t="shared" si="46"/>
        <v/>
      </c>
      <c r="AI348" s="7" t="str">
        <f t="shared" si="47"/>
        <v/>
      </c>
      <c r="AJ348" s="7" t="str">
        <f t="shared" si="48"/>
        <v/>
      </c>
      <c r="AK348" s="7" t="str">
        <f t="shared" si="49"/>
        <v/>
      </c>
      <c r="AL348" s="7" t="str">
        <f t="shared" si="50"/>
        <v/>
      </c>
      <c r="AM348" s="7" t="str">
        <f t="shared" si="51"/>
        <v/>
      </c>
      <c r="AN348" s="8" t="str">
        <f>IF(C348="","",COUNTIF($C$2:C348,C348))</f>
        <v/>
      </c>
      <c r="AO348" s="8" t="str">
        <f t="shared" si="52"/>
        <v/>
      </c>
      <c r="AP348" s="8" t="str">
        <f>IF(C348="","",IF(AND(OR([1]Consulta!$C$29="",A348=[1]Consulta!$C$29),OR([1]Consulta!$E$29="",B348=[1]Consulta!$E$29),OR([1]Consulta!$G$29="",D348=[1]Consulta!$G$29,R348=[1]Consulta!$G$29)),ROW()-1,""))</f>
        <v/>
      </c>
    </row>
    <row r="349" spans="1:42" ht="1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 t="str">
        <f t="shared" si="45"/>
        <v/>
      </c>
      <c r="AG349" s="7" t="str">
        <f t="shared" si="53"/>
        <v/>
      </c>
      <c r="AH349" s="7" t="str">
        <f t="shared" si="46"/>
        <v/>
      </c>
      <c r="AI349" s="7" t="str">
        <f t="shared" si="47"/>
        <v/>
      </c>
      <c r="AJ349" s="7" t="str">
        <f t="shared" si="48"/>
        <v/>
      </c>
      <c r="AK349" s="7" t="str">
        <f t="shared" si="49"/>
        <v/>
      </c>
      <c r="AL349" s="7" t="str">
        <f t="shared" si="50"/>
        <v/>
      </c>
      <c r="AM349" s="7" t="str">
        <f t="shared" si="51"/>
        <v/>
      </c>
      <c r="AN349" s="8" t="str">
        <f>IF(C349="","",COUNTIF($C$2:C349,C349))</f>
        <v/>
      </c>
      <c r="AO349" s="8" t="str">
        <f t="shared" si="52"/>
        <v/>
      </c>
      <c r="AP349" s="8" t="str">
        <f>IF(C349="","",IF(AND(OR([1]Consulta!$C$29="",A349=[1]Consulta!$C$29),OR([1]Consulta!$E$29="",B349=[1]Consulta!$E$29),OR([1]Consulta!$G$29="",D349=[1]Consulta!$G$29,R349=[1]Consulta!$G$29)),ROW()-1,""))</f>
        <v/>
      </c>
    </row>
    <row r="350" spans="1:42" ht="1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 t="str">
        <f t="shared" si="45"/>
        <v/>
      </c>
      <c r="AG350" s="7" t="str">
        <f t="shared" si="53"/>
        <v/>
      </c>
      <c r="AH350" s="7" t="str">
        <f t="shared" si="46"/>
        <v/>
      </c>
      <c r="AI350" s="7" t="str">
        <f t="shared" si="47"/>
        <v/>
      </c>
      <c r="AJ350" s="7" t="str">
        <f t="shared" si="48"/>
        <v/>
      </c>
      <c r="AK350" s="7" t="str">
        <f t="shared" si="49"/>
        <v/>
      </c>
      <c r="AL350" s="7" t="str">
        <f t="shared" si="50"/>
        <v/>
      </c>
      <c r="AM350" s="7" t="str">
        <f t="shared" si="51"/>
        <v/>
      </c>
      <c r="AN350" s="8" t="str">
        <f>IF(C350="","",COUNTIF($C$2:C350,C350))</f>
        <v/>
      </c>
      <c r="AO350" s="8" t="str">
        <f t="shared" si="52"/>
        <v/>
      </c>
      <c r="AP350" s="8" t="str">
        <f>IF(C350="","",IF(AND(OR([1]Consulta!$C$29="",A350=[1]Consulta!$C$29),OR([1]Consulta!$E$29="",B350=[1]Consulta!$E$29),OR([1]Consulta!$G$29="",D350=[1]Consulta!$G$29,R350=[1]Consulta!$G$29)),ROW()-1,""))</f>
        <v/>
      </c>
    </row>
    <row r="351" spans="1:42" ht="1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 t="str">
        <f t="shared" si="45"/>
        <v/>
      </c>
      <c r="AG351" s="7" t="str">
        <f t="shared" si="53"/>
        <v/>
      </c>
      <c r="AH351" s="7" t="str">
        <f t="shared" si="46"/>
        <v/>
      </c>
      <c r="AI351" s="7" t="str">
        <f t="shared" si="47"/>
        <v/>
      </c>
      <c r="AJ351" s="7" t="str">
        <f t="shared" si="48"/>
        <v/>
      </c>
      <c r="AK351" s="7" t="str">
        <f t="shared" si="49"/>
        <v/>
      </c>
      <c r="AL351" s="7" t="str">
        <f t="shared" si="50"/>
        <v/>
      </c>
      <c r="AM351" s="7" t="str">
        <f t="shared" si="51"/>
        <v/>
      </c>
      <c r="AN351" s="8" t="str">
        <f>IF(C351="","",COUNTIF($C$2:C351,C351))</f>
        <v/>
      </c>
      <c r="AO351" s="8" t="str">
        <f t="shared" si="52"/>
        <v/>
      </c>
      <c r="AP351" s="8" t="str">
        <f>IF(C351="","",IF(AND(OR([1]Consulta!$C$29="",A351=[1]Consulta!$C$29),OR([1]Consulta!$E$29="",B351=[1]Consulta!$E$29),OR([1]Consulta!$G$29="",D351=[1]Consulta!$G$29,R351=[1]Consulta!$G$29)),ROW()-1,""))</f>
        <v/>
      </c>
    </row>
    <row r="352" spans="1:42" ht="1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 t="str">
        <f t="shared" si="45"/>
        <v/>
      </c>
      <c r="AG352" s="7" t="str">
        <f t="shared" si="53"/>
        <v/>
      </c>
      <c r="AH352" s="7" t="str">
        <f t="shared" si="46"/>
        <v/>
      </c>
      <c r="AI352" s="7" t="str">
        <f t="shared" si="47"/>
        <v/>
      </c>
      <c r="AJ352" s="7" t="str">
        <f t="shared" si="48"/>
        <v/>
      </c>
      <c r="AK352" s="7" t="str">
        <f t="shared" si="49"/>
        <v/>
      </c>
      <c r="AL352" s="7" t="str">
        <f t="shared" si="50"/>
        <v/>
      </c>
      <c r="AM352" s="7" t="str">
        <f t="shared" si="51"/>
        <v/>
      </c>
      <c r="AN352" s="8" t="str">
        <f>IF(C352="","",COUNTIF($C$2:C352,C352))</f>
        <v/>
      </c>
      <c r="AO352" s="8" t="str">
        <f t="shared" si="52"/>
        <v/>
      </c>
      <c r="AP352" s="8" t="str">
        <f>IF(C352="","",IF(AND(OR([1]Consulta!$C$29="",A352=[1]Consulta!$C$29),OR([1]Consulta!$E$29="",B352=[1]Consulta!$E$29),OR([1]Consulta!$G$29="",D352=[1]Consulta!$G$29,R352=[1]Consulta!$G$29)),ROW()-1,""))</f>
        <v/>
      </c>
    </row>
    <row r="353" spans="1:42" ht="1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 t="str">
        <f t="shared" si="45"/>
        <v/>
      </c>
      <c r="AG353" s="7" t="str">
        <f t="shared" si="53"/>
        <v/>
      </c>
      <c r="AH353" s="7" t="str">
        <f t="shared" si="46"/>
        <v/>
      </c>
      <c r="AI353" s="7" t="str">
        <f t="shared" si="47"/>
        <v/>
      </c>
      <c r="AJ353" s="7" t="str">
        <f t="shared" si="48"/>
        <v/>
      </c>
      <c r="AK353" s="7" t="str">
        <f t="shared" si="49"/>
        <v/>
      </c>
      <c r="AL353" s="7" t="str">
        <f t="shared" si="50"/>
        <v/>
      </c>
      <c r="AM353" s="7" t="str">
        <f t="shared" si="51"/>
        <v/>
      </c>
      <c r="AN353" s="8" t="str">
        <f>IF(C353="","",COUNTIF($C$2:C353,C353))</f>
        <v/>
      </c>
      <c r="AO353" s="8" t="str">
        <f t="shared" si="52"/>
        <v/>
      </c>
      <c r="AP353" s="8" t="str">
        <f>IF(C353="","",IF(AND(OR([1]Consulta!$C$29="",A353=[1]Consulta!$C$29),OR([1]Consulta!$E$29="",B353=[1]Consulta!$E$29),OR([1]Consulta!$G$29="",D353=[1]Consulta!$G$29,R353=[1]Consulta!$G$29)),ROW()-1,""))</f>
        <v/>
      </c>
    </row>
    <row r="354" spans="1:42" ht="1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 t="str">
        <f t="shared" si="45"/>
        <v/>
      </c>
      <c r="AG354" s="7" t="str">
        <f t="shared" si="53"/>
        <v/>
      </c>
      <c r="AH354" s="7" t="str">
        <f t="shared" si="46"/>
        <v/>
      </c>
      <c r="AI354" s="7" t="str">
        <f t="shared" si="47"/>
        <v/>
      </c>
      <c r="AJ354" s="7" t="str">
        <f t="shared" si="48"/>
        <v/>
      </c>
      <c r="AK354" s="7" t="str">
        <f t="shared" si="49"/>
        <v/>
      </c>
      <c r="AL354" s="7" t="str">
        <f t="shared" si="50"/>
        <v/>
      </c>
      <c r="AM354" s="7" t="str">
        <f t="shared" si="51"/>
        <v/>
      </c>
      <c r="AN354" s="8" t="str">
        <f>IF(C354="","",COUNTIF($C$2:C354,C354))</f>
        <v/>
      </c>
      <c r="AO354" s="8" t="str">
        <f t="shared" si="52"/>
        <v/>
      </c>
      <c r="AP354" s="8" t="str">
        <f>IF(C354="","",IF(AND(OR([1]Consulta!$C$29="",A354=[1]Consulta!$C$29),OR([1]Consulta!$E$29="",B354=[1]Consulta!$E$29),OR([1]Consulta!$G$29="",D354=[1]Consulta!$G$29,R354=[1]Consulta!$G$29)),ROW()-1,""))</f>
        <v/>
      </c>
    </row>
    <row r="355" spans="1:42" ht="1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 t="str">
        <f t="shared" si="45"/>
        <v/>
      </c>
      <c r="AG355" s="7" t="str">
        <f t="shared" si="53"/>
        <v/>
      </c>
      <c r="AH355" s="7" t="str">
        <f t="shared" si="46"/>
        <v/>
      </c>
      <c r="AI355" s="7" t="str">
        <f t="shared" si="47"/>
        <v/>
      </c>
      <c r="AJ355" s="7" t="str">
        <f t="shared" si="48"/>
        <v/>
      </c>
      <c r="AK355" s="7" t="str">
        <f t="shared" si="49"/>
        <v/>
      </c>
      <c r="AL355" s="7" t="str">
        <f t="shared" si="50"/>
        <v/>
      </c>
      <c r="AM355" s="7" t="str">
        <f t="shared" si="51"/>
        <v/>
      </c>
      <c r="AN355" s="8" t="str">
        <f>IF(C355="","",COUNTIF($C$2:C355,C355))</f>
        <v/>
      </c>
      <c r="AO355" s="8" t="str">
        <f t="shared" si="52"/>
        <v/>
      </c>
      <c r="AP355" s="8" t="str">
        <f>IF(C355="","",IF(AND(OR([1]Consulta!$C$29="",A355=[1]Consulta!$C$29),OR([1]Consulta!$E$29="",B355=[1]Consulta!$E$29),OR([1]Consulta!$G$29="",D355=[1]Consulta!$G$29,R355=[1]Consulta!$G$29)),ROW()-1,""))</f>
        <v/>
      </c>
    </row>
    <row r="356" spans="1:42" ht="1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 t="str">
        <f t="shared" si="45"/>
        <v/>
      </c>
      <c r="AG356" s="7" t="str">
        <f t="shared" si="53"/>
        <v/>
      </c>
      <c r="AH356" s="7" t="str">
        <f t="shared" si="46"/>
        <v/>
      </c>
      <c r="AI356" s="7" t="str">
        <f t="shared" si="47"/>
        <v/>
      </c>
      <c r="AJ356" s="7" t="str">
        <f t="shared" si="48"/>
        <v/>
      </c>
      <c r="AK356" s="7" t="str">
        <f t="shared" si="49"/>
        <v/>
      </c>
      <c r="AL356" s="7" t="str">
        <f t="shared" si="50"/>
        <v/>
      </c>
      <c r="AM356" s="7" t="str">
        <f t="shared" si="51"/>
        <v/>
      </c>
      <c r="AN356" s="8" t="str">
        <f>IF(C356="","",COUNTIF($C$2:C356,C356))</f>
        <v/>
      </c>
      <c r="AO356" s="8" t="str">
        <f t="shared" si="52"/>
        <v/>
      </c>
      <c r="AP356" s="8" t="str">
        <f>IF(C356="","",IF(AND(OR([1]Consulta!$C$29="",A356=[1]Consulta!$C$29),OR([1]Consulta!$E$29="",B356=[1]Consulta!$E$29),OR([1]Consulta!$G$29="",D356=[1]Consulta!$G$29,R356=[1]Consulta!$G$29)),ROW()-1,""))</f>
        <v/>
      </c>
    </row>
    <row r="357" spans="1:42" ht="1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 t="str">
        <f t="shared" si="45"/>
        <v/>
      </c>
      <c r="AG357" s="7" t="str">
        <f t="shared" si="53"/>
        <v/>
      </c>
      <c r="AH357" s="7" t="str">
        <f t="shared" si="46"/>
        <v/>
      </c>
      <c r="AI357" s="7" t="str">
        <f t="shared" si="47"/>
        <v/>
      </c>
      <c r="AJ357" s="7" t="str">
        <f t="shared" si="48"/>
        <v/>
      </c>
      <c r="AK357" s="7" t="str">
        <f t="shared" si="49"/>
        <v/>
      </c>
      <c r="AL357" s="7" t="str">
        <f t="shared" si="50"/>
        <v/>
      </c>
      <c r="AM357" s="7" t="str">
        <f t="shared" si="51"/>
        <v/>
      </c>
      <c r="AN357" s="8" t="str">
        <f>IF(C357="","",COUNTIF($C$2:C357,C357))</f>
        <v/>
      </c>
      <c r="AO357" s="8" t="str">
        <f t="shared" si="52"/>
        <v/>
      </c>
      <c r="AP357" s="8" t="str">
        <f>IF(C357="","",IF(AND(OR([1]Consulta!$C$29="",A357=[1]Consulta!$C$29),OR([1]Consulta!$E$29="",B357=[1]Consulta!$E$29),OR([1]Consulta!$G$29="",D357=[1]Consulta!$G$29,R357=[1]Consulta!$G$29)),ROW()-1,""))</f>
        <v/>
      </c>
    </row>
    <row r="358" spans="1:42" ht="1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 t="str">
        <f t="shared" si="45"/>
        <v/>
      </c>
      <c r="AG358" s="7" t="str">
        <f t="shared" si="53"/>
        <v/>
      </c>
      <c r="AH358" s="7" t="str">
        <f t="shared" si="46"/>
        <v/>
      </c>
      <c r="AI358" s="7" t="str">
        <f t="shared" si="47"/>
        <v/>
      </c>
      <c r="AJ358" s="7" t="str">
        <f t="shared" si="48"/>
        <v/>
      </c>
      <c r="AK358" s="7" t="str">
        <f t="shared" si="49"/>
        <v/>
      </c>
      <c r="AL358" s="7" t="str">
        <f t="shared" si="50"/>
        <v/>
      </c>
      <c r="AM358" s="7" t="str">
        <f t="shared" si="51"/>
        <v/>
      </c>
      <c r="AN358" s="8" t="str">
        <f>IF(C358="","",COUNTIF($C$2:C358,C358))</f>
        <v/>
      </c>
      <c r="AO358" s="8" t="str">
        <f t="shared" si="52"/>
        <v/>
      </c>
      <c r="AP358" s="8" t="str">
        <f>IF(C358="","",IF(AND(OR([1]Consulta!$C$29="",A358=[1]Consulta!$C$29),OR([1]Consulta!$E$29="",B358=[1]Consulta!$E$29),OR([1]Consulta!$G$29="",D358=[1]Consulta!$G$29,R358=[1]Consulta!$G$29)),ROW()-1,""))</f>
        <v/>
      </c>
    </row>
    <row r="359" spans="1:42" ht="1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 t="str">
        <f t="shared" si="45"/>
        <v/>
      </c>
      <c r="AG359" s="7" t="str">
        <f t="shared" si="53"/>
        <v/>
      </c>
      <c r="AH359" s="7" t="str">
        <f t="shared" si="46"/>
        <v/>
      </c>
      <c r="AI359" s="7" t="str">
        <f t="shared" si="47"/>
        <v/>
      </c>
      <c r="AJ359" s="7" t="str">
        <f t="shared" si="48"/>
        <v/>
      </c>
      <c r="AK359" s="7" t="str">
        <f t="shared" si="49"/>
        <v/>
      </c>
      <c r="AL359" s="7" t="str">
        <f t="shared" si="50"/>
        <v/>
      </c>
      <c r="AM359" s="7" t="str">
        <f t="shared" si="51"/>
        <v/>
      </c>
      <c r="AN359" s="8" t="str">
        <f>IF(C359="","",COUNTIF($C$2:C359,C359))</f>
        <v/>
      </c>
      <c r="AO359" s="8" t="str">
        <f t="shared" si="52"/>
        <v/>
      </c>
      <c r="AP359" s="8" t="str">
        <f>IF(C359="","",IF(AND(OR([1]Consulta!$C$29="",A359=[1]Consulta!$C$29),OR([1]Consulta!$E$29="",B359=[1]Consulta!$E$29),OR([1]Consulta!$G$29="",D359=[1]Consulta!$G$29,R359=[1]Consulta!$G$29)),ROW()-1,""))</f>
        <v/>
      </c>
    </row>
    <row r="360" spans="1:42" ht="1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 t="str">
        <f t="shared" si="45"/>
        <v/>
      </c>
      <c r="AG360" s="7" t="str">
        <f t="shared" si="53"/>
        <v/>
      </c>
      <c r="AH360" s="7" t="str">
        <f t="shared" si="46"/>
        <v/>
      </c>
      <c r="AI360" s="7" t="str">
        <f t="shared" si="47"/>
        <v/>
      </c>
      <c r="AJ360" s="7" t="str">
        <f t="shared" si="48"/>
        <v/>
      </c>
      <c r="AK360" s="7" t="str">
        <f t="shared" si="49"/>
        <v/>
      </c>
      <c r="AL360" s="7" t="str">
        <f t="shared" si="50"/>
        <v/>
      </c>
      <c r="AM360" s="7" t="str">
        <f t="shared" si="51"/>
        <v/>
      </c>
      <c r="AN360" s="8" t="str">
        <f>IF(C360="","",COUNTIF($C$2:C360,C360))</f>
        <v/>
      </c>
      <c r="AO360" s="8" t="str">
        <f t="shared" si="52"/>
        <v/>
      </c>
      <c r="AP360" s="8" t="str">
        <f>IF(C360="","",IF(AND(OR([1]Consulta!$C$29="",A360=[1]Consulta!$C$29),OR([1]Consulta!$E$29="",B360=[1]Consulta!$E$29),OR([1]Consulta!$G$29="",D360=[1]Consulta!$G$29,R360=[1]Consulta!$G$29)),ROW()-1,""))</f>
        <v/>
      </c>
    </row>
    <row r="361" spans="1:42" ht="1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 t="str">
        <f t="shared" si="45"/>
        <v/>
      </c>
      <c r="AG361" s="7" t="str">
        <f t="shared" si="53"/>
        <v/>
      </c>
      <c r="AH361" s="7" t="str">
        <f t="shared" si="46"/>
        <v/>
      </c>
      <c r="AI361" s="7" t="str">
        <f t="shared" si="47"/>
        <v/>
      </c>
      <c r="AJ361" s="7" t="str">
        <f t="shared" si="48"/>
        <v/>
      </c>
      <c r="AK361" s="7" t="str">
        <f t="shared" si="49"/>
        <v/>
      </c>
      <c r="AL361" s="7" t="str">
        <f t="shared" si="50"/>
        <v/>
      </c>
      <c r="AM361" s="7" t="str">
        <f t="shared" si="51"/>
        <v/>
      </c>
      <c r="AN361" s="8" t="str">
        <f>IF(C361="","",COUNTIF($C$2:C361,C361))</f>
        <v/>
      </c>
      <c r="AO361" s="8" t="str">
        <f t="shared" si="52"/>
        <v/>
      </c>
      <c r="AP361" s="8" t="str">
        <f>IF(C361="","",IF(AND(OR([1]Consulta!$C$29="",A361=[1]Consulta!$C$29),OR([1]Consulta!$E$29="",B361=[1]Consulta!$E$29),OR([1]Consulta!$G$29="",D361=[1]Consulta!$G$29,R361=[1]Consulta!$G$29)),ROW()-1,""))</f>
        <v/>
      </c>
    </row>
    <row r="362" spans="1:42" ht="1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 t="str">
        <f t="shared" si="45"/>
        <v/>
      </c>
      <c r="AG362" s="7" t="str">
        <f t="shared" si="53"/>
        <v/>
      </c>
      <c r="AH362" s="7" t="str">
        <f t="shared" si="46"/>
        <v/>
      </c>
      <c r="AI362" s="7" t="str">
        <f t="shared" si="47"/>
        <v/>
      </c>
      <c r="AJ362" s="7" t="str">
        <f t="shared" si="48"/>
        <v/>
      </c>
      <c r="AK362" s="7" t="str">
        <f t="shared" si="49"/>
        <v/>
      </c>
      <c r="AL362" s="7" t="str">
        <f t="shared" si="50"/>
        <v/>
      </c>
      <c r="AM362" s="7" t="str">
        <f t="shared" si="51"/>
        <v/>
      </c>
      <c r="AN362" s="8" t="str">
        <f>IF(C362="","",COUNTIF($C$2:C362,C362))</f>
        <v/>
      </c>
      <c r="AO362" s="8" t="str">
        <f t="shared" si="52"/>
        <v/>
      </c>
      <c r="AP362" s="8" t="str">
        <f>IF(C362="","",IF(AND(OR([1]Consulta!$C$29="",A362=[1]Consulta!$C$29),OR([1]Consulta!$E$29="",B362=[1]Consulta!$E$29),OR([1]Consulta!$G$29="",D362=[1]Consulta!$G$29,R362=[1]Consulta!$G$29)),ROW()-1,""))</f>
        <v/>
      </c>
    </row>
    <row r="363" spans="1:42" ht="1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 t="str">
        <f t="shared" si="45"/>
        <v/>
      </c>
      <c r="AG363" s="7" t="str">
        <f t="shared" si="53"/>
        <v/>
      </c>
      <c r="AH363" s="7" t="str">
        <f t="shared" si="46"/>
        <v/>
      </c>
      <c r="AI363" s="7" t="str">
        <f t="shared" si="47"/>
        <v/>
      </c>
      <c r="AJ363" s="7" t="str">
        <f t="shared" si="48"/>
        <v/>
      </c>
      <c r="AK363" s="7" t="str">
        <f t="shared" si="49"/>
        <v/>
      </c>
      <c r="AL363" s="7" t="str">
        <f t="shared" si="50"/>
        <v/>
      </c>
      <c r="AM363" s="7" t="str">
        <f t="shared" si="51"/>
        <v/>
      </c>
      <c r="AN363" s="8" t="str">
        <f>IF(C363="","",COUNTIF($C$2:C363,C363))</f>
        <v/>
      </c>
      <c r="AO363" s="8" t="str">
        <f t="shared" si="52"/>
        <v/>
      </c>
      <c r="AP363" s="8" t="str">
        <f>IF(C363="","",IF(AND(OR([1]Consulta!$C$29="",A363=[1]Consulta!$C$29),OR([1]Consulta!$E$29="",B363=[1]Consulta!$E$29),OR([1]Consulta!$G$29="",D363=[1]Consulta!$G$29,R363=[1]Consulta!$G$29)),ROW()-1,""))</f>
        <v/>
      </c>
    </row>
    <row r="364" spans="1:42" ht="1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 t="str">
        <f t="shared" si="45"/>
        <v/>
      </c>
      <c r="AG364" s="7" t="str">
        <f t="shared" si="53"/>
        <v/>
      </c>
      <c r="AH364" s="7" t="str">
        <f t="shared" si="46"/>
        <v/>
      </c>
      <c r="AI364" s="7" t="str">
        <f t="shared" si="47"/>
        <v/>
      </c>
      <c r="AJ364" s="7" t="str">
        <f t="shared" si="48"/>
        <v/>
      </c>
      <c r="AK364" s="7" t="str">
        <f t="shared" si="49"/>
        <v/>
      </c>
      <c r="AL364" s="7" t="str">
        <f t="shared" si="50"/>
        <v/>
      </c>
      <c r="AM364" s="7" t="str">
        <f t="shared" si="51"/>
        <v/>
      </c>
      <c r="AN364" s="8" t="str">
        <f>IF(C364="","",COUNTIF($C$2:C364,C364))</f>
        <v/>
      </c>
      <c r="AO364" s="8" t="str">
        <f t="shared" si="52"/>
        <v/>
      </c>
      <c r="AP364" s="8" t="str">
        <f>IF(C364="","",IF(AND(OR([1]Consulta!$C$29="",A364=[1]Consulta!$C$29),OR([1]Consulta!$E$29="",B364=[1]Consulta!$E$29),OR([1]Consulta!$G$29="",D364=[1]Consulta!$G$29,R364=[1]Consulta!$G$29)),ROW()-1,""))</f>
        <v/>
      </c>
    </row>
    <row r="365" spans="1:42" ht="1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 t="str">
        <f t="shared" si="45"/>
        <v/>
      </c>
      <c r="AG365" s="7" t="str">
        <f t="shared" si="53"/>
        <v/>
      </c>
      <c r="AH365" s="7" t="str">
        <f t="shared" si="46"/>
        <v/>
      </c>
      <c r="AI365" s="7" t="str">
        <f t="shared" si="47"/>
        <v/>
      </c>
      <c r="AJ365" s="7" t="str">
        <f t="shared" si="48"/>
        <v/>
      </c>
      <c r="AK365" s="7" t="str">
        <f t="shared" si="49"/>
        <v/>
      </c>
      <c r="AL365" s="7" t="str">
        <f t="shared" si="50"/>
        <v/>
      </c>
      <c r="AM365" s="7" t="str">
        <f t="shared" si="51"/>
        <v/>
      </c>
      <c r="AN365" s="8" t="str">
        <f>IF(C365="","",COUNTIF($C$2:C365,C365))</f>
        <v/>
      </c>
      <c r="AO365" s="8" t="str">
        <f t="shared" si="52"/>
        <v/>
      </c>
      <c r="AP365" s="8" t="str">
        <f>IF(C365="","",IF(AND(OR([1]Consulta!$C$29="",A365=[1]Consulta!$C$29),OR([1]Consulta!$E$29="",B365=[1]Consulta!$E$29),OR([1]Consulta!$G$29="",D365=[1]Consulta!$G$29,R365=[1]Consulta!$G$29)),ROW()-1,""))</f>
        <v/>
      </c>
    </row>
    <row r="366" spans="1:42" ht="1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 t="str">
        <f t="shared" si="45"/>
        <v/>
      </c>
      <c r="AG366" s="7" t="str">
        <f t="shared" si="53"/>
        <v/>
      </c>
      <c r="AH366" s="7" t="str">
        <f t="shared" si="46"/>
        <v/>
      </c>
      <c r="AI366" s="7" t="str">
        <f t="shared" si="47"/>
        <v/>
      </c>
      <c r="AJ366" s="7" t="str">
        <f t="shared" si="48"/>
        <v/>
      </c>
      <c r="AK366" s="7" t="str">
        <f t="shared" si="49"/>
        <v/>
      </c>
      <c r="AL366" s="7" t="str">
        <f t="shared" si="50"/>
        <v/>
      </c>
      <c r="AM366" s="7" t="str">
        <f t="shared" si="51"/>
        <v/>
      </c>
      <c r="AN366" s="8" t="str">
        <f>IF(C366="","",COUNTIF($C$2:C366,C366))</f>
        <v/>
      </c>
      <c r="AO366" s="8" t="str">
        <f t="shared" si="52"/>
        <v/>
      </c>
      <c r="AP366" s="8" t="str">
        <f>IF(C366="","",IF(AND(OR([1]Consulta!$C$29="",A366=[1]Consulta!$C$29),OR([1]Consulta!$E$29="",B366=[1]Consulta!$E$29),OR([1]Consulta!$G$29="",D366=[1]Consulta!$G$29,R366=[1]Consulta!$G$29)),ROW()-1,""))</f>
        <v/>
      </c>
    </row>
    <row r="367" spans="1:42" ht="1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 t="str">
        <f t="shared" si="45"/>
        <v/>
      </c>
      <c r="AG367" s="7" t="str">
        <f t="shared" si="53"/>
        <v/>
      </c>
      <c r="AH367" s="7" t="str">
        <f t="shared" si="46"/>
        <v/>
      </c>
      <c r="AI367" s="7" t="str">
        <f t="shared" si="47"/>
        <v/>
      </c>
      <c r="AJ367" s="7" t="str">
        <f t="shared" si="48"/>
        <v/>
      </c>
      <c r="AK367" s="7" t="str">
        <f t="shared" si="49"/>
        <v/>
      </c>
      <c r="AL367" s="7" t="str">
        <f t="shared" si="50"/>
        <v/>
      </c>
      <c r="AM367" s="7" t="str">
        <f t="shared" si="51"/>
        <v/>
      </c>
      <c r="AN367" s="8" t="str">
        <f>IF(C367="","",COUNTIF($C$2:C367,C367))</f>
        <v/>
      </c>
      <c r="AO367" s="8" t="str">
        <f t="shared" si="52"/>
        <v/>
      </c>
      <c r="AP367" s="8" t="str">
        <f>IF(C367="","",IF(AND(OR([1]Consulta!$C$29="",A367=[1]Consulta!$C$29),OR([1]Consulta!$E$29="",B367=[1]Consulta!$E$29),OR([1]Consulta!$G$29="",D367=[1]Consulta!$G$29,R367=[1]Consulta!$G$29)),ROW()-1,""))</f>
        <v/>
      </c>
    </row>
    <row r="368" spans="1:42" ht="1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 t="str">
        <f t="shared" si="45"/>
        <v/>
      </c>
      <c r="AG368" s="7" t="str">
        <f t="shared" si="53"/>
        <v/>
      </c>
      <c r="AH368" s="7" t="str">
        <f t="shared" si="46"/>
        <v/>
      </c>
      <c r="AI368" s="7" t="str">
        <f t="shared" si="47"/>
        <v/>
      </c>
      <c r="AJ368" s="7" t="str">
        <f t="shared" si="48"/>
        <v/>
      </c>
      <c r="AK368" s="7" t="str">
        <f t="shared" si="49"/>
        <v/>
      </c>
      <c r="AL368" s="7" t="str">
        <f t="shared" si="50"/>
        <v/>
      </c>
      <c r="AM368" s="7" t="str">
        <f t="shared" si="51"/>
        <v/>
      </c>
      <c r="AN368" s="8" t="str">
        <f>IF(C368="","",COUNTIF($C$2:C368,C368))</f>
        <v/>
      </c>
      <c r="AO368" s="8" t="str">
        <f t="shared" si="52"/>
        <v/>
      </c>
      <c r="AP368" s="8" t="str">
        <f>IF(C368="","",IF(AND(OR([1]Consulta!$C$29="",A368=[1]Consulta!$C$29),OR([1]Consulta!$E$29="",B368=[1]Consulta!$E$29),OR([1]Consulta!$G$29="",D368=[1]Consulta!$G$29,R368=[1]Consulta!$G$29)),ROW()-1,""))</f>
        <v/>
      </c>
    </row>
    <row r="369" spans="1:42" ht="1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 t="str">
        <f t="shared" si="45"/>
        <v/>
      </c>
      <c r="AG369" s="7" t="str">
        <f t="shared" si="53"/>
        <v/>
      </c>
      <c r="AH369" s="7" t="str">
        <f t="shared" si="46"/>
        <v/>
      </c>
      <c r="AI369" s="7" t="str">
        <f t="shared" si="47"/>
        <v/>
      </c>
      <c r="AJ369" s="7" t="str">
        <f t="shared" si="48"/>
        <v/>
      </c>
      <c r="AK369" s="7" t="str">
        <f t="shared" si="49"/>
        <v/>
      </c>
      <c r="AL369" s="7" t="str">
        <f t="shared" si="50"/>
        <v/>
      </c>
      <c r="AM369" s="7" t="str">
        <f t="shared" si="51"/>
        <v/>
      </c>
      <c r="AN369" s="8" t="str">
        <f>IF(C369="","",COUNTIF($C$2:C369,C369))</f>
        <v/>
      </c>
      <c r="AO369" s="8" t="str">
        <f t="shared" si="52"/>
        <v/>
      </c>
      <c r="AP369" s="8" t="str">
        <f>IF(C369="","",IF(AND(OR([1]Consulta!$C$29="",A369=[1]Consulta!$C$29),OR([1]Consulta!$E$29="",B369=[1]Consulta!$E$29),OR([1]Consulta!$G$29="",D369=[1]Consulta!$G$29,R369=[1]Consulta!$G$29)),ROW()-1,""))</f>
        <v/>
      </c>
    </row>
    <row r="370" spans="1:42" ht="1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 t="str">
        <f t="shared" si="45"/>
        <v/>
      </c>
      <c r="AG370" s="7" t="str">
        <f t="shared" si="53"/>
        <v/>
      </c>
      <c r="AH370" s="7" t="str">
        <f t="shared" si="46"/>
        <v/>
      </c>
      <c r="AI370" s="7" t="str">
        <f t="shared" si="47"/>
        <v/>
      </c>
      <c r="AJ370" s="7" t="str">
        <f t="shared" si="48"/>
        <v/>
      </c>
      <c r="AK370" s="7" t="str">
        <f t="shared" si="49"/>
        <v/>
      </c>
      <c r="AL370" s="7" t="str">
        <f t="shared" si="50"/>
        <v/>
      </c>
      <c r="AM370" s="7" t="str">
        <f t="shared" si="51"/>
        <v/>
      </c>
      <c r="AN370" s="8" t="str">
        <f>IF(C370="","",COUNTIF($C$2:C370,C370))</f>
        <v/>
      </c>
      <c r="AO370" s="8" t="str">
        <f t="shared" si="52"/>
        <v/>
      </c>
      <c r="AP370" s="8" t="str">
        <f>IF(C370="","",IF(AND(OR([1]Consulta!$C$29="",A370=[1]Consulta!$C$29),OR([1]Consulta!$E$29="",B370=[1]Consulta!$E$29),OR([1]Consulta!$G$29="",D370=[1]Consulta!$G$29,R370=[1]Consulta!$G$29)),ROW()-1,""))</f>
        <v/>
      </c>
    </row>
    <row r="371" spans="1:42" ht="1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 t="str">
        <f t="shared" si="45"/>
        <v/>
      </c>
      <c r="AG371" s="7" t="str">
        <f t="shared" si="53"/>
        <v/>
      </c>
      <c r="AH371" s="7" t="str">
        <f t="shared" si="46"/>
        <v/>
      </c>
      <c r="AI371" s="7" t="str">
        <f t="shared" si="47"/>
        <v/>
      </c>
      <c r="AJ371" s="7" t="str">
        <f t="shared" si="48"/>
        <v/>
      </c>
      <c r="AK371" s="7" t="str">
        <f t="shared" si="49"/>
        <v/>
      </c>
      <c r="AL371" s="7" t="str">
        <f t="shared" si="50"/>
        <v/>
      </c>
      <c r="AM371" s="7" t="str">
        <f t="shared" si="51"/>
        <v/>
      </c>
      <c r="AN371" s="8" t="str">
        <f>IF(C371="","",COUNTIF($C$2:C371,C371))</f>
        <v/>
      </c>
      <c r="AO371" s="8" t="str">
        <f t="shared" si="52"/>
        <v/>
      </c>
      <c r="AP371" s="8" t="str">
        <f>IF(C371="","",IF(AND(OR([1]Consulta!$C$29="",A371=[1]Consulta!$C$29),OR([1]Consulta!$E$29="",B371=[1]Consulta!$E$29),OR([1]Consulta!$G$29="",D371=[1]Consulta!$G$29,R371=[1]Consulta!$G$29)),ROW()-1,""))</f>
        <v/>
      </c>
    </row>
    <row r="372" spans="1:42" ht="1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 t="str">
        <f t="shared" si="45"/>
        <v/>
      </c>
      <c r="AG372" s="7" t="str">
        <f t="shared" si="53"/>
        <v/>
      </c>
      <c r="AH372" s="7" t="str">
        <f t="shared" si="46"/>
        <v/>
      </c>
      <c r="AI372" s="7" t="str">
        <f t="shared" si="47"/>
        <v/>
      </c>
      <c r="AJ372" s="7" t="str">
        <f t="shared" si="48"/>
        <v/>
      </c>
      <c r="AK372" s="7" t="str">
        <f t="shared" si="49"/>
        <v/>
      </c>
      <c r="AL372" s="7" t="str">
        <f t="shared" si="50"/>
        <v/>
      </c>
      <c r="AM372" s="7" t="str">
        <f t="shared" si="51"/>
        <v/>
      </c>
      <c r="AN372" s="8" t="str">
        <f>IF(C372="","",COUNTIF($C$2:C372,C372))</f>
        <v/>
      </c>
      <c r="AO372" s="8" t="str">
        <f t="shared" si="52"/>
        <v/>
      </c>
      <c r="AP372" s="8" t="str">
        <f>IF(C372="","",IF(AND(OR([1]Consulta!$C$29="",A372=[1]Consulta!$C$29),OR([1]Consulta!$E$29="",B372=[1]Consulta!$E$29),OR([1]Consulta!$G$29="",D372=[1]Consulta!$G$29,R372=[1]Consulta!$G$29)),ROW()-1,""))</f>
        <v/>
      </c>
    </row>
    <row r="373" spans="1:42" ht="1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 t="str">
        <f t="shared" si="45"/>
        <v/>
      </c>
      <c r="AG373" s="7" t="str">
        <f t="shared" si="53"/>
        <v/>
      </c>
      <c r="AH373" s="7" t="str">
        <f t="shared" si="46"/>
        <v/>
      </c>
      <c r="AI373" s="7" t="str">
        <f t="shared" si="47"/>
        <v/>
      </c>
      <c r="AJ373" s="7" t="str">
        <f t="shared" si="48"/>
        <v/>
      </c>
      <c r="AK373" s="7" t="str">
        <f t="shared" si="49"/>
        <v/>
      </c>
      <c r="AL373" s="7" t="str">
        <f t="shared" si="50"/>
        <v/>
      </c>
      <c r="AM373" s="7" t="str">
        <f t="shared" si="51"/>
        <v/>
      </c>
      <c r="AN373" s="8" t="str">
        <f>IF(C373="","",COUNTIF($C$2:C373,C373))</f>
        <v/>
      </c>
      <c r="AO373" s="8" t="str">
        <f t="shared" si="52"/>
        <v/>
      </c>
      <c r="AP373" s="8" t="str">
        <f>IF(C373="","",IF(AND(OR([1]Consulta!$C$29="",A373=[1]Consulta!$C$29),OR([1]Consulta!$E$29="",B373=[1]Consulta!$E$29),OR([1]Consulta!$G$29="",D373=[1]Consulta!$G$29,R373=[1]Consulta!$G$29)),ROW()-1,""))</f>
        <v/>
      </c>
    </row>
    <row r="374" spans="1:42" ht="1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 t="str">
        <f t="shared" si="45"/>
        <v/>
      </c>
      <c r="AG374" s="7" t="str">
        <f t="shared" si="53"/>
        <v/>
      </c>
      <c r="AH374" s="7" t="str">
        <f t="shared" si="46"/>
        <v/>
      </c>
      <c r="AI374" s="7" t="str">
        <f t="shared" si="47"/>
        <v/>
      </c>
      <c r="AJ374" s="7" t="str">
        <f t="shared" si="48"/>
        <v/>
      </c>
      <c r="AK374" s="7" t="str">
        <f t="shared" si="49"/>
        <v/>
      </c>
      <c r="AL374" s="7" t="str">
        <f t="shared" si="50"/>
        <v/>
      </c>
      <c r="AM374" s="7" t="str">
        <f t="shared" si="51"/>
        <v/>
      </c>
      <c r="AN374" s="8" t="str">
        <f>IF(C374="","",COUNTIF($C$2:C374,C374))</f>
        <v/>
      </c>
      <c r="AO374" s="8" t="str">
        <f t="shared" si="52"/>
        <v/>
      </c>
      <c r="AP374" s="8" t="str">
        <f>IF(C374="","",IF(AND(OR([1]Consulta!$C$29="",A374=[1]Consulta!$C$29),OR([1]Consulta!$E$29="",B374=[1]Consulta!$E$29),OR([1]Consulta!$G$29="",D374=[1]Consulta!$G$29,R374=[1]Consulta!$G$29)),ROW()-1,""))</f>
        <v/>
      </c>
    </row>
    <row r="375" spans="1:42" ht="1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 t="str">
        <f t="shared" si="45"/>
        <v/>
      </c>
      <c r="AG375" s="7" t="str">
        <f t="shared" si="53"/>
        <v/>
      </c>
      <c r="AH375" s="7" t="str">
        <f t="shared" si="46"/>
        <v/>
      </c>
      <c r="AI375" s="7" t="str">
        <f t="shared" si="47"/>
        <v/>
      </c>
      <c r="AJ375" s="7" t="str">
        <f t="shared" si="48"/>
        <v/>
      </c>
      <c r="AK375" s="7" t="str">
        <f t="shared" si="49"/>
        <v/>
      </c>
      <c r="AL375" s="7" t="str">
        <f t="shared" si="50"/>
        <v/>
      </c>
      <c r="AM375" s="7" t="str">
        <f t="shared" si="51"/>
        <v/>
      </c>
      <c r="AN375" s="8" t="str">
        <f>IF(C375="","",COUNTIF($C$2:C375,C375))</f>
        <v/>
      </c>
      <c r="AO375" s="8" t="str">
        <f t="shared" si="52"/>
        <v/>
      </c>
      <c r="AP375" s="8" t="str">
        <f>IF(C375="","",IF(AND(OR([1]Consulta!$C$29="",A375=[1]Consulta!$C$29),OR([1]Consulta!$E$29="",B375=[1]Consulta!$E$29),OR([1]Consulta!$G$29="",D375=[1]Consulta!$G$29,R375=[1]Consulta!$G$29)),ROW()-1,""))</f>
        <v/>
      </c>
    </row>
    <row r="376" spans="1:42" ht="1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 t="str">
        <f t="shared" si="45"/>
        <v/>
      </c>
      <c r="AG376" s="7" t="str">
        <f t="shared" si="53"/>
        <v/>
      </c>
      <c r="AH376" s="7" t="str">
        <f t="shared" si="46"/>
        <v/>
      </c>
      <c r="AI376" s="7" t="str">
        <f t="shared" si="47"/>
        <v/>
      </c>
      <c r="AJ376" s="7" t="str">
        <f t="shared" si="48"/>
        <v/>
      </c>
      <c r="AK376" s="7" t="str">
        <f t="shared" si="49"/>
        <v/>
      </c>
      <c r="AL376" s="7" t="str">
        <f t="shared" si="50"/>
        <v/>
      </c>
      <c r="AM376" s="7" t="str">
        <f t="shared" si="51"/>
        <v/>
      </c>
      <c r="AN376" s="8" t="str">
        <f>IF(C376="","",COUNTIF($C$2:C376,C376))</f>
        <v/>
      </c>
      <c r="AO376" s="8" t="str">
        <f t="shared" si="52"/>
        <v/>
      </c>
      <c r="AP376" s="8" t="str">
        <f>IF(C376="","",IF(AND(OR([1]Consulta!$C$29="",A376=[1]Consulta!$C$29),OR([1]Consulta!$E$29="",B376=[1]Consulta!$E$29),OR([1]Consulta!$G$29="",D376=[1]Consulta!$G$29,R376=[1]Consulta!$G$29)),ROW()-1,""))</f>
        <v/>
      </c>
    </row>
    <row r="377" spans="1:42" ht="1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 t="str">
        <f t="shared" si="45"/>
        <v/>
      </c>
      <c r="AG377" s="7" t="str">
        <f t="shared" si="53"/>
        <v/>
      </c>
      <c r="AH377" s="7" t="str">
        <f t="shared" si="46"/>
        <v/>
      </c>
      <c r="AI377" s="7" t="str">
        <f t="shared" si="47"/>
        <v/>
      </c>
      <c r="AJ377" s="7" t="str">
        <f t="shared" si="48"/>
        <v/>
      </c>
      <c r="AK377" s="7" t="str">
        <f t="shared" si="49"/>
        <v/>
      </c>
      <c r="AL377" s="7" t="str">
        <f t="shared" si="50"/>
        <v/>
      </c>
      <c r="AM377" s="7" t="str">
        <f t="shared" si="51"/>
        <v/>
      </c>
      <c r="AN377" s="8" t="str">
        <f>IF(C377="","",COUNTIF($C$2:C377,C377))</f>
        <v/>
      </c>
      <c r="AO377" s="8" t="str">
        <f t="shared" si="52"/>
        <v/>
      </c>
      <c r="AP377" s="8" t="str">
        <f>IF(C377="","",IF(AND(OR([1]Consulta!$C$29="",A377=[1]Consulta!$C$29),OR([1]Consulta!$E$29="",B377=[1]Consulta!$E$29),OR([1]Consulta!$G$29="",D377=[1]Consulta!$G$29,R377=[1]Consulta!$G$29)),ROW()-1,""))</f>
        <v/>
      </c>
    </row>
    <row r="378" spans="1:42" ht="1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 t="str">
        <f t="shared" si="45"/>
        <v/>
      </c>
      <c r="AG378" s="7" t="str">
        <f t="shared" si="53"/>
        <v/>
      </c>
      <c r="AH378" s="7" t="str">
        <f t="shared" si="46"/>
        <v/>
      </c>
      <c r="AI378" s="7" t="str">
        <f t="shared" si="47"/>
        <v/>
      </c>
      <c r="AJ378" s="7" t="str">
        <f t="shared" si="48"/>
        <v/>
      </c>
      <c r="AK378" s="7" t="str">
        <f t="shared" si="49"/>
        <v/>
      </c>
      <c r="AL378" s="7" t="str">
        <f t="shared" si="50"/>
        <v/>
      </c>
      <c r="AM378" s="7" t="str">
        <f t="shared" si="51"/>
        <v/>
      </c>
      <c r="AN378" s="8" t="str">
        <f>IF(C378="","",COUNTIF($C$2:C378,C378))</f>
        <v/>
      </c>
      <c r="AO378" s="8" t="str">
        <f t="shared" si="52"/>
        <v/>
      </c>
      <c r="AP378" s="8" t="str">
        <f>IF(C378="","",IF(AND(OR([1]Consulta!$C$29="",A378=[1]Consulta!$C$29),OR([1]Consulta!$E$29="",B378=[1]Consulta!$E$29),OR([1]Consulta!$G$29="",D378=[1]Consulta!$G$29,R378=[1]Consulta!$G$29)),ROW()-1,""))</f>
        <v/>
      </c>
    </row>
    <row r="379" spans="1:42" ht="1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 t="str">
        <f t="shared" si="45"/>
        <v/>
      </c>
      <c r="AG379" s="7" t="str">
        <f t="shared" si="53"/>
        <v/>
      </c>
      <c r="AH379" s="7" t="str">
        <f t="shared" si="46"/>
        <v/>
      </c>
      <c r="AI379" s="7" t="str">
        <f t="shared" si="47"/>
        <v/>
      </c>
      <c r="AJ379" s="7" t="str">
        <f t="shared" si="48"/>
        <v/>
      </c>
      <c r="AK379" s="7" t="str">
        <f t="shared" si="49"/>
        <v/>
      </c>
      <c r="AL379" s="7" t="str">
        <f t="shared" si="50"/>
        <v/>
      </c>
      <c r="AM379" s="7" t="str">
        <f t="shared" si="51"/>
        <v/>
      </c>
      <c r="AN379" s="8" t="str">
        <f>IF(C379="","",COUNTIF($C$2:C379,C379))</f>
        <v/>
      </c>
      <c r="AO379" s="8" t="str">
        <f t="shared" si="52"/>
        <v/>
      </c>
      <c r="AP379" s="8" t="str">
        <f>IF(C379="","",IF(AND(OR([1]Consulta!$C$29="",A379=[1]Consulta!$C$29),OR([1]Consulta!$E$29="",B379=[1]Consulta!$E$29),OR([1]Consulta!$G$29="",D379=[1]Consulta!$G$29,R379=[1]Consulta!$G$29)),ROW()-1,""))</f>
        <v/>
      </c>
    </row>
    <row r="380" spans="1:42" ht="1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 t="str">
        <f t="shared" si="45"/>
        <v/>
      </c>
      <c r="AG380" s="7" t="str">
        <f t="shared" si="53"/>
        <v/>
      </c>
      <c r="AH380" s="7" t="str">
        <f t="shared" si="46"/>
        <v/>
      </c>
      <c r="AI380" s="7" t="str">
        <f t="shared" si="47"/>
        <v/>
      </c>
      <c r="AJ380" s="7" t="str">
        <f t="shared" si="48"/>
        <v/>
      </c>
      <c r="AK380" s="7" t="str">
        <f t="shared" si="49"/>
        <v/>
      </c>
      <c r="AL380" s="7" t="str">
        <f t="shared" si="50"/>
        <v/>
      </c>
      <c r="AM380" s="7" t="str">
        <f t="shared" si="51"/>
        <v/>
      </c>
      <c r="AN380" s="8" t="str">
        <f>IF(C380="","",COUNTIF($C$2:C380,C380))</f>
        <v/>
      </c>
      <c r="AO380" s="8" t="str">
        <f t="shared" si="52"/>
        <v/>
      </c>
      <c r="AP380" s="8" t="str">
        <f>IF(C380="","",IF(AND(OR([1]Consulta!$C$29="",A380=[1]Consulta!$C$29),OR([1]Consulta!$E$29="",B380=[1]Consulta!$E$29),OR([1]Consulta!$G$29="",D380=[1]Consulta!$G$29,R380=[1]Consulta!$G$29)),ROW()-1,""))</f>
        <v/>
      </c>
    </row>
    <row r="381" spans="1:42" ht="1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 t="str">
        <f t="shared" si="45"/>
        <v/>
      </c>
      <c r="AG381" s="7" t="str">
        <f t="shared" si="53"/>
        <v/>
      </c>
      <c r="AH381" s="7" t="str">
        <f t="shared" si="46"/>
        <v/>
      </c>
      <c r="AI381" s="7" t="str">
        <f t="shared" si="47"/>
        <v/>
      </c>
      <c r="AJ381" s="7" t="str">
        <f t="shared" si="48"/>
        <v/>
      </c>
      <c r="AK381" s="7" t="str">
        <f t="shared" si="49"/>
        <v/>
      </c>
      <c r="AL381" s="7" t="str">
        <f t="shared" si="50"/>
        <v/>
      </c>
      <c r="AM381" s="7" t="str">
        <f t="shared" si="51"/>
        <v/>
      </c>
      <c r="AN381" s="8" t="str">
        <f>IF(C381="","",COUNTIF($C$2:C381,C381))</f>
        <v/>
      </c>
      <c r="AO381" s="8" t="str">
        <f t="shared" si="52"/>
        <v/>
      </c>
      <c r="AP381" s="8" t="str">
        <f>IF(C381="","",IF(AND(OR([1]Consulta!$C$29="",A381=[1]Consulta!$C$29),OR([1]Consulta!$E$29="",B381=[1]Consulta!$E$29),OR([1]Consulta!$G$29="",D381=[1]Consulta!$G$29,R381=[1]Consulta!$G$29)),ROW()-1,""))</f>
        <v/>
      </c>
    </row>
    <row r="382" spans="1:42" ht="1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 t="str">
        <f t="shared" si="45"/>
        <v/>
      </c>
      <c r="AG382" s="7" t="str">
        <f t="shared" si="53"/>
        <v/>
      </c>
      <c r="AH382" s="7" t="str">
        <f t="shared" si="46"/>
        <v/>
      </c>
      <c r="AI382" s="7" t="str">
        <f t="shared" si="47"/>
        <v/>
      </c>
      <c r="AJ382" s="7" t="str">
        <f t="shared" si="48"/>
        <v/>
      </c>
      <c r="AK382" s="7" t="str">
        <f t="shared" si="49"/>
        <v/>
      </c>
      <c r="AL382" s="7" t="str">
        <f t="shared" si="50"/>
        <v/>
      </c>
      <c r="AM382" s="7" t="str">
        <f t="shared" si="51"/>
        <v/>
      </c>
      <c r="AN382" s="8" t="str">
        <f>IF(C382="","",COUNTIF($C$2:C382,C382))</f>
        <v/>
      </c>
      <c r="AO382" s="8" t="str">
        <f t="shared" si="52"/>
        <v/>
      </c>
      <c r="AP382" s="8" t="str">
        <f>IF(C382="","",IF(AND(OR([1]Consulta!$C$29="",A382=[1]Consulta!$C$29),OR([1]Consulta!$E$29="",B382=[1]Consulta!$E$29),OR([1]Consulta!$G$29="",D382=[1]Consulta!$G$29,R382=[1]Consulta!$G$29)),ROW()-1,""))</f>
        <v/>
      </c>
    </row>
    <row r="383" spans="1:42" ht="1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 t="str">
        <f t="shared" si="45"/>
        <v/>
      </c>
      <c r="AG383" s="7" t="str">
        <f t="shared" si="53"/>
        <v/>
      </c>
      <c r="AH383" s="7" t="str">
        <f t="shared" si="46"/>
        <v/>
      </c>
      <c r="AI383" s="7" t="str">
        <f t="shared" si="47"/>
        <v/>
      </c>
      <c r="AJ383" s="7" t="str">
        <f t="shared" si="48"/>
        <v/>
      </c>
      <c r="AK383" s="7" t="str">
        <f t="shared" si="49"/>
        <v/>
      </c>
      <c r="AL383" s="7" t="str">
        <f t="shared" si="50"/>
        <v/>
      </c>
      <c r="AM383" s="7" t="str">
        <f t="shared" si="51"/>
        <v/>
      </c>
      <c r="AN383" s="8" t="str">
        <f>IF(C383="","",COUNTIF($C$2:C383,C383))</f>
        <v/>
      </c>
      <c r="AO383" s="8" t="str">
        <f t="shared" si="52"/>
        <v/>
      </c>
      <c r="AP383" s="8" t="str">
        <f>IF(C383="","",IF(AND(OR([1]Consulta!$C$29="",A383=[1]Consulta!$C$29),OR([1]Consulta!$E$29="",B383=[1]Consulta!$E$29),OR([1]Consulta!$G$29="",D383=[1]Consulta!$G$29,R383=[1]Consulta!$G$29)),ROW()-1,""))</f>
        <v/>
      </c>
    </row>
    <row r="384" spans="1:42" ht="1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 t="str">
        <f t="shared" si="45"/>
        <v/>
      </c>
      <c r="AG384" s="7" t="str">
        <f t="shared" si="53"/>
        <v/>
      </c>
      <c r="AH384" s="7" t="str">
        <f t="shared" si="46"/>
        <v/>
      </c>
      <c r="AI384" s="7" t="str">
        <f t="shared" si="47"/>
        <v/>
      </c>
      <c r="AJ384" s="7" t="str">
        <f t="shared" si="48"/>
        <v/>
      </c>
      <c r="AK384" s="7" t="str">
        <f t="shared" si="49"/>
        <v/>
      </c>
      <c r="AL384" s="7" t="str">
        <f t="shared" si="50"/>
        <v/>
      </c>
      <c r="AM384" s="7" t="str">
        <f t="shared" si="51"/>
        <v/>
      </c>
      <c r="AN384" s="8" t="str">
        <f>IF(C384="","",COUNTIF($C$2:C384,C384))</f>
        <v/>
      </c>
      <c r="AO384" s="8" t="str">
        <f t="shared" si="52"/>
        <v/>
      </c>
      <c r="AP384" s="8" t="str">
        <f>IF(C384="","",IF(AND(OR([1]Consulta!$C$29="",A384=[1]Consulta!$C$29),OR([1]Consulta!$E$29="",B384=[1]Consulta!$E$29),OR([1]Consulta!$G$29="",D384=[1]Consulta!$G$29,R384=[1]Consulta!$G$29)),ROW()-1,""))</f>
        <v/>
      </c>
    </row>
    <row r="385" spans="1:42" ht="1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 t="str">
        <f t="shared" si="45"/>
        <v/>
      </c>
      <c r="AG385" s="7" t="str">
        <f t="shared" si="53"/>
        <v/>
      </c>
      <c r="AH385" s="7" t="str">
        <f t="shared" si="46"/>
        <v/>
      </c>
      <c r="AI385" s="7" t="str">
        <f t="shared" si="47"/>
        <v/>
      </c>
      <c r="AJ385" s="7" t="str">
        <f t="shared" si="48"/>
        <v/>
      </c>
      <c r="AK385" s="7" t="str">
        <f t="shared" si="49"/>
        <v/>
      </c>
      <c r="AL385" s="7" t="str">
        <f t="shared" si="50"/>
        <v/>
      </c>
      <c r="AM385" s="7" t="str">
        <f t="shared" si="51"/>
        <v/>
      </c>
      <c r="AN385" s="8" t="str">
        <f>IF(C385="","",COUNTIF($C$2:C385,C385))</f>
        <v/>
      </c>
      <c r="AO385" s="8" t="str">
        <f t="shared" si="52"/>
        <v/>
      </c>
      <c r="AP385" s="8" t="str">
        <f>IF(C385="","",IF(AND(OR([1]Consulta!$C$29="",A385=[1]Consulta!$C$29),OR([1]Consulta!$E$29="",B385=[1]Consulta!$E$29),OR([1]Consulta!$G$29="",D385=[1]Consulta!$G$29,R385=[1]Consulta!$G$29)),ROW()-1,""))</f>
        <v/>
      </c>
    </row>
    <row r="386" spans="1:42" ht="1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 t="str">
        <f t="shared" ref="AF386:AF449" si="54">IF(C386="","",IF(AND(ISNUMBER(K386),ISNUMBER(L386)),K386-L386,""))</f>
        <v/>
      </c>
      <c r="AG386" s="7" t="str">
        <f t="shared" si="53"/>
        <v/>
      </c>
      <c r="AH386" s="7" t="str">
        <f t="shared" ref="AH386:AH449" si="55">IF(C386="","",IF(AND(ISNUMBER(Y386),ISNUMBER(Z386)),Y386-Z386,""))</f>
        <v/>
      </c>
      <c r="AI386" s="7" t="str">
        <f t="shared" ref="AI386:AI449" si="56">IF(C386="","",IF(AH386="","N/A",IF(AH386&lt;0,"ALARMA","OK")))</f>
        <v/>
      </c>
      <c r="AJ386" s="7" t="str">
        <f t="shared" ref="AJ386:AJ449" si="57">IF(C386="","",IF(ISNUMBER(M386),IF(M386&gt;0,"CON ERRORES","OK"),"N/A"))</f>
        <v/>
      </c>
      <c r="AK386" s="7" t="str">
        <f t="shared" ref="AK386:AK449" si="58">IF(C386="","",IF(ISNUMBER(AA386),IF(AA386&gt;0,"CON ERRORES","OK"),"N/A"))</f>
        <v/>
      </c>
      <c r="AL386" s="7" t="str">
        <f t="shared" ref="AL386:AL449" si="59">IF(C386="","",IF(OR(AG386="ALARMA",AI386="ALARMA",AJ386="CON ERRORES",AK386="CON ERRORES"),"REVISAR","OK"))</f>
        <v/>
      </c>
      <c r="AM386" s="7" t="str">
        <f t="shared" ref="AM386:AM449" si="60">IF(C386="","",IF(ISNUMBER(Q386),Q386,IF(ISNUMBER(AE386),AE386,"Ver detalle")))</f>
        <v/>
      </c>
      <c r="AN386" s="8" t="str">
        <f>IF(C386="","",COUNTIF($C$2:C386,C386))</f>
        <v/>
      </c>
      <c r="AO386" s="8" t="str">
        <f t="shared" ref="AO386:AO449" si="61">IF(C386="","",C386&amp;"|"&amp;AN386)</f>
        <v/>
      </c>
      <c r="AP386" s="8" t="str">
        <f>IF(C386="","",IF(AND(OR([1]Consulta!$C$29="",A386=[1]Consulta!$C$29),OR([1]Consulta!$E$29="",B386=[1]Consulta!$E$29),OR([1]Consulta!$G$29="",D386=[1]Consulta!$G$29,R386=[1]Consulta!$G$29)),ROW()-1,""))</f>
        <v/>
      </c>
    </row>
    <row r="387" spans="1:42" ht="1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 t="str">
        <f t="shared" si="54"/>
        <v/>
      </c>
      <c r="AG387" s="7" t="str">
        <f t="shared" ref="AG387:AG450" si="62">IF(C387="","",IF(AF387="","N/A",IF(AF387&lt;0,"ALARMA","OK")))</f>
        <v/>
      </c>
      <c r="AH387" s="7" t="str">
        <f t="shared" si="55"/>
        <v/>
      </c>
      <c r="AI387" s="7" t="str">
        <f t="shared" si="56"/>
        <v/>
      </c>
      <c r="AJ387" s="7" t="str">
        <f t="shared" si="57"/>
        <v/>
      </c>
      <c r="AK387" s="7" t="str">
        <f t="shared" si="58"/>
        <v/>
      </c>
      <c r="AL387" s="7" t="str">
        <f t="shared" si="59"/>
        <v/>
      </c>
      <c r="AM387" s="7" t="str">
        <f t="shared" si="60"/>
        <v/>
      </c>
      <c r="AN387" s="8" t="str">
        <f>IF(C387="","",COUNTIF($C$2:C387,C387))</f>
        <v/>
      </c>
      <c r="AO387" s="8" t="str">
        <f t="shared" si="61"/>
        <v/>
      </c>
      <c r="AP387" s="8" t="str">
        <f>IF(C387="","",IF(AND(OR([1]Consulta!$C$29="",A387=[1]Consulta!$C$29),OR([1]Consulta!$E$29="",B387=[1]Consulta!$E$29),OR([1]Consulta!$G$29="",D387=[1]Consulta!$G$29,R387=[1]Consulta!$G$29)),ROW()-1,""))</f>
        <v/>
      </c>
    </row>
    <row r="388" spans="1:42" ht="1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 t="str">
        <f t="shared" si="54"/>
        <v/>
      </c>
      <c r="AG388" s="7" t="str">
        <f t="shared" si="62"/>
        <v/>
      </c>
      <c r="AH388" s="7" t="str">
        <f t="shared" si="55"/>
        <v/>
      </c>
      <c r="AI388" s="7" t="str">
        <f t="shared" si="56"/>
        <v/>
      </c>
      <c r="AJ388" s="7" t="str">
        <f t="shared" si="57"/>
        <v/>
      </c>
      <c r="AK388" s="7" t="str">
        <f t="shared" si="58"/>
        <v/>
      </c>
      <c r="AL388" s="7" t="str">
        <f t="shared" si="59"/>
        <v/>
      </c>
      <c r="AM388" s="7" t="str">
        <f t="shared" si="60"/>
        <v/>
      </c>
      <c r="AN388" s="8" t="str">
        <f>IF(C388="","",COUNTIF($C$2:C388,C388))</f>
        <v/>
      </c>
      <c r="AO388" s="8" t="str">
        <f t="shared" si="61"/>
        <v/>
      </c>
      <c r="AP388" s="8" t="str">
        <f>IF(C388="","",IF(AND(OR([1]Consulta!$C$29="",A388=[1]Consulta!$C$29),OR([1]Consulta!$E$29="",B388=[1]Consulta!$E$29),OR([1]Consulta!$G$29="",D388=[1]Consulta!$G$29,R388=[1]Consulta!$G$29)),ROW()-1,""))</f>
        <v/>
      </c>
    </row>
    <row r="389" spans="1:42" ht="1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 t="str">
        <f t="shared" si="54"/>
        <v/>
      </c>
      <c r="AG389" s="7" t="str">
        <f t="shared" si="62"/>
        <v/>
      </c>
      <c r="AH389" s="7" t="str">
        <f t="shared" si="55"/>
        <v/>
      </c>
      <c r="AI389" s="7" t="str">
        <f t="shared" si="56"/>
        <v/>
      </c>
      <c r="AJ389" s="7" t="str">
        <f t="shared" si="57"/>
        <v/>
      </c>
      <c r="AK389" s="7" t="str">
        <f t="shared" si="58"/>
        <v/>
      </c>
      <c r="AL389" s="7" t="str">
        <f t="shared" si="59"/>
        <v/>
      </c>
      <c r="AM389" s="7" t="str">
        <f t="shared" si="60"/>
        <v/>
      </c>
      <c r="AN389" s="8" t="str">
        <f>IF(C389="","",COUNTIF($C$2:C389,C389))</f>
        <v/>
      </c>
      <c r="AO389" s="8" t="str">
        <f t="shared" si="61"/>
        <v/>
      </c>
      <c r="AP389" s="8" t="str">
        <f>IF(C389="","",IF(AND(OR([1]Consulta!$C$29="",A389=[1]Consulta!$C$29),OR([1]Consulta!$E$29="",B389=[1]Consulta!$E$29),OR([1]Consulta!$G$29="",D389=[1]Consulta!$G$29,R389=[1]Consulta!$G$29)),ROW()-1,""))</f>
        <v/>
      </c>
    </row>
    <row r="390" spans="1:42" ht="1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 t="str">
        <f t="shared" si="54"/>
        <v/>
      </c>
      <c r="AG390" s="7" t="str">
        <f t="shared" si="62"/>
        <v/>
      </c>
      <c r="AH390" s="7" t="str">
        <f t="shared" si="55"/>
        <v/>
      </c>
      <c r="AI390" s="7" t="str">
        <f t="shared" si="56"/>
        <v/>
      </c>
      <c r="AJ390" s="7" t="str">
        <f t="shared" si="57"/>
        <v/>
      </c>
      <c r="AK390" s="7" t="str">
        <f t="shared" si="58"/>
        <v/>
      </c>
      <c r="AL390" s="7" t="str">
        <f t="shared" si="59"/>
        <v/>
      </c>
      <c r="AM390" s="7" t="str">
        <f t="shared" si="60"/>
        <v/>
      </c>
      <c r="AN390" s="8" t="str">
        <f>IF(C390="","",COUNTIF($C$2:C390,C390))</f>
        <v/>
      </c>
      <c r="AO390" s="8" t="str">
        <f t="shared" si="61"/>
        <v/>
      </c>
      <c r="AP390" s="8" t="str">
        <f>IF(C390="","",IF(AND(OR([1]Consulta!$C$29="",A390=[1]Consulta!$C$29),OR([1]Consulta!$E$29="",B390=[1]Consulta!$E$29),OR([1]Consulta!$G$29="",D390=[1]Consulta!$G$29,R390=[1]Consulta!$G$29)),ROW()-1,""))</f>
        <v/>
      </c>
    </row>
    <row r="391" spans="1:42" ht="1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 t="str">
        <f t="shared" si="54"/>
        <v/>
      </c>
      <c r="AG391" s="7" t="str">
        <f t="shared" si="62"/>
        <v/>
      </c>
      <c r="AH391" s="7" t="str">
        <f t="shared" si="55"/>
        <v/>
      </c>
      <c r="AI391" s="7" t="str">
        <f t="shared" si="56"/>
        <v/>
      </c>
      <c r="AJ391" s="7" t="str">
        <f t="shared" si="57"/>
        <v/>
      </c>
      <c r="AK391" s="7" t="str">
        <f t="shared" si="58"/>
        <v/>
      </c>
      <c r="AL391" s="7" t="str">
        <f t="shared" si="59"/>
        <v/>
      </c>
      <c r="AM391" s="7" t="str">
        <f t="shared" si="60"/>
        <v/>
      </c>
      <c r="AN391" s="8" t="str">
        <f>IF(C391="","",COUNTIF($C$2:C391,C391))</f>
        <v/>
      </c>
      <c r="AO391" s="8" t="str">
        <f t="shared" si="61"/>
        <v/>
      </c>
      <c r="AP391" s="8" t="str">
        <f>IF(C391="","",IF(AND(OR([1]Consulta!$C$29="",A391=[1]Consulta!$C$29),OR([1]Consulta!$E$29="",B391=[1]Consulta!$E$29),OR([1]Consulta!$G$29="",D391=[1]Consulta!$G$29,R391=[1]Consulta!$G$29)),ROW()-1,""))</f>
        <v/>
      </c>
    </row>
    <row r="392" spans="1:42" ht="1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 t="str">
        <f t="shared" si="54"/>
        <v/>
      </c>
      <c r="AG392" s="7" t="str">
        <f t="shared" si="62"/>
        <v/>
      </c>
      <c r="AH392" s="7" t="str">
        <f t="shared" si="55"/>
        <v/>
      </c>
      <c r="AI392" s="7" t="str">
        <f t="shared" si="56"/>
        <v/>
      </c>
      <c r="AJ392" s="7" t="str">
        <f t="shared" si="57"/>
        <v/>
      </c>
      <c r="AK392" s="7" t="str">
        <f t="shared" si="58"/>
        <v/>
      </c>
      <c r="AL392" s="7" t="str">
        <f t="shared" si="59"/>
        <v/>
      </c>
      <c r="AM392" s="7" t="str">
        <f t="shared" si="60"/>
        <v/>
      </c>
      <c r="AN392" s="8" t="str">
        <f>IF(C392="","",COUNTIF($C$2:C392,C392))</f>
        <v/>
      </c>
      <c r="AO392" s="8" t="str">
        <f t="shared" si="61"/>
        <v/>
      </c>
      <c r="AP392" s="8" t="str">
        <f>IF(C392="","",IF(AND(OR([1]Consulta!$C$29="",A392=[1]Consulta!$C$29),OR([1]Consulta!$E$29="",B392=[1]Consulta!$E$29),OR([1]Consulta!$G$29="",D392=[1]Consulta!$G$29,R392=[1]Consulta!$G$29)),ROW()-1,""))</f>
        <v/>
      </c>
    </row>
    <row r="393" spans="1:42" ht="1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 t="str">
        <f t="shared" si="54"/>
        <v/>
      </c>
      <c r="AG393" s="7" t="str">
        <f t="shared" si="62"/>
        <v/>
      </c>
      <c r="AH393" s="7" t="str">
        <f t="shared" si="55"/>
        <v/>
      </c>
      <c r="AI393" s="7" t="str">
        <f t="shared" si="56"/>
        <v/>
      </c>
      <c r="AJ393" s="7" t="str">
        <f t="shared" si="57"/>
        <v/>
      </c>
      <c r="AK393" s="7" t="str">
        <f t="shared" si="58"/>
        <v/>
      </c>
      <c r="AL393" s="7" t="str">
        <f t="shared" si="59"/>
        <v/>
      </c>
      <c r="AM393" s="7" t="str">
        <f t="shared" si="60"/>
        <v/>
      </c>
      <c r="AN393" s="8" t="str">
        <f>IF(C393="","",COUNTIF($C$2:C393,C393))</f>
        <v/>
      </c>
      <c r="AO393" s="8" t="str">
        <f t="shared" si="61"/>
        <v/>
      </c>
      <c r="AP393" s="8" t="str">
        <f>IF(C393="","",IF(AND(OR([1]Consulta!$C$29="",A393=[1]Consulta!$C$29),OR([1]Consulta!$E$29="",B393=[1]Consulta!$E$29),OR([1]Consulta!$G$29="",D393=[1]Consulta!$G$29,R393=[1]Consulta!$G$29)),ROW()-1,""))</f>
        <v/>
      </c>
    </row>
    <row r="394" spans="1:42" ht="1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 t="str">
        <f t="shared" si="54"/>
        <v/>
      </c>
      <c r="AG394" s="7" t="str">
        <f t="shared" si="62"/>
        <v/>
      </c>
      <c r="AH394" s="7" t="str">
        <f t="shared" si="55"/>
        <v/>
      </c>
      <c r="AI394" s="7" t="str">
        <f t="shared" si="56"/>
        <v/>
      </c>
      <c r="AJ394" s="7" t="str">
        <f t="shared" si="57"/>
        <v/>
      </c>
      <c r="AK394" s="7" t="str">
        <f t="shared" si="58"/>
        <v/>
      </c>
      <c r="AL394" s="7" t="str">
        <f t="shared" si="59"/>
        <v/>
      </c>
      <c r="AM394" s="7" t="str">
        <f t="shared" si="60"/>
        <v/>
      </c>
      <c r="AN394" s="8" t="str">
        <f>IF(C394="","",COUNTIF($C$2:C394,C394))</f>
        <v/>
      </c>
      <c r="AO394" s="8" t="str">
        <f t="shared" si="61"/>
        <v/>
      </c>
      <c r="AP394" s="8" t="str">
        <f>IF(C394="","",IF(AND(OR([1]Consulta!$C$29="",A394=[1]Consulta!$C$29),OR([1]Consulta!$E$29="",B394=[1]Consulta!$E$29),OR([1]Consulta!$G$29="",D394=[1]Consulta!$G$29,R394=[1]Consulta!$G$29)),ROW()-1,""))</f>
        <v/>
      </c>
    </row>
    <row r="395" spans="1:42" ht="1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 t="str">
        <f t="shared" si="54"/>
        <v/>
      </c>
      <c r="AG395" s="7" t="str">
        <f t="shared" si="62"/>
        <v/>
      </c>
      <c r="AH395" s="7" t="str">
        <f t="shared" si="55"/>
        <v/>
      </c>
      <c r="AI395" s="7" t="str">
        <f t="shared" si="56"/>
        <v/>
      </c>
      <c r="AJ395" s="7" t="str">
        <f t="shared" si="57"/>
        <v/>
      </c>
      <c r="AK395" s="7" t="str">
        <f t="shared" si="58"/>
        <v/>
      </c>
      <c r="AL395" s="7" t="str">
        <f t="shared" si="59"/>
        <v/>
      </c>
      <c r="AM395" s="7" t="str">
        <f t="shared" si="60"/>
        <v/>
      </c>
      <c r="AN395" s="8" t="str">
        <f>IF(C395="","",COUNTIF($C$2:C395,C395))</f>
        <v/>
      </c>
      <c r="AO395" s="8" t="str">
        <f t="shared" si="61"/>
        <v/>
      </c>
      <c r="AP395" s="8" t="str">
        <f>IF(C395="","",IF(AND(OR([1]Consulta!$C$29="",A395=[1]Consulta!$C$29),OR([1]Consulta!$E$29="",B395=[1]Consulta!$E$29),OR([1]Consulta!$G$29="",D395=[1]Consulta!$G$29,R395=[1]Consulta!$G$29)),ROW()-1,""))</f>
        <v/>
      </c>
    </row>
    <row r="396" spans="1:42" ht="1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 t="str">
        <f t="shared" si="54"/>
        <v/>
      </c>
      <c r="AG396" s="7" t="str">
        <f t="shared" si="62"/>
        <v/>
      </c>
      <c r="AH396" s="7" t="str">
        <f t="shared" si="55"/>
        <v/>
      </c>
      <c r="AI396" s="7" t="str">
        <f t="shared" si="56"/>
        <v/>
      </c>
      <c r="AJ396" s="7" t="str">
        <f t="shared" si="57"/>
        <v/>
      </c>
      <c r="AK396" s="7" t="str">
        <f t="shared" si="58"/>
        <v/>
      </c>
      <c r="AL396" s="7" t="str">
        <f t="shared" si="59"/>
        <v/>
      </c>
      <c r="AM396" s="7" t="str">
        <f t="shared" si="60"/>
        <v/>
      </c>
      <c r="AN396" s="8" t="str">
        <f>IF(C396="","",COUNTIF($C$2:C396,C396))</f>
        <v/>
      </c>
      <c r="AO396" s="8" t="str">
        <f t="shared" si="61"/>
        <v/>
      </c>
      <c r="AP396" s="8" t="str">
        <f>IF(C396="","",IF(AND(OR([1]Consulta!$C$29="",A396=[1]Consulta!$C$29),OR([1]Consulta!$E$29="",B396=[1]Consulta!$E$29),OR([1]Consulta!$G$29="",D396=[1]Consulta!$G$29,R396=[1]Consulta!$G$29)),ROW()-1,""))</f>
        <v/>
      </c>
    </row>
    <row r="397" spans="1:42" ht="1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 t="str">
        <f t="shared" si="54"/>
        <v/>
      </c>
      <c r="AG397" s="7" t="str">
        <f t="shared" si="62"/>
        <v/>
      </c>
      <c r="AH397" s="7" t="str">
        <f t="shared" si="55"/>
        <v/>
      </c>
      <c r="AI397" s="7" t="str">
        <f t="shared" si="56"/>
        <v/>
      </c>
      <c r="AJ397" s="7" t="str">
        <f t="shared" si="57"/>
        <v/>
      </c>
      <c r="AK397" s="7" t="str">
        <f t="shared" si="58"/>
        <v/>
      </c>
      <c r="AL397" s="7" t="str">
        <f t="shared" si="59"/>
        <v/>
      </c>
      <c r="AM397" s="7" t="str">
        <f t="shared" si="60"/>
        <v/>
      </c>
      <c r="AN397" s="8" t="str">
        <f>IF(C397="","",COUNTIF($C$2:C397,C397))</f>
        <v/>
      </c>
      <c r="AO397" s="8" t="str">
        <f t="shared" si="61"/>
        <v/>
      </c>
      <c r="AP397" s="8" t="str">
        <f>IF(C397="","",IF(AND(OR([1]Consulta!$C$29="",A397=[1]Consulta!$C$29),OR([1]Consulta!$E$29="",B397=[1]Consulta!$E$29),OR([1]Consulta!$G$29="",D397=[1]Consulta!$G$29,R397=[1]Consulta!$G$29)),ROW()-1,""))</f>
        <v/>
      </c>
    </row>
    <row r="398" spans="1:42" ht="1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 t="str">
        <f t="shared" si="54"/>
        <v/>
      </c>
      <c r="AG398" s="7" t="str">
        <f t="shared" si="62"/>
        <v/>
      </c>
      <c r="AH398" s="7" t="str">
        <f t="shared" si="55"/>
        <v/>
      </c>
      <c r="AI398" s="7" t="str">
        <f t="shared" si="56"/>
        <v/>
      </c>
      <c r="AJ398" s="7" t="str">
        <f t="shared" si="57"/>
        <v/>
      </c>
      <c r="AK398" s="7" t="str">
        <f t="shared" si="58"/>
        <v/>
      </c>
      <c r="AL398" s="7" t="str">
        <f t="shared" si="59"/>
        <v/>
      </c>
      <c r="AM398" s="7" t="str">
        <f t="shared" si="60"/>
        <v/>
      </c>
      <c r="AN398" s="8" t="str">
        <f>IF(C398="","",COUNTIF($C$2:C398,C398))</f>
        <v/>
      </c>
      <c r="AO398" s="8" t="str">
        <f t="shared" si="61"/>
        <v/>
      </c>
      <c r="AP398" s="8" t="str">
        <f>IF(C398="","",IF(AND(OR([1]Consulta!$C$29="",A398=[1]Consulta!$C$29),OR([1]Consulta!$E$29="",B398=[1]Consulta!$E$29),OR([1]Consulta!$G$29="",D398=[1]Consulta!$G$29,R398=[1]Consulta!$G$29)),ROW()-1,""))</f>
        <v/>
      </c>
    </row>
    <row r="399" spans="1:42" ht="1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 t="str">
        <f t="shared" si="54"/>
        <v/>
      </c>
      <c r="AG399" s="7" t="str">
        <f t="shared" si="62"/>
        <v/>
      </c>
      <c r="AH399" s="7" t="str">
        <f t="shared" si="55"/>
        <v/>
      </c>
      <c r="AI399" s="7" t="str">
        <f t="shared" si="56"/>
        <v/>
      </c>
      <c r="AJ399" s="7" t="str">
        <f t="shared" si="57"/>
        <v/>
      </c>
      <c r="AK399" s="7" t="str">
        <f t="shared" si="58"/>
        <v/>
      </c>
      <c r="AL399" s="7" t="str">
        <f t="shared" si="59"/>
        <v/>
      </c>
      <c r="AM399" s="7" t="str">
        <f t="shared" si="60"/>
        <v/>
      </c>
      <c r="AN399" s="8" t="str">
        <f>IF(C399="","",COUNTIF($C$2:C399,C399))</f>
        <v/>
      </c>
      <c r="AO399" s="8" t="str">
        <f t="shared" si="61"/>
        <v/>
      </c>
      <c r="AP399" s="8" t="str">
        <f>IF(C399="","",IF(AND(OR([1]Consulta!$C$29="",A399=[1]Consulta!$C$29),OR([1]Consulta!$E$29="",B399=[1]Consulta!$E$29),OR([1]Consulta!$G$29="",D399=[1]Consulta!$G$29,R399=[1]Consulta!$G$29)),ROW()-1,""))</f>
        <v/>
      </c>
    </row>
    <row r="400" spans="1:42" ht="1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 t="str">
        <f t="shared" si="54"/>
        <v/>
      </c>
      <c r="AG400" s="7" t="str">
        <f t="shared" si="62"/>
        <v/>
      </c>
      <c r="AH400" s="7" t="str">
        <f t="shared" si="55"/>
        <v/>
      </c>
      <c r="AI400" s="7" t="str">
        <f t="shared" si="56"/>
        <v/>
      </c>
      <c r="AJ400" s="7" t="str">
        <f t="shared" si="57"/>
        <v/>
      </c>
      <c r="AK400" s="7" t="str">
        <f t="shared" si="58"/>
        <v/>
      </c>
      <c r="AL400" s="7" t="str">
        <f t="shared" si="59"/>
        <v/>
      </c>
      <c r="AM400" s="7" t="str">
        <f t="shared" si="60"/>
        <v/>
      </c>
      <c r="AN400" s="8" t="str">
        <f>IF(C400="","",COUNTIF($C$2:C400,C400))</f>
        <v/>
      </c>
      <c r="AO400" s="8" t="str">
        <f t="shared" si="61"/>
        <v/>
      </c>
      <c r="AP400" s="8" t="str">
        <f>IF(C400="","",IF(AND(OR([1]Consulta!$C$29="",A400=[1]Consulta!$C$29),OR([1]Consulta!$E$29="",B400=[1]Consulta!$E$29),OR([1]Consulta!$G$29="",D400=[1]Consulta!$G$29,R400=[1]Consulta!$G$29)),ROW()-1,""))</f>
        <v/>
      </c>
    </row>
    <row r="401" spans="1:42" ht="1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 t="str">
        <f t="shared" si="54"/>
        <v/>
      </c>
      <c r="AG401" s="7" t="str">
        <f t="shared" si="62"/>
        <v/>
      </c>
      <c r="AH401" s="7" t="str">
        <f t="shared" si="55"/>
        <v/>
      </c>
      <c r="AI401" s="7" t="str">
        <f t="shared" si="56"/>
        <v/>
      </c>
      <c r="AJ401" s="7" t="str">
        <f t="shared" si="57"/>
        <v/>
      </c>
      <c r="AK401" s="7" t="str">
        <f t="shared" si="58"/>
        <v/>
      </c>
      <c r="AL401" s="7" t="str">
        <f t="shared" si="59"/>
        <v/>
      </c>
      <c r="AM401" s="7" t="str">
        <f t="shared" si="60"/>
        <v/>
      </c>
      <c r="AN401" s="8" t="str">
        <f>IF(C401="","",COUNTIF($C$2:C401,C401))</f>
        <v/>
      </c>
      <c r="AO401" s="8" t="str">
        <f t="shared" si="61"/>
        <v/>
      </c>
      <c r="AP401" s="8" t="str">
        <f>IF(C401="","",IF(AND(OR([1]Consulta!$C$29="",A401=[1]Consulta!$C$29),OR([1]Consulta!$E$29="",B401=[1]Consulta!$E$29),OR([1]Consulta!$G$29="",D401=[1]Consulta!$G$29,R401=[1]Consulta!$G$29)),ROW()-1,""))</f>
        <v/>
      </c>
    </row>
    <row r="402" spans="1:42" ht="1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 t="str">
        <f t="shared" si="54"/>
        <v/>
      </c>
      <c r="AG402" s="7" t="str">
        <f t="shared" si="62"/>
        <v/>
      </c>
      <c r="AH402" s="7" t="str">
        <f t="shared" si="55"/>
        <v/>
      </c>
      <c r="AI402" s="7" t="str">
        <f t="shared" si="56"/>
        <v/>
      </c>
      <c r="AJ402" s="7" t="str">
        <f t="shared" si="57"/>
        <v/>
      </c>
      <c r="AK402" s="7" t="str">
        <f t="shared" si="58"/>
        <v/>
      </c>
      <c r="AL402" s="7" t="str">
        <f t="shared" si="59"/>
        <v/>
      </c>
      <c r="AM402" s="7" t="str">
        <f t="shared" si="60"/>
        <v/>
      </c>
      <c r="AN402" s="8" t="str">
        <f>IF(C402="","",COUNTIF($C$2:C402,C402))</f>
        <v/>
      </c>
      <c r="AO402" s="8" t="str">
        <f t="shared" si="61"/>
        <v/>
      </c>
      <c r="AP402" s="8" t="str">
        <f>IF(C402="","",IF(AND(OR([1]Consulta!$C$29="",A402=[1]Consulta!$C$29),OR([1]Consulta!$E$29="",B402=[1]Consulta!$E$29),OR([1]Consulta!$G$29="",D402=[1]Consulta!$G$29,R402=[1]Consulta!$G$29)),ROW()-1,""))</f>
        <v/>
      </c>
    </row>
    <row r="403" spans="1:42" ht="1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 t="str">
        <f t="shared" si="54"/>
        <v/>
      </c>
      <c r="AG403" s="7" t="str">
        <f t="shared" si="62"/>
        <v/>
      </c>
      <c r="AH403" s="7" t="str">
        <f t="shared" si="55"/>
        <v/>
      </c>
      <c r="AI403" s="7" t="str">
        <f t="shared" si="56"/>
        <v/>
      </c>
      <c r="AJ403" s="7" t="str">
        <f t="shared" si="57"/>
        <v/>
      </c>
      <c r="AK403" s="7" t="str">
        <f t="shared" si="58"/>
        <v/>
      </c>
      <c r="AL403" s="7" t="str">
        <f t="shared" si="59"/>
        <v/>
      </c>
      <c r="AM403" s="7" t="str">
        <f t="shared" si="60"/>
        <v/>
      </c>
      <c r="AN403" s="8" t="str">
        <f>IF(C403="","",COUNTIF($C$2:C403,C403))</f>
        <v/>
      </c>
      <c r="AO403" s="8" t="str">
        <f t="shared" si="61"/>
        <v/>
      </c>
      <c r="AP403" s="8" t="str">
        <f>IF(C403="","",IF(AND(OR([1]Consulta!$C$29="",A403=[1]Consulta!$C$29),OR([1]Consulta!$E$29="",B403=[1]Consulta!$E$29),OR([1]Consulta!$G$29="",D403=[1]Consulta!$G$29,R403=[1]Consulta!$G$29)),ROW()-1,""))</f>
        <v/>
      </c>
    </row>
    <row r="404" spans="1:42" ht="1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 t="str">
        <f t="shared" si="54"/>
        <v/>
      </c>
      <c r="AG404" s="7" t="str">
        <f t="shared" si="62"/>
        <v/>
      </c>
      <c r="AH404" s="7" t="str">
        <f t="shared" si="55"/>
        <v/>
      </c>
      <c r="AI404" s="7" t="str">
        <f t="shared" si="56"/>
        <v/>
      </c>
      <c r="AJ404" s="7" t="str">
        <f t="shared" si="57"/>
        <v/>
      </c>
      <c r="AK404" s="7" t="str">
        <f t="shared" si="58"/>
        <v/>
      </c>
      <c r="AL404" s="7" t="str">
        <f t="shared" si="59"/>
        <v/>
      </c>
      <c r="AM404" s="7" t="str">
        <f t="shared" si="60"/>
        <v/>
      </c>
      <c r="AN404" s="8" t="str">
        <f>IF(C404="","",COUNTIF($C$2:C404,C404))</f>
        <v/>
      </c>
      <c r="AO404" s="8" t="str">
        <f t="shared" si="61"/>
        <v/>
      </c>
      <c r="AP404" s="8" t="str">
        <f>IF(C404="","",IF(AND(OR([1]Consulta!$C$29="",A404=[1]Consulta!$C$29),OR([1]Consulta!$E$29="",B404=[1]Consulta!$E$29),OR([1]Consulta!$G$29="",D404=[1]Consulta!$G$29,R404=[1]Consulta!$G$29)),ROW()-1,""))</f>
        <v/>
      </c>
    </row>
    <row r="405" spans="1:42" ht="1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 t="str">
        <f t="shared" si="54"/>
        <v/>
      </c>
      <c r="AG405" s="7" t="str">
        <f t="shared" si="62"/>
        <v/>
      </c>
      <c r="AH405" s="7" t="str">
        <f t="shared" si="55"/>
        <v/>
      </c>
      <c r="AI405" s="7" t="str">
        <f t="shared" si="56"/>
        <v/>
      </c>
      <c r="AJ405" s="7" t="str">
        <f t="shared" si="57"/>
        <v/>
      </c>
      <c r="AK405" s="7" t="str">
        <f t="shared" si="58"/>
        <v/>
      </c>
      <c r="AL405" s="7" t="str">
        <f t="shared" si="59"/>
        <v/>
      </c>
      <c r="AM405" s="7" t="str">
        <f t="shared" si="60"/>
        <v/>
      </c>
      <c r="AN405" s="8" t="str">
        <f>IF(C405="","",COUNTIF($C$2:C405,C405))</f>
        <v/>
      </c>
      <c r="AO405" s="8" t="str">
        <f t="shared" si="61"/>
        <v/>
      </c>
      <c r="AP405" s="8" t="str">
        <f>IF(C405="","",IF(AND(OR([1]Consulta!$C$29="",A405=[1]Consulta!$C$29),OR([1]Consulta!$E$29="",B405=[1]Consulta!$E$29),OR([1]Consulta!$G$29="",D405=[1]Consulta!$G$29,R405=[1]Consulta!$G$29)),ROW()-1,""))</f>
        <v/>
      </c>
    </row>
    <row r="406" spans="1:42" ht="1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 t="str">
        <f t="shared" si="54"/>
        <v/>
      </c>
      <c r="AG406" s="7" t="str">
        <f t="shared" si="62"/>
        <v/>
      </c>
      <c r="AH406" s="7" t="str">
        <f t="shared" si="55"/>
        <v/>
      </c>
      <c r="AI406" s="7" t="str">
        <f t="shared" si="56"/>
        <v/>
      </c>
      <c r="AJ406" s="7" t="str">
        <f t="shared" si="57"/>
        <v/>
      </c>
      <c r="AK406" s="7" t="str">
        <f t="shared" si="58"/>
        <v/>
      </c>
      <c r="AL406" s="7" t="str">
        <f t="shared" si="59"/>
        <v/>
      </c>
      <c r="AM406" s="7" t="str">
        <f t="shared" si="60"/>
        <v/>
      </c>
      <c r="AN406" s="8" t="str">
        <f>IF(C406="","",COUNTIF($C$2:C406,C406))</f>
        <v/>
      </c>
      <c r="AO406" s="8" t="str">
        <f t="shared" si="61"/>
        <v/>
      </c>
      <c r="AP406" s="8" t="str">
        <f>IF(C406="","",IF(AND(OR([1]Consulta!$C$29="",A406=[1]Consulta!$C$29),OR([1]Consulta!$E$29="",B406=[1]Consulta!$E$29),OR([1]Consulta!$G$29="",D406=[1]Consulta!$G$29,R406=[1]Consulta!$G$29)),ROW()-1,""))</f>
        <v/>
      </c>
    </row>
    <row r="407" spans="1:42" ht="1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 t="str">
        <f t="shared" si="54"/>
        <v/>
      </c>
      <c r="AG407" s="7" t="str">
        <f t="shared" si="62"/>
        <v/>
      </c>
      <c r="AH407" s="7" t="str">
        <f t="shared" si="55"/>
        <v/>
      </c>
      <c r="AI407" s="7" t="str">
        <f t="shared" si="56"/>
        <v/>
      </c>
      <c r="AJ407" s="7" t="str">
        <f t="shared" si="57"/>
        <v/>
      </c>
      <c r="AK407" s="7" t="str">
        <f t="shared" si="58"/>
        <v/>
      </c>
      <c r="AL407" s="7" t="str">
        <f t="shared" si="59"/>
        <v/>
      </c>
      <c r="AM407" s="7" t="str">
        <f t="shared" si="60"/>
        <v/>
      </c>
      <c r="AN407" s="8" t="str">
        <f>IF(C407="","",COUNTIF($C$2:C407,C407))</f>
        <v/>
      </c>
      <c r="AO407" s="8" t="str">
        <f t="shared" si="61"/>
        <v/>
      </c>
      <c r="AP407" s="8" t="str">
        <f>IF(C407="","",IF(AND(OR([1]Consulta!$C$29="",A407=[1]Consulta!$C$29),OR([1]Consulta!$E$29="",B407=[1]Consulta!$E$29),OR([1]Consulta!$G$29="",D407=[1]Consulta!$G$29,R407=[1]Consulta!$G$29)),ROW()-1,""))</f>
        <v/>
      </c>
    </row>
    <row r="408" spans="1:42" ht="1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 t="str">
        <f t="shared" si="54"/>
        <v/>
      </c>
      <c r="AG408" s="7" t="str">
        <f t="shared" si="62"/>
        <v/>
      </c>
      <c r="AH408" s="7" t="str">
        <f t="shared" si="55"/>
        <v/>
      </c>
      <c r="AI408" s="7" t="str">
        <f t="shared" si="56"/>
        <v/>
      </c>
      <c r="AJ408" s="7" t="str">
        <f t="shared" si="57"/>
        <v/>
      </c>
      <c r="AK408" s="7" t="str">
        <f t="shared" si="58"/>
        <v/>
      </c>
      <c r="AL408" s="7" t="str">
        <f t="shared" si="59"/>
        <v/>
      </c>
      <c r="AM408" s="7" t="str">
        <f t="shared" si="60"/>
        <v/>
      </c>
      <c r="AN408" s="8" t="str">
        <f>IF(C408="","",COUNTIF($C$2:C408,C408))</f>
        <v/>
      </c>
      <c r="AO408" s="8" t="str">
        <f t="shared" si="61"/>
        <v/>
      </c>
      <c r="AP408" s="8" t="str">
        <f>IF(C408="","",IF(AND(OR([1]Consulta!$C$29="",A408=[1]Consulta!$C$29),OR([1]Consulta!$E$29="",B408=[1]Consulta!$E$29),OR([1]Consulta!$G$29="",D408=[1]Consulta!$G$29,R408=[1]Consulta!$G$29)),ROW()-1,""))</f>
        <v/>
      </c>
    </row>
    <row r="409" spans="1:42" ht="1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 t="str">
        <f t="shared" si="54"/>
        <v/>
      </c>
      <c r="AG409" s="7" t="str">
        <f t="shared" si="62"/>
        <v/>
      </c>
      <c r="AH409" s="7" t="str">
        <f t="shared" si="55"/>
        <v/>
      </c>
      <c r="AI409" s="7" t="str">
        <f t="shared" si="56"/>
        <v/>
      </c>
      <c r="AJ409" s="7" t="str">
        <f t="shared" si="57"/>
        <v/>
      </c>
      <c r="AK409" s="7" t="str">
        <f t="shared" si="58"/>
        <v/>
      </c>
      <c r="AL409" s="7" t="str">
        <f t="shared" si="59"/>
        <v/>
      </c>
      <c r="AM409" s="7" t="str">
        <f t="shared" si="60"/>
        <v/>
      </c>
      <c r="AN409" s="8" t="str">
        <f>IF(C409="","",COUNTIF($C$2:C409,C409))</f>
        <v/>
      </c>
      <c r="AO409" s="8" t="str">
        <f t="shared" si="61"/>
        <v/>
      </c>
      <c r="AP409" s="8" t="str">
        <f>IF(C409="","",IF(AND(OR([1]Consulta!$C$29="",A409=[1]Consulta!$C$29),OR([1]Consulta!$E$29="",B409=[1]Consulta!$E$29),OR([1]Consulta!$G$29="",D409=[1]Consulta!$G$29,R409=[1]Consulta!$G$29)),ROW()-1,""))</f>
        <v/>
      </c>
    </row>
    <row r="410" spans="1:42" ht="1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 t="str">
        <f t="shared" si="54"/>
        <v/>
      </c>
      <c r="AG410" s="7" t="str">
        <f t="shared" si="62"/>
        <v/>
      </c>
      <c r="AH410" s="7" t="str">
        <f t="shared" si="55"/>
        <v/>
      </c>
      <c r="AI410" s="7" t="str">
        <f t="shared" si="56"/>
        <v/>
      </c>
      <c r="AJ410" s="7" t="str">
        <f t="shared" si="57"/>
        <v/>
      </c>
      <c r="AK410" s="7" t="str">
        <f t="shared" si="58"/>
        <v/>
      </c>
      <c r="AL410" s="7" t="str">
        <f t="shared" si="59"/>
        <v/>
      </c>
      <c r="AM410" s="7" t="str">
        <f t="shared" si="60"/>
        <v/>
      </c>
      <c r="AN410" s="8" t="str">
        <f>IF(C410="","",COUNTIF($C$2:C410,C410))</f>
        <v/>
      </c>
      <c r="AO410" s="8" t="str">
        <f t="shared" si="61"/>
        <v/>
      </c>
      <c r="AP410" s="8" t="str">
        <f>IF(C410="","",IF(AND(OR([1]Consulta!$C$29="",A410=[1]Consulta!$C$29),OR([1]Consulta!$E$29="",B410=[1]Consulta!$E$29),OR([1]Consulta!$G$29="",D410=[1]Consulta!$G$29,R410=[1]Consulta!$G$29)),ROW()-1,""))</f>
        <v/>
      </c>
    </row>
    <row r="411" spans="1:42" ht="1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 t="str">
        <f t="shared" si="54"/>
        <v/>
      </c>
      <c r="AG411" s="7" t="str">
        <f t="shared" si="62"/>
        <v/>
      </c>
      <c r="AH411" s="7" t="str">
        <f t="shared" si="55"/>
        <v/>
      </c>
      <c r="AI411" s="7" t="str">
        <f t="shared" si="56"/>
        <v/>
      </c>
      <c r="AJ411" s="7" t="str">
        <f t="shared" si="57"/>
        <v/>
      </c>
      <c r="AK411" s="7" t="str">
        <f t="shared" si="58"/>
        <v/>
      </c>
      <c r="AL411" s="7" t="str">
        <f t="shared" si="59"/>
        <v/>
      </c>
      <c r="AM411" s="7" t="str">
        <f t="shared" si="60"/>
        <v/>
      </c>
      <c r="AN411" s="8" t="str">
        <f>IF(C411="","",COUNTIF($C$2:C411,C411))</f>
        <v/>
      </c>
      <c r="AO411" s="8" t="str">
        <f t="shared" si="61"/>
        <v/>
      </c>
      <c r="AP411" s="8" t="str">
        <f>IF(C411="","",IF(AND(OR([1]Consulta!$C$29="",A411=[1]Consulta!$C$29),OR([1]Consulta!$E$29="",B411=[1]Consulta!$E$29),OR([1]Consulta!$G$29="",D411=[1]Consulta!$G$29,R411=[1]Consulta!$G$29)),ROW()-1,""))</f>
        <v/>
      </c>
    </row>
    <row r="412" spans="1:42" ht="1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 t="str">
        <f t="shared" si="54"/>
        <v/>
      </c>
      <c r="AG412" s="7" t="str">
        <f t="shared" si="62"/>
        <v/>
      </c>
      <c r="AH412" s="7" t="str">
        <f t="shared" si="55"/>
        <v/>
      </c>
      <c r="AI412" s="7" t="str">
        <f t="shared" si="56"/>
        <v/>
      </c>
      <c r="AJ412" s="7" t="str">
        <f t="shared" si="57"/>
        <v/>
      </c>
      <c r="AK412" s="7" t="str">
        <f t="shared" si="58"/>
        <v/>
      </c>
      <c r="AL412" s="7" t="str">
        <f t="shared" si="59"/>
        <v/>
      </c>
      <c r="AM412" s="7" t="str">
        <f t="shared" si="60"/>
        <v/>
      </c>
      <c r="AN412" s="8" t="str">
        <f>IF(C412="","",COUNTIF($C$2:C412,C412))</f>
        <v/>
      </c>
      <c r="AO412" s="8" t="str">
        <f t="shared" si="61"/>
        <v/>
      </c>
      <c r="AP412" s="8" t="str">
        <f>IF(C412="","",IF(AND(OR([1]Consulta!$C$29="",A412=[1]Consulta!$C$29),OR([1]Consulta!$E$29="",B412=[1]Consulta!$E$29),OR([1]Consulta!$G$29="",D412=[1]Consulta!$G$29,R412=[1]Consulta!$G$29)),ROW()-1,""))</f>
        <v/>
      </c>
    </row>
    <row r="413" spans="1:42" ht="1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 t="str">
        <f t="shared" si="54"/>
        <v/>
      </c>
      <c r="AG413" s="7" t="str">
        <f t="shared" si="62"/>
        <v/>
      </c>
      <c r="AH413" s="7" t="str">
        <f t="shared" si="55"/>
        <v/>
      </c>
      <c r="AI413" s="7" t="str">
        <f t="shared" si="56"/>
        <v/>
      </c>
      <c r="AJ413" s="7" t="str">
        <f t="shared" si="57"/>
        <v/>
      </c>
      <c r="AK413" s="7" t="str">
        <f t="shared" si="58"/>
        <v/>
      </c>
      <c r="AL413" s="7" t="str">
        <f t="shared" si="59"/>
        <v/>
      </c>
      <c r="AM413" s="7" t="str">
        <f t="shared" si="60"/>
        <v/>
      </c>
      <c r="AN413" s="8" t="str">
        <f>IF(C413="","",COUNTIF($C$2:C413,C413))</f>
        <v/>
      </c>
      <c r="AO413" s="8" t="str">
        <f t="shared" si="61"/>
        <v/>
      </c>
      <c r="AP413" s="8" t="str">
        <f>IF(C413="","",IF(AND(OR([1]Consulta!$C$29="",A413=[1]Consulta!$C$29),OR([1]Consulta!$E$29="",B413=[1]Consulta!$E$29),OR([1]Consulta!$G$29="",D413=[1]Consulta!$G$29,R413=[1]Consulta!$G$29)),ROW()-1,""))</f>
        <v/>
      </c>
    </row>
    <row r="414" spans="1:42" ht="1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 t="str">
        <f t="shared" si="54"/>
        <v/>
      </c>
      <c r="AG414" s="7" t="str">
        <f t="shared" si="62"/>
        <v/>
      </c>
      <c r="AH414" s="7" t="str">
        <f t="shared" si="55"/>
        <v/>
      </c>
      <c r="AI414" s="7" t="str">
        <f t="shared" si="56"/>
        <v/>
      </c>
      <c r="AJ414" s="7" t="str">
        <f t="shared" si="57"/>
        <v/>
      </c>
      <c r="AK414" s="7" t="str">
        <f t="shared" si="58"/>
        <v/>
      </c>
      <c r="AL414" s="7" t="str">
        <f t="shared" si="59"/>
        <v/>
      </c>
      <c r="AM414" s="7" t="str">
        <f t="shared" si="60"/>
        <v/>
      </c>
      <c r="AN414" s="8" t="str">
        <f>IF(C414="","",COUNTIF($C$2:C414,C414))</f>
        <v/>
      </c>
      <c r="AO414" s="8" t="str">
        <f t="shared" si="61"/>
        <v/>
      </c>
      <c r="AP414" s="8" t="str">
        <f>IF(C414="","",IF(AND(OR([1]Consulta!$C$29="",A414=[1]Consulta!$C$29),OR([1]Consulta!$E$29="",B414=[1]Consulta!$E$29),OR([1]Consulta!$G$29="",D414=[1]Consulta!$G$29,R414=[1]Consulta!$G$29)),ROW()-1,""))</f>
        <v/>
      </c>
    </row>
    <row r="415" spans="1:42" ht="1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 t="str">
        <f t="shared" si="54"/>
        <v/>
      </c>
      <c r="AG415" s="7" t="str">
        <f t="shared" si="62"/>
        <v/>
      </c>
      <c r="AH415" s="7" t="str">
        <f t="shared" si="55"/>
        <v/>
      </c>
      <c r="AI415" s="7" t="str">
        <f t="shared" si="56"/>
        <v/>
      </c>
      <c r="AJ415" s="7" t="str">
        <f t="shared" si="57"/>
        <v/>
      </c>
      <c r="AK415" s="7" t="str">
        <f t="shared" si="58"/>
        <v/>
      </c>
      <c r="AL415" s="7" t="str">
        <f t="shared" si="59"/>
        <v/>
      </c>
      <c r="AM415" s="7" t="str">
        <f t="shared" si="60"/>
        <v/>
      </c>
      <c r="AN415" s="8" t="str">
        <f>IF(C415="","",COUNTIF($C$2:C415,C415))</f>
        <v/>
      </c>
      <c r="AO415" s="8" t="str">
        <f t="shared" si="61"/>
        <v/>
      </c>
      <c r="AP415" s="8" t="str">
        <f>IF(C415="","",IF(AND(OR([1]Consulta!$C$29="",A415=[1]Consulta!$C$29),OR([1]Consulta!$E$29="",B415=[1]Consulta!$E$29),OR([1]Consulta!$G$29="",D415=[1]Consulta!$G$29,R415=[1]Consulta!$G$29)),ROW()-1,""))</f>
        <v/>
      </c>
    </row>
    <row r="416" spans="1:42" ht="1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 t="str">
        <f t="shared" si="54"/>
        <v/>
      </c>
      <c r="AG416" s="7" t="str">
        <f t="shared" si="62"/>
        <v/>
      </c>
      <c r="AH416" s="7" t="str">
        <f t="shared" si="55"/>
        <v/>
      </c>
      <c r="AI416" s="7" t="str">
        <f t="shared" si="56"/>
        <v/>
      </c>
      <c r="AJ416" s="7" t="str">
        <f t="shared" si="57"/>
        <v/>
      </c>
      <c r="AK416" s="7" t="str">
        <f t="shared" si="58"/>
        <v/>
      </c>
      <c r="AL416" s="7" t="str">
        <f t="shared" si="59"/>
        <v/>
      </c>
      <c r="AM416" s="7" t="str">
        <f t="shared" si="60"/>
        <v/>
      </c>
      <c r="AN416" s="8" t="str">
        <f>IF(C416="","",COUNTIF($C$2:C416,C416))</f>
        <v/>
      </c>
      <c r="AO416" s="8" t="str">
        <f t="shared" si="61"/>
        <v/>
      </c>
      <c r="AP416" s="8" t="str">
        <f>IF(C416="","",IF(AND(OR([1]Consulta!$C$29="",A416=[1]Consulta!$C$29),OR([1]Consulta!$E$29="",B416=[1]Consulta!$E$29),OR([1]Consulta!$G$29="",D416=[1]Consulta!$G$29,R416=[1]Consulta!$G$29)),ROW()-1,""))</f>
        <v/>
      </c>
    </row>
    <row r="417" spans="1:42" ht="1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 t="str">
        <f t="shared" si="54"/>
        <v/>
      </c>
      <c r="AG417" s="7" t="str">
        <f t="shared" si="62"/>
        <v/>
      </c>
      <c r="AH417" s="7" t="str">
        <f t="shared" si="55"/>
        <v/>
      </c>
      <c r="AI417" s="7" t="str">
        <f t="shared" si="56"/>
        <v/>
      </c>
      <c r="AJ417" s="7" t="str">
        <f t="shared" si="57"/>
        <v/>
      </c>
      <c r="AK417" s="7" t="str">
        <f t="shared" si="58"/>
        <v/>
      </c>
      <c r="AL417" s="7" t="str">
        <f t="shared" si="59"/>
        <v/>
      </c>
      <c r="AM417" s="7" t="str">
        <f t="shared" si="60"/>
        <v/>
      </c>
      <c r="AN417" s="8" t="str">
        <f>IF(C417="","",COUNTIF($C$2:C417,C417))</f>
        <v/>
      </c>
      <c r="AO417" s="8" t="str">
        <f t="shared" si="61"/>
        <v/>
      </c>
      <c r="AP417" s="8" t="str">
        <f>IF(C417="","",IF(AND(OR([1]Consulta!$C$29="",A417=[1]Consulta!$C$29),OR([1]Consulta!$E$29="",B417=[1]Consulta!$E$29),OR([1]Consulta!$G$29="",D417=[1]Consulta!$G$29,R417=[1]Consulta!$G$29)),ROW()-1,""))</f>
        <v/>
      </c>
    </row>
    <row r="418" spans="1:42" ht="1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 t="str">
        <f t="shared" si="54"/>
        <v/>
      </c>
      <c r="AG418" s="7" t="str">
        <f t="shared" si="62"/>
        <v/>
      </c>
      <c r="AH418" s="7" t="str">
        <f t="shared" si="55"/>
        <v/>
      </c>
      <c r="AI418" s="7" t="str">
        <f t="shared" si="56"/>
        <v/>
      </c>
      <c r="AJ418" s="7" t="str">
        <f t="shared" si="57"/>
        <v/>
      </c>
      <c r="AK418" s="7" t="str">
        <f t="shared" si="58"/>
        <v/>
      </c>
      <c r="AL418" s="7" t="str">
        <f t="shared" si="59"/>
        <v/>
      </c>
      <c r="AM418" s="7" t="str">
        <f t="shared" si="60"/>
        <v/>
      </c>
      <c r="AN418" s="8" t="str">
        <f>IF(C418="","",COUNTIF($C$2:C418,C418))</f>
        <v/>
      </c>
      <c r="AO418" s="8" t="str">
        <f t="shared" si="61"/>
        <v/>
      </c>
      <c r="AP418" s="8" t="str">
        <f>IF(C418="","",IF(AND(OR([1]Consulta!$C$29="",A418=[1]Consulta!$C$29),OR([1]Consulta!$E$29="",B418=[1]Consulta!$E$29),OR([1]Consulta!$G$29="",D418=[1]Consulta!$G$29,R418=[1]Consulta!$G$29)),ROW()-1,""))</f>
        <v/>
      </c>
    </row>
    <row r="419" spans="1:42" ht="1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 t="str">
        <f t="shared" si="54"/>
        <v/>
      </c>
      <c r="AG419" s="7" t="str">
        <f t="shared" si="62"/>
        <v/>
      </c>
      <c r="AH419" s="7" t="str">
        <f t="shared" si="55"/>
        <v/>
      </c>
      <c r="AI419" s="7" t="str">
        <f t="shared" si="56"/>
        <v/>
      </c>
      <c r="AJ419" s="7" t="str">
        <f t="shared" si="57"/>
        <v/>
      </c>
      <c r="AK419" s="7" t="str">
        <f t="shared" si="58"/>
        <v/>
      </c>
      <c r="AL419" s="7" t="str">
        <f t="shared" si="59"/>
        <v/>
      </c>
      <c r="AM419" s="7" t="str">
        <f t="shared" si="60"/>
        <v/>
      </c>
      <c r="AN419" s="8" t="str">
        <f>IF(C419="","",COUNTIF($C$2:C419,C419))</f>
        <v/>
      </c>
      <c r="AO419" s="8" t="str">
        <f t="shared" si="61"/>
        <v/>
      </c>
      <c r="AP419" s="8" t="str">
        <f>IF(C419="","",IF(AND(OR([1]Consulta!$C$29="",A419=[1]Consulta!$C$29),OR([1]Consulta!$E$29="",B419=[1]Consulta!$E$29),OR([1]Consulta!$G$29="",D419=[1]Consulta!$G$29,R419=[1]Consulta!$G$29)),ROW()-1,""))</f>
        <v/>
      </c>
    </row>
    <row r="420" spans="1:42" ht="1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 t="str">
        <f t="shared" si="54"/>
        <v/>
      </c>
      <c r="AG420" s="7" t="str">
        <f t="shared" si="62"/>
        <v/>
      </c>
      <c r="AH420" s="7" t="str">
        <f t="shared" si="55"/>
        <v/>
      </c>
      <c r="AI420" s="7" t="str">
        <f t="shared" si="56"/>
        <v/>
      </c>
      <c r="AJ420" s="7" t="str">
        <f t="shared" si="57"/>
        <v/>
      </c>
      <c r="AK420" s="7" t="str">
        <f t="shared" si="58"/>
        <v/>
      </c>
      <c r="AL420" s="7" t="str">
        <f t="shared" si="59"/>
        <v/>
      </c>
      <c r="AM420" s="7" t="str">
        <f t="shared" si="60"/>
        <v/>
      </c>
      <c r="AN420" s="8" t="str">
        <f>IF(C420="","",COUNTIF($C$2:C420,C420))</f>
        <v/>
      </c>
      <c r="AO420" s="8" t="str">
        <f t="shared" si="61"/>
        <v/>
      </c>
      <c r="AP420" s="8" t="str">
        <f>IF(C420="","",IF(AND(OR([1]Consulta!$C$29="",A420=[1]Consulta!$C$29),OR([1]Consulta!$E$29="",B420=[1]Consulta!$E$29),OR([1]Consulta!$G$29="",D420=[1]Consulta!$G$29,R420=[1]Consulta!$G$29)),ROW()-1,""))</f>
        <v/>
      </c>
    </row>
    <row r="421" spans="1:42" ht="1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 t="str">
        <f t="shared" si="54"/>
        <v/>
      </c>
      <c r="AG421" s="7" t="str">
        <f t="shared" si="62"/>
        <v/>
      </c>
      <c r="AH421" s="7" t="str">
        <f t="shared" si="55"/>
        <v/>
      </c>
      <c r="AI421" s="7" t="str">
        <f t="shared" si="56"/>
        <v/>
      </c>
      <c r="AJ421" s="7" t="str">
        <f t="shared" si="57"/>
        <v/>
      </c>
      <c r="AK421" s="7" t="str">
        <f t="shared" si="58"/>
        <v/>
      </c>
      <c r="AL421" s="7" t="str">
        <f t="shared" si="59"/>
        <v/>
      </c>
      <c r="AM421" s="7" t="str">
        <f t="shared" si="60"/>
        <v/>
      </c>
      <c r="AN421" s="8" t="str">
        <f>IF(C421="","",COUNTIF($C$2:C421,C421))</f>
        <v/>
      </c>
      <c r="AO421" s="8" t="str">
        <f t="shared" si="61"/>
        <v/>
      </c>
      <c r="AP421" s="8" t="str">
        <f>IF(C421="","",IF(AND(OR([1]Consulta!$C$29="",A421=[1]Consulta!$C$29),OR([1]Consulta!$E$29="",B421=[1]Consulta!$E$29),OR([1]Consulta!$G$29="",D421=[1]Consulta!$G$29,R421=[1]Consulta!$G$29)),ROW()-1,""))</f>
        <v/>
      </c>
    </row>
    <row r="422" spans="1:42" ht="1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 t="str">
        <f t="shared" si="54"/>
        <v/>
      </c>
      <c r="AG422" s="7" t="str">
        <f t="shared" si="62"/>
        <v/>
      </c>
      <c r="AH422" s="7" t="str">
        <f t="shared" si="55"/>
        <v/>
      </c>
      <c r="AI422" s="7" t="str">
        <f t="shared" si="56"/>
        <v/>
      </c>
      <c r="AJ422" s="7" t="str">
        <f t="shared" si="57"/>
        <v/>
      </c>
      <c r="AK422" s="7" t="str">
        <f t="shared" si="58"/>
        <v/>
      </c>
      <c r="AL422" s="7" t="str">
        <f t="shared" si="59"/>
        <v/>
      </c>
      <c r="AM422" s="7" t="str">
        <f t="shared" si="60"/>
        <v/>
      </c>
      <c r="AN422" s="8" t="str">
        <f>IF(C422="","",COUNTIF($C$2:C422,C422))</f>
        <v/>
      </c>
      <c r="AO422" s="8" t="str">
        <f t="shared" si="61"/>
        <v/>
      </c>
      <c r="AP422" s="8" t="str">
        <f>IF(C422="","",IF(AND(OR([1]Consulta!$C$29="",A422=[1]Consulta!$C$29),OR([1]Consulta!$E$29="",B422=[1]Consulta!$E$29),OR([1]Consulta!$G$29="",D422=[1]Consulta!$G$29,R422=[1]Consulta!$G$29)),ROW()-1,""))</f>
        <v/>
      </c>
    </row>
    <row r="423" spans="1:42" ht="1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 t="str">
        <f t="shared" si="54"/>
        <v/>
      </c>
      <c r="AG423" s="7" t="str">
        <f t="shared" si="62"/>
        <v/>
      </c>
      <c r="AH423" s="7" t="str">
        <f t="shared" si="55"/>
        <v/>
      </c>
      <c r="AI423" s="7" t="str">
        <f t="shared" si="56"/>
        <v/>
      </c>
      <c r="AJ423" s="7" t="str">
        <f t="shared" si="57"/>
        <v/>
      </c>
      <c r="AK423" s="7" t="str">
        <f t="shared" si="58"/>
        <v/>
      </c>
      <c r="AL423" s="7" t="str">
        <f t="shared" si="59"/>
        <v/>
      </c>
      <c r="AM423" s="7" t="str">
        <f t="shared" si="60"/>
        <v/>
      </c>
      <c r="AN423" s="8" t="str">
        <f>IF(C423="","",COUNTIF($C$2:C423,C423))</f>
        <v/>
      </c>
      <c r="AO423" s="8" t="str">
        <f t="shared" si="61"/>
        <v/>
      </c>
      <c r="AP423" s="8" t="str">
        <f>IF(C423="","",IF(AND(OR([1]Consulta!$C$29="",A423=[1]Consulta!$C$29),OR([1]Consulta!$E$29="",B423=[1]Consulta!$E$29),OR([1]Consulta!$G$29="",D423=[1]Consulta!$G$29,R423=[1]Consulta!$G$29)),ROW()-1,""))</f>
        <v/>
      </c>
    </row>
    <row r="424" spans="1:42" ht="1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 t="str">
        <f t="shared" si="54"/>
        <v/>
      </c>
      <c r="AG424" s="7" t="str">
        <f t="shared" si="62"/>
        <v/>
      </c>
      <c r="AH424" s="7" t="str">
        <f t="shared" si="55"/>
        <v/>
      </c>
      <c r="AI424" s="7" t="str">
        <f t="shared" si="56"/>
        <v/>
      </c>
      <c r="AJ424" s="7" t="str">
        <f t="shared" si="57"/>
        <v/>
      </c>
      <c r="AK424" s="7" t="str">
        <f t="shared" si="58"/>
        <v/>
      </c>
      <c r="AL424" s="7" t="str">
        <f t="shared" si="59"/>
        <v/>
      </c>
      <c r="AM424" s="7" t="str">
        <f t="shared" si="60"/>
        <v/>
      </c>
      <c r="AN424" s="8" t="str">
        <f>IF(C424="","",COUNTIF($C$2:C424,C424))</f>
        <v/>
      </c>
      <c r="AO424" s="8" t="str">
        <f t="shared" si="61"/>
        <v/>
      </c>
      <c r="AP424" s="8" t="str">
        <f>IF(C424="","",IF(AND(OR([1]Consulta!$C$29="",A424=[1]Consulta!$C$29),OR([1]Consulta!$E$29="",B424=[1]Consulta!$E$29),OR([1]Consulta!$G$29="",D424=[1]Consulta!$G$29,R424=[1]Consulta!$G$29)),ROW()-1,""))</f>
        <v/>
      </c>
    </row>
    <row r="425" spans="1:42" ht="1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 t="str">
        <f t="shared" si="54"/>
        <v/>
      </c>
      <c r="AG425" s="7" t="str">
        <f t="shared" si="62"/>
        <v/>
      </c>
      <c r="AH425" s="7" t="str">
        <f t="shared" si="55"/>
        <v/>
      </c>
      <c r="AI425" s="7" t="str">
        <f t="shared" si="56"/>
        <v/>
      </c>
      <c r="AJ425" s="7" t="str">
        <f t="shared" si="57"/>
        <v/>
      </c>
      <c r="AK425" s="7" t="str">
        <f t="shared" si="58"/>
        <v/>
      </c>
      <c r="AL425" s="7" t="str">
        <f t="shared" si="59"/>
        <v/>
      </c>
      <c r="AM425" s="7" t="str">
        <f t="shared" si="60"/>
        <v/>
      </c>
      <c r="AN425" s="8" t="str">
        <f>IF(C425="","",COUNTIF($C$2:C425,C425))</f>
        <v/>
      </c>
      <c r="AO425" s="8" t="str">
        <f t="shared" si="61"/>
        <v/>
      </c>
      <c r="AP425" s="8" t="str">
        <f>IF(C425="","",IF(AND(OR([1]Consulta!$C$29="",A425=[1]Consulta!$C$29),OR([1]Consulta!$E$29="",B425=[1]Consulta!$E$29),OR([1]Consulta!$G$29="",D425=[1]Consulta!$G$29,R425=[1]Consulta!$G$29)),ROW()-1,""))</f>
        <v/>
      </c>
    </row>
    <row r="426" spans="1:42" ht="1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 t="str">
        <f t="shared" si="54"/>
        <v/>
      </c>
      <c r="AG426" s="7" t="str">
        <f t="shared" si="62"/>
        <v/>
      </c>
      <c r="AH426" s="7" t="str">
        <f t="shared" si="55"/>
        <v/>
      </c>
      <c r="AI426" s="7" t="str">
        <f t="shared" si="56"/>
        <v/>
      </c>
      <c r="AJ426" s="7" t="str">
        <f t="shared" si="57"/>
        <v/>
      </c>
      <c r="AK426" s="7" t="str">
        <f t="shared" si="58"/>
        <v/>
      </c>
      <c r="AL426" s="7" t="str">
        <f t="shared" si="59"/>
        <v/>
      </c>
      <c r="AM426" s="7" t="str">
        <f t="shared" si="60"/>
        <v/>
      </c>
      <c r="AN426" s="8" t="str">
        <f>IF(C426="","",COUNTIF($C$2:C426,C426))</f>
        <v/>
      </c>
      <c r="AO426" s="8" t="str">
        <f t="shared" si="61"/>
        <v/>
      </c>
      <c r="AP426" s="8" t="str">
        <f>IF(C426="","",IF(AND(OR([1]Consulta!$C$29="",A426=[1]Consulta!$C$29),OR([1]Consulta!$E$29="",B426=[1]Consulta!$E$29),OR([1]Consulta!$G$29="",D426=[1]Consulta!$G$29,R426=[1]Consulta!$G$29)),ROW()-1,""))</f>
        <v/>
      </c>
    </row>
    <row r="427" spans="1:42" ht="1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 t="str">
        <f t="shared" si="54"/>
        <v/>
      </c>
      <c r="AG427" s="7" t="str">
        <f t="shared" si="62"/>
        <v/>
      </c>
      <c r="AH427" s="7" t="str">
        <f t="shared" si="55"/>
        <v/>
      </c>
      <c r="AI427" s="7" t="str">
        <f t="shared" si="56"/>
        <v/>
      </c>
      <c r="AJ427" s="7" t="str">
        <f t="shared" si="57"/>
        <v/>
      </c>
      <c r="AK427" s="7" t="str">
        <f t="shared" si="58"/>
        <v/>
      </c>
      <c r="AL427" s="7" t="str">
        <f t="shared" si="59"/>
        <v/>
      </c>
      <c r="AM427" s="7" t="str">
        <f t="shared" si="60"/>
        <v/>
      </c>
      <c r="AN427" s="8" t="str">
        <f>IF(C427="","",COUNTIF($C$2:C427,C427))</f>
        <v/>
      </c>
      <c r="AO427" s="8" t="str">
        <f t="shared" si="61"/>
        <v/>
      </c>
      <c r="AP427" s="8" t="str">
        <f>IF(C427="","",IF(AND(OR([1]Consulta!$C$29="",A427=[1]Consulta!$C$29),OR([1]Consulta!$E$29="",B427=[1]Consulta!$E$29),OR([1]Consulta!$G$29="",D427=[1]Consulta!$G$29,R427=[1]Consulta!$G$29)),ROW()-1,""))</f>
        <v/>
      </c>
    </row>
    <row r="428" spans="1:42" ht="1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 t="str">
        <f t="shared" si="54"/>
        <v/>
      </c>
      <c r="AG428" s="7" t="str">
        <f t="shared" si="62"/>
        <v/>
      </c>
      <c r="AH428" s="7" t="str">
        <f t="shared" si="55"/>
        <v/>
      </c>
      <c r="AI428" s="7" t="str">
        <f t="shared" si="56"/>
        <v/>
      </c>
      <c r="AJ428" s="7" t="str">
        <f t="shared" si="57"/>
        <v/>
      </c>
      <c r="AK428" s="7" t="str">
        <f t="shared" si="58"/>
        <v/>
      </c>
      <c r="AL428" s="7" t="str">
        <f t="shared" si="59"/>
        <v/>
      </c>
      <c r="AM428" s="7" t="str">
        <f t="shared" si="60"/>
        <v/>
      </c>
      <c r="AN428" s="8" t="str">
        <f>IF(C428="","",COUNTIF($C$2:C428,C428))</f>
        <v/>
      </c>
      <c r="AO428" s="8" t="str">
        <f t="shared" si="61"/>
        <v/>
      </c>
      <c r="AP428" s="8" t="str">
        <f>IF(C428="","",IF(AND(OR([1]Consulta!$C$29="",A428=[1]Consulta!$C$29),OR([1]Consulta!$E$29="",B428=[1]Consulta!$E$29),OR([1]Consulta!$G$29="",D428=[1]Consulta!$G$29,R428=[1]Consulta!$G$29)),ROW()-1,""))</f>
        <v/>
      </c>
    </row>
    <row r="429" spans="1:42" ht="1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 t="str">
        <f t="shared" si="54"/>
        <v/>
      </c>
      <c r="AG429" s="7" t="str">
        <f t="shared" si="62"/>
        <v/>
      </c>
      <c r="AH429" s="7" t="str">
        <f t="shared" si="55"/>
        <v/>
      </c>
      <c r="AI429" s="7" t="str">
        <f t="shared" si="56"/>
        <v/>
      </c>
      <c r="AJ429" s="7" t="str">
        <f t="shared" si="57"/>
        <v/>
      </c>
      <c r="AK429" s="7" t="str">
        <f t="shared" si="58"/>
        <v/>
      </c>
      <c r="AL429" s="7" t="str">
        <f t="shared" si="59"/>
        <v/>
      </c>
      <c r="AM429" s="7" t="str">
        <f t="shared" si="60"/>
        <v/>
      </c>
      <c r="AN429" s="8" t="str">
        <f>IF(C429="","",COUNTIF($C$2:C429,C429))</f>
        <v/>
      </c>
      <c r="AO429" s="8" t="str">
        <f t="shared" si="61"/>
        <v/>
      </c>
      <c r="AP429" s="8" t="str">
        <f>IF(C429="","",IF(AND(OR([1]Consulta!$C$29="",A429=[1]Consulta!$C$29),OR([1]Consulta!$E$29="",B429=[1]Consulta!$E$29),OR([1]Consulta!$G$29="",D429=[1]Consulta!$G$29,R429=[1]Consulta!$G$29)),ROW()-1,""))</f>
        <v/>
      </c>
    </row>
    <row r="430" spans="1:42" ht="1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 t="str">
        <f t="shared" si="54"/>
        <v/>
      </c>
      <c r="AG430" s="7" t="str">
        <f t="shared" si="62"/>
        <v/>
      </c>
      <c r="AH430" s="7" t="str">
        <f t="shared" si="55"/>
        <v/>
      </c>
      <c r="AI430" s="7" t="str">
        <f t="shared" si="56"/>
        <v/>
      </c>
      <c r="AJ430" s="7" t="str">
        <f t="shared" si="57"/>
        <v/>
      </c>
      <c r="AK430" s="7" t="str">
        <f t="shared" si="58"/>
        <v/>
      </c>
      <c r="AL430" s="7" t="str">
        <f t="shared" si="59"/>
        <v/>
      </c>
      <c r="AM430" s="7" t="str">
        <f t="shared" si="60"/>
        <v/>
      </c>
      <c r="AN430" s="8" t="str">
        <f>IF(C430="","",COUNTIF($C$2:C430,C430))</f>
        <v/>
      </c>
      <c r="AO430" s="8" t="str">
        <f t="shared" si="61"/>
        <v/>
      </c>
      <c r="AP430" s="8" t="str">
        <f>IF(C430="","",IF(AND(OR([1]Consulta!$C$29="",A430=[1]Consulta!$C$29),OR([1]Consulta!$E$29="",B430=[1]Consulta!$E$29),OR([1]Consulta!$G$29="",D430=[1]Consulta!$G$29,R430=[1]Consulta!$G$29)),ROW()-1,""))</f>
        <v/>
      </c>
    </row>
    <row r="431" spans="1:42" ht="1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 t="str">
        <f t="shared" si="54"/>
        <v/>
      </c>
      <c r="AG431" s="7" t="str">
        <f t="shared" si="62"/>
        <v/>
      </c>
      <c r="AH431" s="7" t="str">
        <f t="shared" si="55"/>
        <v/>
      </c>
      <c r="AI431" s="7" t="str">
        <f t="shared" si="56"/>
        <v/>
      </c>
      <c r="AJ431" s="7" t="str">
        <f t="shared" si="57"/>
        <v/>
      </c>
      <c r="AK431" s="7" t="str">
        <f t="shared" si="58"/>
        <v/>
      </c>
      <c r="AL431" s="7" t="str">
        <f t="shared" si="59"/>
        <v/>
      </c>
      <c r="AM431" s="7" t="str">
        <f t="shared" si="60"/>
        <v/>
      </c>
      <c r="AN431" s="8" t="str">
        <f>IF(C431="","",COUNTIF($C$2:C431,C431))</f>
        <v/>
      </c>
      <c r="AO431" s="8" t="str">
        <f t="shared" si="61"/>
        <v/>
      </c>
      <c r="AP431" s="8" t="str">
        <f>IF(C431="","",IF(AND(OR([1]Consulta!$C$29="",A431=[1]Consulta!$C$29),OR([1]Consulta!$E$29="",B431=[1]Consulta!$E$29),OR([1]Consulta!$G$29="",D431=[1]Consulta!$G$29,R431=[1]Consulta!$G$29)),ROW()-1,""))</f>
        <v/>
      </c>
    </row>
    <row r="432" spans="1:42" ht="1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 t="str">
        <f t="shared" si="54"/>
        <v/>
      </c>
      <c r="AG432" s="7" t="str">
        <f t="shared" si="62"/>
        <v/>
      </c>
      <c r="AH432" s="7" t="str">
        <f t="shared" si="55"/>
        <v/>
      </c>
      <c r="AI432" s="7" t="str">
        <f t="shared" si="56"/>
        <v/>
      </c>
      <c r="AJ432" s="7" t="str">
        <f t="shared" si="57"/>
        <v/>
      </c>
      <c r="AK432" s="7" t="str">
        <f t="shared" si="58"/>
        <v/>
      </c>
      <c r="AL432" s="7" t="str">
        <f t="shared" si="59"/>
        <v/>
      </c>
      <c r="AM432" s="7" t="str">
        <f t="shared" si="60"/>
        <v/>
      </c>
      <c r="AN432" s="8" t="str">
        <f>IF(C432="","",COUNTIF($C$2:C432,C432))</f>
        <v/>
      </c>
      <c r="AO432" s="8" t="str">
        <f t="shared" si="61"/>
        <v/>
      </c>
      <c r="AP432" s="8" t="str">
        <f>IF(C432="","",IF(AND(OR([1]Consulta!$C$29="",A432=[1]Consulta!$C$29),OR([1]Consulta!$E$29="",B432=[1]Consulta!$E$29),OR([1]Consulta!$G$29="",D432=[1]Consulta!$G$29,R432=[1]Consulta!$G$29)),ROW()-1,""))</f>
        <v/>
      </c>
    </row>
    <row r="433" spans="1:42" ht="1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 t="str">
        <f t="shared" si="54"/>
        <v/>
      </c>
      <c r="AG433" s="7" t="str">
        <f t="shared" si="62"/>
        <v/>
      </c>
      <c r="AH433" s="7" t="str">
        <f t="shared" si="55"/>
        <v/>
      </c>
      <c r="AI433" s="7" t="str">
        <f t="shared" si="56"/>
        <v/>
      </c>
      <c r="AJ433" s="7" t="str">
        <f t="shared" si="57"/>
        <v/>
      </c>
      <c r="AK433" s="7" t="str">
        <f t="shared" si="58"/>
        <v/>
      </c>
      <c r="AL433" s="7" t="str">
        <f t="shared" si="59"/>
        <v/>
      </c>
      <c r="AM433" s="7" t="str">
        <f t="shared" si="60"/>
        <v/>
      </c>
      <c r="AN433" s="8" t="str">
        <f>IF(C433="","",COUNTIF($C$2:C433,C433))</f>
        <v/>
      </c>
      <c r="AO433" s="8" t="str">
        <f t="shared" si="61"/>
        <v/>
      </c>
      <c r="AP433" s="8" t="str">
        <f>IF(C433="","",IF(AND(OR([1]Consulta!$C$29="",A433=[1]Consulta!$C$29),OR([1]Consulta!$E$29="",B433=[1]Consulta!$E$29),OR([1]Consulta!$G$29="",D433=[1]Consulta!$G$29,R433=[1]Consulta!$G$29)),ROW()-1,""))</f>
        <v/>
      </c>
    </row>
    <row r="434" spans="1:42" ht="1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 t="str">
        <f t="shared" si="54"/>
        <v/>
      </c>
      <c r="AG434" s="7" t="str">
        <f t="shared" si="62"/>
        <v/>
      </c>
      <c r="AH434" s="7" t="str">
        <f t="shared" si="55"/>
        <v/>
      </c>
      <c r="AI434" s="7" t="str">
        <f t="shared" si="56"/>
        <v/>
      </c>
      <c r="AJ434" s="7" t="str">
        <f t="shared" si="57"/>
        <v/>
      </c>
      <c r="AK434" s="7" t="str">
        <f t="shared" si="58"/>
        <v/>
      </c>
      <c r="AL434" s="7" t="str">
        <f t="shared" si="59"/>
        <v/>
      </c>
      <c r="AM434" s="7" t="str">
        <f t="shared" si="60"/>
        <v/>
      </c>
      <c r="AN434" s="8" t="str">
        <f>IF(C434="","",COUNTIF($C$2:C434,C434))</f>
        <v/>
      </c>
      <c r="AO434" s="8" t="str">
        <f t="shared" si="61"/>
        <v/>
      </c>
      <c r="AP434" s="8" t="str">
        <f>IF(C434="","",IF(AND(OR([1]Consulta!$C$29="",A434=[1]Consulta!$C$29),OR([1]Consulta!$E$29="",B434=[1]Consulta!$E$29),OR([1]Consulta!$G$29="",D434=[1]Consulta!$G$29,R434=[1]Consulta!$G$29)),ROW()-1,""))</f>
        <v/>
      </c>
    </row>
    <row r="435" spans="1:42" ht="1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 t="str">
        <f t="shared" si="54"/>
        <v/>
      </c>
      <c r="AG435" s="7" t="str">
        <f t="shared" si="62"/>
        <v/>
      </c>
      <c r="AH435" s="7" t="str">
        <f t="shared" si="55"/>
        <v/>
      </c>
      <c r="AI435" s="7" t="str">
        <f t="shared" si="56"/>
        <v/>
      </c>
      <c r="AJ435" s="7" t="str">
        <f t="shared" si="57"/>
        <v/>
      </c>
      <c r="AK435" s="7" t="str">
        <f t="shared" si="58"/>
        <v/>
      </c>
      <c r="AL435" s="7" t="str">
        <f t="shared" si="59"/>
        <v/>
      </c>
      <c r="AM435" s="7" t="str">
        <f t="shared" si="60"/>
        <v/>
      </c>
      <c r="AN435" s="8" t="str">
        <f>IF(C435="","",COUNTIF($C$2:C435,C435))</f>
        <v/>
      </c>
      <c r="AO435" s="8" t="str">
        <f t="shared" si="61"/>
        <v/>
      </c>
      <c r="AP435" s="8" t="str">
        <f>IF(C435="","",IF(AND(OR([1]Consulta!$C$29="",A435=[1]Consulta!$C$29),OR([1]Consulta!$E$29="",B435=[1]Consulta!$E$29),OR([1]Consulta!$G$29="",D435=[1]Consulta!$G$29,R435=[1]Consulta!$G$29)),ROW()-1,""))</f>
        <v/>
      </c>
    </row>
    <row r="436" spans="1:42" ht="1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 t="str">
        <f t="shared" si="54"/>
        <v/>
      </c>
      <c r="AG436" s="7" t="str">
        <f t="shared" si="62"/>
        <v/>
      </c>
      <c r="AH436" s="7" t="str">
        <f t="shared" si="55"/>
        <v/>
      </c>
      <c r="AI436" s="7" t="str">
        <f t="shared" si="56"/>
        <v/>
      </c>
      <c r="AJ436" s="7" t="str">
        <f t="shared" si="57"/>
        <v/>
      </c>
      <c r="AK436" s="7" t="str">
        <f t="shared" si="58"/>
        <v/>
      </c>
      <c r="AL436" s="7" t="str">
        <f t="shared" si="59"/>
        <v/>
      </c>
      <c r="AM436" s="7" t="str">
        <f t="shared" si="60"/>
        <v/>
      </c>
      <c r="AN436" s="8" t="str">
        <f>IF(C436="","",COUNTIF($C$2:C436,C436))</f>
        <v/>
      </c>
      <c r="AO436" s="8" t="str">
        <f t="shared" si="61"/>
        <v/>
      </c>
      <c r="AP436" s="8" t="str">
        <f>IF(C436="","",IF(AND(OR([1]Consulta!$C$29="",A436=[1]Consulta!$C$29),OR([1]Consulta!$E$29="",B436=[1]Consulta!$E$29),OR([1]Consulta!$G$29="",D436=[1]Consulta!$G$29,R436=[1]Consulta!$G$29)),ROW()-1,""))</f>
        <v/>
      </c>
    </row>
    <row r="437" spans="1:42" ht="1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 t="str">
        <f t="shared" si="54"/>
        <v/>
      </c>
      <c r="AG437" s="7" t="str">
        <f t="shared" si="62"/>
        <v/>
      </c>
      <c r="AH437" s="7" t="str">
        <f t="shared" si="55"/>
        <v/>
      </c>
      <c r="AI437" s="7" t="str">
        <f t="shared" si="56"/>
        <v/>
      </c>
      <c r="AJ437" s="7" t="str">
        <f t="shared" si="57"/>
        <v/>
      </c>
      <c r="AK437" s="7" t="str">
        <f t="shared" si="58"/>
        <v/>
      </c>
      <c r="AL437" s="7" t="str">
        <f t="shared" si="59"/>
        <v/>
      </c>
      <c r="AM437" s="7" t="str">
        <f t="shared" si="60"/>
        <v/>
      </c>
      <c r="AN437" s="8" t="str">
        <f>IF(C437="","",COUNTIF($C$2:C437,C437))</f>
        <v/>
      </c>
      <c r="AO437" s="8" t="str">
        <f t="shared" si="61"/>
        <v/>
      </c>
      <c r="AP437" s="8" t="str">
        <f>IF(C437="","",IF(AND(OR([1]Consulta!$C$29="",A437=[1]Consulta!$C$29),OR([1]Consulta!$E$29="",B437=[1]Consulta!$E$29),OR([1]Consulta!$G$29="",D437=[1]Consulta!$G$29,R437=[1]Consulta!$G$29)),ROW()-1,""))</f>
        <v/>
      </c>
    </row>
    <row r="438" spans="1:42" ht="1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 t="str">
        <f t="shared" si="54"/>
        <v/>
      </c>
      <c r="AG438" s="7" t="str">
        <f t="shared" si="62"/>
        <v/>
      </c>
      <c r="AH438" s="7" t="str">
        <f t="shared" si="55"/>
        <v/>
      </c>
      <c r="AI438" s="7" t="str">
        <f t="shared" si="56"/>
        <v/>
      </c>
      <c r="AJ438" s="7" t="str">
        <f t="shared" si="57"/>
        <v/>
      </c>
      <c r="AK438" s="7" t="str">
        <f t="shared" si="58"/>
        <v/>
      </c>
      <c r="AL438" s="7" t="str">
        <f t="shared" si="59"/>
        <v/>
      </c>
      <c r="AM438" s="7" t="str">
        <f t="shared" si="60"/>
        <v/>
      </c>
      <c r="AN438" s="8" t="str">
        <f>IF(C438="","",COUNTIF($C$2:C438,C438))</f>
        <v/>
      </c>
      <c r="AO438" s="8" t="str">
        <f t="shared" si="61"/>
        <v/>
      </c>
      <c r="AP438" s="8" t="str">
        <f>IF(C438="","",IF(AND(OR([1]Consulta!$C$29="",A438=[1]Consulta!$C$29),OR([1]Consulta!$E$29="",B438=[1]Consulta!$E$29),OR([1]Consulta!$G$29="",D438=[1]Consulta!$G$29,R438=[1]Consulta!$G$29)),ROW()-1,""))</f>
        <v/>
      </c>
    </row>
    <row r="439" spans="1:42" ht="1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 t="str">
        <f t="shared" si="54"/>
        <v/>
      </c>
      <c r="AG439" s="7" t="str">
        <f t="shared" si="62"/>
        <v/>
      </c>
      <c r="AH439" s="7" t="str">
        <f t="shared" si="55"/>
        <v/>
      </c>
      <c r="AI439" s="7" t="str">
        <f t="shared" si="56"/>
        <v/>
      </c>
      <c r="AJ439" s="7" t="str">
        <f t="shared" si="57"/>
        <v/>
      </c>
      <c r="AK439" s="7" t="str">
        <f t="shared" si="58"/>
        <v/>
      </c>
      <c r="AL439" s="7" t="str">
        <f t="shared" si="59"/>
        <v/>
      </c>
      <c r="AM439" s="7" t="str">
        <f t="shared" si="60"/>
        <v/>
      </c>
      <c r="AN439" s="8" t="str">
        <f>IF(C439="","",COUNTIF($C$2:C439,C439))</f>
        <v/>
      </c>
      <c r="AO439" s="8" t="str">
        <f t="shared" si="61"/>
        <v/>
      </c>
      <c r="AP439" s="8" t="str">
        <f>IF(C439="","",IF(AND(OR([1]Consulta!$C$29="",A439=[1]Consulta!$C$29),OR([1]Consulta!$E$29="",B439=[1]Consulta!$E$29),OR([1]Consulta!$G$29="",D439=[1]Consulta!$G$29,R439=[1]Consulta!$G$29)),ROW()-1,""))</f>
        <v/>
      </c>
    </row>
    <row r="440" spans="1:42" ht="1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 t="str">
        <f t="shared" si="54"/>
        <v/>
      </c>
      <c r="AG440" s="7" t="str">
        <f t="shared" si="62"/>
        <v/>
      </c>
      <c r="AH440" s="7" t="str">
        <f t="shared" si="55"/>
        <v/>
      </c>
      <c r="AI440" s="7" t="str">
        <f t="shared" si="56"/>
        <v/>
      </c>
      <c r="AJ440" s="7" t="str">
        <f t="shared" si="57"/>
        <v/>
      </c>
      <c r="AK440" s="7" t="str">
        <f t="shared" si="58"/>
        <v/>
      </c>
      <c r="AL440" s="7" t="str">
        <f t="shared" si="59"/>
        <v/>
      </c>
      <c r="AM440" s="7" t="str">
        <f t="shared" si="60"/>
        <v/>
      </c>
      <c r="AN440" s="8" t="str">
        <f>IF(C440="","",COUNTIF($C$2:C440,C440))</f>
        <v/>
      </c>
      <c r="AO440" s="8" t="str">
        <f t="shared" si="61"/>
        <v/>
      </c>
      <c r="AP440" s="8" t="str">
        <f>IF(C440="","",IF(AND(OR([1]Consulta!$C$29="",A440=[1]Consulta!$C$29),OR([1]Consulta!$E$29="",B440=[1]Consulta!$E$29),OR([1]Consulta!$G$29="",D440=[1]Consulta!$G$29,R440=[1]Consulta!$G$29)),ROW()-1,""))</f>
        <v/>
      </c>
    </row>
    <row r="441" spans="1:42" ht="1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 t="str">
        <f t="shared" si="54"/>
        <v/>
      </c>
      <c r="AG441" s="7" t="str">
        <f t="shared" si="62"/>
        <v/>
      </c>
      <c r="AH441" s="7" t="str">
        <f t="shared" si="55"/>
        <v/>
      </c>
      <c r="AI441" s="7" t="str">
        <f t="shared" si="56"/>
        <v/>
      </c>
      <c r="AJ441" s="7" t="str">
        <f t="shared" si="57"/>
        <v/>
      </c>
      <c r="AK441" s="7" t="str">
        <f t="shared" si="58"/>
        <v/>
      </c>
      <c r="AL441" s="7" t="str">
        <f t="shared" si="59"/>
        <v/>
      </c>
      <c r="AM441" s="7" t="str">
        <f t="shared" si="60"/>
        <v/>
      </c>
      <c r="AN441" s="8" t="str">
        <f>IF(C441="","",COUNTIF($C$2:C441,C441))</f>
        <v/>
      </c>
      <c r="AO441" s="8" t="str">
        <f t="shared" si="61"/>
        <v/>
      </c>
      <c r="AP441" s="8" t="str">
        <f>IF(C441="","",IF(AND(OR([1]Consulta!$C$29="",A441=[1]Consulta!$C$29),OR([1]Consulta!$E$29="",B441=[1]Consulta!$E$29),OR([1]Consulta!$G$29="",D441=[1]Consulta!$G$29,R441=[1]Consulta!$G$29)),ROW()-1,""))</f>
        <v/>
      </c>
    </row>
    <row r="442" spans="1:42" ht="1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 t="str">
        <f t="shared" si="54"/>
        <v/>
      </c>
      <c r="AG442" s="7" t="str">
        <f t="shared" si="62"/>
        <v/>
      </c>
      <c r="AH442" s="7" t="str">
        <f t="shared" si="55"/>
        <v/>
      </c>
      <c r="AI442" s="7" t="str">
        <f t="shared" si="56"/>
        <v/>
      </c>
      <c r="AJ442" s="7" t="str">
        <f t="shared" si="57"/>
        <v/>
      </c>
      <c r="AK442" s="7" t="str">
        <f t="shared" si="58"/>
        <v/>
      </c>
      <c r="AL442" s="7" t="str">
        <f t="shared" si="59"/>
        <v/>
      </c>
      <c r="AM442" s="7" t="str">
        <f t="shared" si="60"/>
        <v/>
      </c>
      <c r="AN442" s="8" t="str">
        <f>IF(C442="","",COUNTIF($C$2:C442,C442))</f>
        <v/>
      </c>
      <c r="AO442" s="8" t="str">
        <f t="shared" si="61"/>
        <v/>
      </c>
      <c r="AP442" s="8" t="str">
        <f>IF(C442="","",IF(AND(OR([1]Consulta!$C$29="",A442=[1]Consulta!$C$29),OR([1]Consulta!$E$29="",B442=[1]Consulta!$E$29),OR([1]Consulta!$G$29="",D442=[1]Consulta!$G$29,R442=[1]Consulta!$G$29)),ROW()-1,""))</f>
        <v/>
      </c>
    </row>
    <row r="443" spans="1:42" ht="1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 t="str">
        <f t="shared" si="54"/>
        <v/>
      </c>
      <c r="AG443" s="7" t="str">
        <f t="shared" si="62"/>
        <v/>
      </c>
      <c r="AH443" s="7" t="str">
        <f t="shared" si="55"/>
        <v/>
      </c>
      <c r="AI443" s="7" t="str">
        <f t="shared" si="56"/>
        <v/>
      </c>
      <c r="AJ443" s="7" t="str">
        <f t="shared" si="57"/>
        <v/>
      </c>
      <c r="AK443" s="7" t="str">
        <f t="shared" si="58"/>
        <v/>
      </c>
      <c r="AL443" s="7" t="str">
        <f t="shared" si="59"/>
        <v/>
      </c>
      <c r="AM443" s="7" t="str">
        <f t="shared" si="60"/>
        <v/>
      </c>
      <c r="AN443" s="8" t="str">
        <f>IF(C443="","",COUNTIF($C$2:C443,C443))</f>
        <v/>
      </c>
      <c r="AO443" s="8" t="str">
        <f t="shared" si="61"/>
        <v/>
      </c>
      <c r="AP443" s="8" t="str">
        <f>IF(C443="","",IF(AND(OR([1]Consulta!$C$29="",A443=[1]Consulta!$C$29),OR([1]Consulta!$E$29="",B443=[1]Consulta!$E$29),OR([1]Consulta!$G$29="",D443=[1]Consulta!$G$29,R443=[1]Consulta!$G$29)),ROW()-1,""))</f>
        <v/>
      </c>
    </row>
    <row r="444" spans="1:42" ht="1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 t="str">
        <f t="shared" si="54"/>
        <v/>
      </c>
      <c r="AG444" s="7" t="str">
        <f t="shared" si="62"/>
        <v/>
      </c>
      <c r="AH444" s="7" t="str">
        <f t="shared" si="55"/>
        <v/>
      </c>
      <c r="AI444" s="7" t="str">
        <f t="shared" si="56"/>
        <v/>
      </c>
      <c r="AJ444" s="7" t="str">
        <f t="shared" si="57"/>
        <v/>
      </c>
      <c r="AK444" s="7" t="str">
        <f t="shared" si="58"/>
        <v/>
      </c>
      <c r="AL444" s="7" t="str">
        <f t="shared" si="59"/>
        <v/>
      </c>
      <c r="AM444" s="7" t="str">
        <f t="shared" si="60"/>
        <v/>
      </c>
      <c r="AN444" s="8" t="str">
        <f>IF(C444="","",COUNTIF($C$2:C444,C444))</f>
        <v/>
      </c>
      <c r="AO444" s="8" t="str">
        <f t="shared" si="61"/>
        <v/>
      </c>
      <c r="AP444" s="8" t="str">
        <f>IF(C444="","",IF(AND(OR([1]Consulta!$C$29="",A444=[1]Consulta!$C$29),OR([1]Consulta!$E$29="",B444=[1]Consulta!$E$29),OR([1]Consulta!$G$29="",D444=[1]Consulta!$G$29,R444=[1]Consulta!$G$29)),ROW()-1,""))</f>
        <v/>
      </c>
    </row>
    <row r="445" spans="1:42" ht="1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 t="str">
        <f t="shared" si="54"/>
        <v/>
      </c>
      <c r="AG445" s="7" t="str">
        <f t="shared" si="62"/>
        <v/>
      </c>
      <c r="AH445" s="7" t="str">
        <f t="shared" si="55"/>
        <v/>
      </c>
      <c r="AI445" s="7" t="str">
        <f t="shared" si="56"/>
        <v/>
      </c>
      <c r="AJ445" s="7" t="str">
        <f t="shared" si="57"/>
        <v/>
      </c>
      <c r="AK445" s="7" t="str">
        <f t="shared" si="58"/>
        <v/>
      </c>
      <c r="AL445" s="7" t="str">
        <f t="shared" si="59"/>
        <v/>
      </c>
      <c r="AM445" s="7" t="str">
        <f t="shared" si="60"/>
        <v/>
      </c>
      <c r="AN445" s="8" t="str">
        <f>IF(C445="","",COUNTIF($C$2:C445,C445))</f>
        <v/>
      </c>
      <c r="AO445" s="8" t="str">
        <f t="shared" si="61"/>
        <v/>
      </c>
      <c r="AP445" s="8" t="str">
        <f>IF(C445="","",IF(AND(OR([1]Consulta!$C$29="",A445=[1]Consulta!$C$29),OR([1]Consulta!$E$29="",B445=[1]Consulta!$E$29),OR([1]Consulta!$G$29="",D445=[1]Consulta!$G$29,R445=[1]Consulta!$G$29)),ROW()-1,""))</f>
        <v/>
      </c>
    </row>
    <row r="446" spans="1:42" ht="1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 t="str">
        <f t="shared" si="54"/>
        <v/>
      </c>
      <c r="AG446" s="7" t="str">
        <f t="shared" si="62"/>
        <v/>
      </c>
      <c r="AH446" s="7" t="str">
        <f t="shared" si="55"/>
        <v/>
      </c>
      <c r="AI446" s="7" t="str">
        <f t="shared" si="56"/>
        <v/>
      </c>
      <c r="AJ446" s="7" t="str">
        <f t="shared" si="57"/>
        <v/>
      </c>
      <c r="AK446" s="7" t="str">
        <f t="shared" si="58"/>
        <v/>
      </c>
      <c r="AL446" s="7" t="str">
        <f t="shared" si="59"/>
        <v/>
      </c>
      <c r="AM446" s="7" t="str">
        <f t="shared" si="60"/>
        <v/>
      </c>
      <c r="AN446" s="8" t="str">
        <f>IF(C446="","",COUNTIF($C$2:C446,C446))</f>
        <v/>
      </c>
      <c r="AO446" s="8" t="str">
        <f t="shared" si="61"/>
        <v/>
      </c>
      <c r="AP446" s="8" t="str">
        <f>IF(C446="","",IF(AND(OR([1]Consulta!$C$29="",A446=[1]Consulta!$C$29),OR([1]Consulta!$E$29="",B446=[1]Consulta!$E$29),OR([1]Consulta!$G$29="",D446=[1]Consulta!$G$29,R446=[1]Consulta!$G$29)),ROW()-1,""))</f>
        <v/>
      </c>
    </row>
    <row r="447" spans="1:42" ht="1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 t="str">
        <f t="shared" si="54"/>
        <v/>
      </c>
      <c r="AG447" s="7" t="str">
        <f t="shared" si="62"/>
        <v/>
      </c>
      <c r="AH447" s="7" t="str">
        <f t="shared" si="55"/>
        <v/>
      </c>
      <c r="AI447" s="7" t="str">
        <f t="shared" si="56"/>
        <v/>
      </c>
      <c r="AJ447" s="7" t="str">
        <f t="shared" si="57"/>
        <v/>
      </c>
      <c r="AK447" s="7" t="str">
        <f t="shared" si="58"/>
        <v/>
      </c>
      <c r="AL447" s="7" t="str">
        <f t="shared" si="59"/>
        <v/>
      </c>
      <c r="AM447" s="7" t="str">
        <f t="shared" si="60"/>
        <v/>
      </c>
      <c r="AN447" s="8" t="str">
        <f>IF(C447="","",COUNTIF($C$2:C447,C447))</f>
        <v/>
      </c>
      <c r="AO447" s="8" t="str">
        <f t="shared" si="61"/>
        <v/>
      </c>
      <c r="AP447" s="8" t="str">
        <f>IF(C447="","",IF(AND(OR([1]Consulta!$C$29="",A447=[1]Consulta!$C$29),OR([1]Consulta!$E$29="",B447=[1]Consulta!$E$29),OR([1]Consulta!$G$29="",D447=[1]Consulta!$G$29,R447=[1]Consulta!$G$29)),ROW()-1,""))</f>
        <v/>
      </c>
    </row>
    <row r="448" spans="1:42" ht="1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 t="str">
        <f t="shared" si="54"/>
        <v/>
      </c>
      <c r="AG448" s="7" t="str">
        <f t="shared" si="62"/>
        <v/>
      </c>
      <c r="AH448" s="7" t="str">
        <f t="shared" si="55"/>
        <v/>
      </c>
      <c r="AI448" s="7" t="str">
        <f t="shared" si="56"/>
        <v/>
      </c>
      <c r="AJ448" s="7" t="str">
        <f t="shared" si="57"/>
        <v/>
      </c>
      <c r="AK448" s="7" t="str">
        <f t="shared" si="58"/>
        <v/>
      </c>
      <c r="AL448" s="7" t="str">
        <f t="shared" si="59"/>
        <v/>
      </c>
      <c r="AM448" s="7" t="str">
        <f t="shared" si="60"/>
        <v/>
      </c>
      <c r="AN448" s="8" t="str">
        <f>IF(C448="","",COUNTIF($C$2:C448,C448))</f>
        <v/>
      </c>
      <c r="AO448" s="8" t="str">
        <f t="shared" si="61"/>
        <v/>
      </c>
      <c r="AP448" s="8" t="str">
        <f>IF(C448="","",IF(AND(OR([1]Consulta!$C$29="",A448=[1]Consulta!$C$29),OR([1]Consulta!$E$29="",B448=[1]Consulta!$E$29),OR([1]Consulta!$G$29="",D448=[1]Consulta!$G$29,R448=[1]Consulta!$G$29)),ROW()-1,""))</f>
        <v/>
      </c>
    </row>
    <row r="449" spans="1:42" ht="1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 t="str">
        <f t="shared" si="54"/>
        <v/>
      </c>
      <c r="AG449" s="7" t="str">
        <f t="shared" si="62"/>
        <v/>
      </c>
      <c r="AH449" s="7" t="str">
        <f t="shared" si="55"/>
        <v/>
      </c>
      <c r="AI449" s="7" t="str">
        <f t="shared" si="56"/>
        <v/>
      </c>
      <c r="AJ449" s="7" t="str">
        <f t="shared" si="57"/>
        <v/>
      </c>
      <c r="AK449" s="7" t="str">
        <f t="shared" si="58"/>
        <v/>
      </c>
      <c r="AL449" s="7" t="str">
        <f t="shared" si="59"/>
        <v/>
      </c>
      <c r="AM449" s="7" t="str">
        <f t="shared" si="60"/>
        <v/>
      </c>
      <c r="AN449" s="8" t="str">
        <f>IF(C449="","",COUNTIF($C$2:C449,C449))</f>
        <v/>
      </c>
      <c r="AO449" s="8" t="str">
        <f t="shared" si="61"/>
        <v/>
      </c>
      <c r="AP449" s="8" t="str">
        <f>IF(C449="","",IF(AND(OR([1]Consulta!$C$29="",A449=[1]Consulta!$C$29),OR([1]Consulta!$E$29="",B449=[1]Consulta!$E$29),OR([1]Consulta!$G$29="",D449=[1]Consulta!$G$29,R449=[1]Consulta!$G$29)),ROW()-1,""))</f>
        <v/>
      </c>
    </row>
    <row r="450" spans="1:42" ht="1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 t="str">
        <f t="shared" ref="AF450:AF513" si="63">IF(C450="","",IF(AND(ISNUMBER(K450),ISNUMBER(L450)),K450-L450,""))</f>
        <v/>
      </c>
      <c r="AG450" s="7" t="str">
        <f t="shared" si="62"/>
        <v/>
      </c>
      <c r="AH450" s="7" t="str">
        <f t="shared" ref="AH450:AH513" si="64">IF(C450="","",IF(AND(ISNUMBER(Y450),ISNUMBER(Z450)),Y450-Z450,""))</f>
        <v/>
      </c>
      <c r="AI450" s="7" t="str">
        <f t="shared" ref="AI450:AI513" si="65">IF(C450="","",IF(AH450="","N/A",IF(AH450&lt;0,"ALARMA","OK")))</f>
        <v/>
      </c>
      <c r="AJ450" s="7" t="str">
        <f t="shared" ref="AJ450:AJ513" si="66">IF(C450="","",IF(ISNUMBER(M450),IF(M450&gt;0,"CON ERRORES","OK"),"N/A"))</f>
        <v/>
      </c>
      <c r="AK450" s="7" t="str">
        <f t="shared" ref="AK450:AK513" si="67">IF(C450="","",IF(ISNUMBER(AA450),IF(AA450&gt;0,"CON ERRORES","OK"),"N/A"))</f>
        <v/>
      </c>
      <c r="AL450" s="7" t="str">
        <f t="shared" ref="AL450:AL513" si="68">IF(C450="","",IF(OR(AG450="ALARMA",AI450="ALARMA",AJ450="CON ERRORES",AK450="CON ERRORES"),"REVISAR","OK"))</f>
        <v/>
      </c>
      <c r="AM450" s="7" t="str">
        <f t="shared" ref="AM450:AM513" si="69">IF(C450="","",IF(ISNUMBER(Q450),Q450,IF(ISNUMBER(AE450),AE450,"Ver detalle")))</f>
        <v/>
      </c>
      <c r="AN450" s="8" t="str">
        <f>IF(C450="","",COUNTIF($C$2:C450,C450))</f>
        <v/>
      </c>
      <c r="AO450" s="8" t="str">
        <f t="shared" ref="AO450:AO513" si="70">IF(C450="","",C450&amp;"|"&amp;AN450)</f>
        <v/>
      </c>
      <c r="AP450" s="8" t="str">
        <f>IF(C450="","",IF(AND(OR([1]Consulta!$C$29="",A450=[1]Consulta!$C$29),OR([1]Consulta!$E$29="",B450=[1]Consulta!$E$29),OR([1]Consulta!$G$29="",D450=[1]Consulta!$G$29,R450=[1]Consulta!$G$29)),ROW()-1,""))</f>
        <v/>
      </c>
    </row>
    <row r="451" spans="1:42" ht="1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 t="str">
        <f t="shared" si="63"/>
        <v/>
      </c>
      <c r="AG451" s="7" t="str">
        <f t="shared" ref="AG451:AG514" si="71">IF(C451="","",IF(AF451="","N/A",IF(AF451&lt;0,"ALARMA","OK")))</f>
        <v/>
      </c>
      <c r="AH451" s="7" t="str">
        <f t="shared" si="64"/>
        <v/>
      </c>
      <c r="AI451" s="7" t="str">
        <f t="shared" si="65"/>
        <v/>
      </c>
      <c r="AJ451" s="7" t="str">
        <f t="shared" si="66"/>
        <v/>
      </c>
      <c r="AK451" s="7" t="str">
        <f t="shared" si="67"/>
        <v/>
      </c>
      <c r="AL451" s="7" t="str">
        <f t="shared" si="68"/>
        <v/>
      </c>
      <c r="AM451" s="7" t="str">
        <f t="shared" si="69"/>
        <v/>
      </c>
      <c r="AN451" s="8" t="str">
        <f>IF(C451="","",COUNTIF($C$2:C451,C451))</f>
        <v/>
      </c>
      <c r="AO451" s="8" t="str">
        <f t="shared" si="70"/>
        <v/>
      </c>
      <c r="AP451" s="8" t="str">
        <f>IF(C451="","",IF(AND(OR([1]Consulta!$C$29="",A451=[1]Consulta!$C$29),OR([1]Consulta!$E$29="",B451=[1]Consulta!$E$29),OR([1]Consulta!$G$29="",D451=[1]Consulta!$G$29,R451=[1]Consulta!$G$29)),ROW()-1,""))</f>
        <v/>
      </c>
    </row>
    <row r="452" spans="1:42" ht="1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 t="str">
        <f t="shared" si="63"/>
        <v/>
      </c>
      <c r="AG452" s="7" t="str">
        <f t="shared" si="71"/>
        <v/>
      </c>
      <c r="AH452" s="7" t="str">
        <f t="shared" si="64"/>
        <v/>
      </c>
      <c r="AI452" s="7" t="str">
        <f t="shared" si="65"/>
        <v/>
      </c>
      <c r="AJ452" s="7" t="str">
        <f t="shared" si="66"/>
        <v/>
      </c>
      <c r="AK452" s="7" t="str">
        <f t="shared" si="67"/>
        <v/>
      </c>
      <c r="AL452" s="7" t="str">
        <f t="shared" si="68"/>
        <v/>
      </c>
      <c r="AM452" s="7" t="str">
        <f t="shared" si="69"/>
        <v/>
      </c>
      <c r="AN452" s="8" t="str">
        <f>IF(C452="","",COUNTIF($C$2:C452,C452))</f>
        <v/>
      </c>
      <c r="AO452" s="8" t="str">
        <f t="shared" si="70"/>
        <v/>
      </c>
      <c r="AP452" s="8" t="str">
        <f>IF(C452="","",IF(AND(OR([1]Consulta!$C$29="",A452=[1]Consulta!$C$29),OR([1]Consulta!$E$29="",B452=[1]Consulta!$E$29),OR([1]Consulta!$G$29="",D452=[1]Consulta!$G$29,R452=[1]Consulta!$G$29)),ROW()-1,""))</f>
        <v/>
      </c>
    </row>
    <row r="453" spans="1:42" ht="1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 t="str">
        <f t="shared" si="63"/>
        <v/>
      </c>
      <c r="AG453" s="7" t="str">
        <f t="shared" si="71"/>
        <v/>
      </c>
      <c r="AH453" s="7" t="str">
        <f t="shared" si="64"/>
        <v/>
      </c>
      <c r="AI453" s="7" t="str">
        <f t="shared" si="65"/>
        <v/>
      </c>
      <c r="AJ453" s="7" t="str">
        <f t="shared" si="66"/>
        <v/>
      </c>
      <c r="AK453" s="7" t="str">
        <f t="shared" si="67"/>
        <v/>
      </c>
      <c r="AL453" s="7" t="str">
        <f t="shared" si="68"/>
        <v/>
      </c>
      <c r="AM453" s="7" t="str">
        <f t="shared" si="69"/>
        <v/>
      </c>
      <c r="AN453" s="8" t="str">
        <f>IF(C453="","",COUNTIF($C$2:C453,C453))</f>
        <v/>
      </c>
      <c r="AO453" s="8" t="str">
        <f t="shared" si="70"/>
        <v/>
      </c>
      <c r="AP453" s="8" t="str">
        <f>IF(C453="","",IF(AND(OR([1]Consulta!$C$29="",A453=[1]Consulta!$C$29),OR([1]Consulta!$E$29="",B453=[1]Consulta!$E$29),OR([1]Consulta!$G$29="",D453=[1]Consulta!$G$29,R453=[1]Consulta!$G$29)),ROW()-1,""))</f>
        <v/>
      </c>
    </row>
    <row r="454" spans="1:42" ht="1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 t="str">
        <f t="shared" si="63"/>
        <v/>
      </c>
      <c r="AG454" s="7" t="str">
        <f t="shared" si="71"/>
        <v/>
      </c>
      <c r="AH454" s="7" t="str">
        <f t="shared" si="64"/>
        <v/>
      </c>
      <c r="AI454" s="7" t="str">
        <f t="shared" si="65"/>
        <v/>
      </c>
      <c r="AJ454" s="7" t="str">
        <f t="shared" si="66"/>
        <v/>
      </c>
      <c r="AK454" s="7" t="str">
        <f t="shared" si="67"/>
        <v/>
      </c>
      <c r="AL454" s="7" t="str">
        <f t="shared" si="68"/>
        <v/>
      </c>
      <c r="AM454" s="7" t="str">
        <f t="shared" si="69"/>
        <v/>
      </c>
      <c r="AN454" s="8" t="str">
        <f>IF(C454="","",COUNTIF($C$2:C454,C454))</f>
        <v/>
      </c>
      <c r="AO454" s="8" t="str">
        <f t="shared" si="70"/>
        <v/>
      </c>
      <c r="AP454" s="8" t="str">
        <f>IF(C454="","",IF(AND(OR([1]Consulta!$C$29="",A454=[1]Consulta!$C$29),OR([1]Consulta!$E$29="",B454=[1]Consulta!$E$29),OR([1]Consulta!$G$29="",D454=[1]Consulta!$G$29,R454=[1]Consulta!$G$29)),ROW()-1,""))</f>
        <v/>
      </c>
    </row>
    <row r="455" spans="1:42" ht="1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 t="str">
        <f t="shared" si="63"/>
        <v/>
      </c>
      <c r="AG455" s="7" t="str">
        <f t="shared" si="71"/>
        <v/>
      </c>
      <c r="AH455" s="7" t="str">
        <f t="shared" si="64"/>
        <v/>
      </c>
      <c r="AI455" s="7" t="str">
        <f t="shared" si="65"/>
        <v/>
      </c>
      <c r="AJ455" s="7" t="str">
        <f t="shared" si="66"/>
        <v/>
      </c>
      <c r="AK455" s="7" t="str">
        <f t="shared" si="67"/>
        <v/>
      </c>
      <c r="AL455" s="7" t="str">
        <f t="shared" si="68"/>
        <v/>
      </c>
      <c r="AM455" s="7" t="str">
        <f t="shared" si="69"/>
        <v/>
      </c>
      <c r="AN455" s="8" t="str">
        <f>IF(C455="","",COUNTIF($C$2:C455,C455))</f>
        <v/>
      </c>
      <c r="AO455" s="8" t="str">
        <f t="shared" si="70"/>
        <v/>
      </c>
      <c r="AP455" s="8" t="str">
        <f>IF(C455="","",IF(AND(OR([1]Consulta!$C$29="",A455=[1]Consulta!$C$29),OR([1]Consulta!$E$29="",B455=[1]Consulta!$E$29),OR([1]Consulta!$G$29="",D455=[1]Consulta!$G$29,R455=[1]Consulta!$G$29)),ROW()-1,""))</f>
        <v/>
      </c>
    </row>
    <row r="456" spans="1:42" ht="1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 t="str">
        <f t="shared" si="63"/>
        <v/>
      </c>
      <c r="AG456" s="7" t="str">
        <f t="shared" si="71"/>
        <v/>
      </c>
      <c r="AH456" s="7" t="str">
        <f t="shared" si="64"/>
        <v/>
      </c>
      <c r="AI456" s="7" t="str">
        <f t="shared" si="65"/>
        <v/>
      </c>
      <c r="AJ456" s="7" t="str">
        <f t="shared" si="66"/>
        <v/>
      </c>
      <c r="AK456" s="7" t="str">
        <f t="shared" si="67"/>
        <v/>
      </c>
      <c r="AL456" s="7" t="str">
        <f t="shared" si="68"/>
        <v/>
      </c>
      <c r="AM456" s="7" t="str">
        <f t="shared" si="69"/>
        <v/>
      </c>
      <c r="AN456" s="8" t="str">
        <f>IF(C456="","",COUNTIF($C$2:C456,C456))</f>
        <v/>
      </c>
      <c r="AO456" s="8" t="str">
        <f t="shared" si="70"/>
        <v/>
      </c>
      <c r="AP456" s="8" t="str">
        <f>IF(C456="","",IF(AND(OR([1]Consulta!$C$29="",A456=[1]Consulta!$C$29),OR([1]Consulta!$E$29="",B456=[1]Consulta!$E$29),OR([1]Consulta!$G$29="",D456=[1]Consulta!$G$29,R456=[1]Consulta!$G$29)),ROW()-1,""))</f>
        <v/>
      </c>
    </row>
    <row r="457" spans="1:42" ht="1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 t="str">
        <f t="shared" si="63"/>
        <v/>
      </c>
      <c r="AG457" s="7" t="str">
        <f t="shared" si="71"/>
        <v/>
      </c>
      <c r="AH457" s="7" t="str">
        <f t="shared" si="64"/>
        <v/>
      </c>
      <c r="AI457" s="7" t="str">
        <f t="shared" si="65"/>
        <v/>
      </c>
      <c r="AJ457" s="7" t="str">
        <f t="shared" si="66"/>
        <v/>
      </c>
      <c r="AK457" s="7" t="str">
        <f t="shared" si="67"/>
        <v/>
      </c>
      <c r="AL457" s="7" t="str">
        <f t="shared" si="68"/>
        <v/>
      </c>
      <c r="AM457" s="7" t="str">
        <f t="shared" si="69"/>
        <v/>
      </c>
      <c r="AN457" s="8" t="str">
        <f>IF(C457="","",COUNTIF($C$2:C457,C457))</f>
        <v/>
      </c>
      <c r="AO457" s="8" t="str">
        <f t="shared" si="70"/>
        <v/>
      </c>
      <c r="AP457" s="8" t="str">
        <f>IF(C457="","",IF(AND(OR([1]Consulta!$C$29="",A457=[1]Consulta!$C$29),OR([1]Consulta!$E$29="",B457=[1]Consulta!$E$29),OR([1]Consulta!$G$29="",D457=[1]Consulta!$G$29,R457=[1]Consulta!$G$29)),ROW()-1,""))</f>
        <v/>
      </c>
    </row>
    <row r="458" spans="1:42" ht="1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 t="str">
        <f t="shared" si="63"/>
        <v/>
      </c>
      <c r="AG458" s="7" t="str">
        <f t="shared" si="71"/>
        <v/>
      </c>
      <c r="AH458" s="7" t="str">
        <f t="shared" si="64"/>
        <v/>
      </c>
      <c r="AI458" s="7" t="str">
        <f t="shared" si="65"/>
        <v/>
      </c>
      <c r="AJ458" s="7" t="str">
        <f t="shared" si="66"/>
        <v/>
      </c>
      <c r="AK458" s="7" t="str">
        <f t="shared" si="67"/>
        <v/>
      </c>
      <c r="AL458" s="7" t="str">
        <f t="shared" si="68"/>
        <v/>
      </c>
      <c r="AM458" s="7" t="str">
        <f t="shared" si="69"/>
        <v/>
      </c>
      <c r="AN458" s="8" t="str">
        <f>IF(C458="","",COUNTIF($C$2:C458,C458))</f>
        <v/>
      </c>
      <c r="AO458" s="8" t="str">
        <f t="shared" si="70"/>
        <v/>
      </c>
      <c r="AP458" s="8" t="str">
        <f>IF(C458="","",IF(AND(OR([1]Consulta!$C$29="",A458=[1]Consulta!$C$29),OR([1]Consulta!$E$29="",B458=[1]Consulta!$E$29),OR([1]Consulta!$G$29="",D458=[1]Consulta!$G$29,R458=[1]Consulta!$G$29)),ROW()-1,""))</f>
        <v/>
      </c>
    </row>
    <row r="459" spans="1:42" ht="1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 t="str">
        <f t="shared" si="63"/>
        <v/>
      </c>
      <c r="AG459" s="7" t="str">
        <f t="shared" si="71"/>
        <v/>
      </c>
      <c r="AH459" s="7" t="str">
        <f t="shared" si="64"/>
        <v/>
      </c>
      <c r="AI459" s="7" t="str">
        <f t="shared" si="65"/>
        <v/>
      </c>
      <c r="AJ459" s="7" t="str">
        <f t="shared" si="66"/>
        <v/>
      </c>
      <c r="AK459" s="7" t="str">
        <f t="shared" si="67"/>
        <v/>
      </c>
      <c r="AL459" s="7" t="str">
        <f t="shared" si="68"/>
        <v/>
      </c>
      <c r="AM459" s="7" t="str">
        <f t="shared" si="69"/>
        <v/>
      </c>
      <c r="AN459" s="8" t="str">
        <f>IF(C459="","",COUNTIF($C$2:C459,C459))</f>
        <v/>
      </c>
      <c r="AO459" s="8" t="str">
        <f t="shared" si="70"/>
        <v/>
      </c>
      <c r="AP459" s="8" t="str">
        <f>IF(C459="","",IF(AND(OR([1]Consulta!$C$29="",A459=[1]Consulta!$C$29),OR([1]Consulta!$E$29="",B459=[1]Consulta!$E$29),OR([1]Consulta!$G$29="",D459=[1]Consulta!$G$29,R459=[1]Consulta!$G$29)),ROW()-1,""))</f>
        <v/>
      </c>
    </row>
    <row r="460" spans="1:42" ht="1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 t="str">
        <f t="shared" si="63"/>
        <v/>
      </c>
      <c r="AG460" s="7" t="str">
        <f t="shared" si="71"/>
        <v/>
      </c>
      <c r="AH460" s="7" t="str">
        <f t="shared" si="64"/>
        <v/>
      </c>
      <c r="AI460" s="7" t="str">
        <f t="shared" si="65"/>
        <v/>
      </c>
      <c r="AJ460" s="7" t="str">
        <f t="shared" si="66"/>
        <v/>
      </c>
      <c r="AK460" s="7" t="str">
        <f t="shared" si="67"/>
        <v/>
      </c>
      <c r="AL460" s="7" t="str">
        <f t="shared" si="68"/>
        <v/>
      </c>
      <c r="AM460" s="7" t="str">
        <f t="shared" si="69"/>
        <v/>
      </c>
      <c r="AN460" s="8" t="str">
        <f>IF(C460="","",COUNTIF($C$2:C460,C460))</f>
        <v/>
      </c>
      <c r="AO460" s="8" t="str">
        <f t="shared" si="70"/>
        <v/>
      </c>
      <c r="AP460" s="8" t="str">
        <f>IF(C460="","",IF(AND(OR([1]Consulta!$C$29="",A460=[1]Consulta!$C$29),OR([1]Consulta!$E$29="",B460=[1]Consulta!$E$29),OR([1]Consulta!$G$29="",D460=[1]Consulta!$G$29,R460=[1]Consulta!$G$29)),ROW()-1,""))</f>
        <v/>
      </c>
    </row>
    <row r="461" spans="1:42" ht="1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 t="str">
        <f t="shared" si="63"/>
        <v/>
      </c>
      <c r="AG461" s="7" t="str">
        <f t="shared" si="71"/>
        <v/>
      </c>
      <c r="AH461" s="7" t="str">
        <f t="shared" si="64"/>
        <v/>
      </c>
      <c r="AI461" s="7" t="str">
        <f t="shared" si="65"/>
        <v/>
      </c>
      <c r="AJ461" s="7" t="str">
        <f t="shared" si="66"/>
        <v/>
      </c>
      <c r="AK461" s="7" t="str">
        <f t="shared" si="67"/>
        <v/>
      </c>
      <c r="AL461" s="7" t="str">
        <f t="shared" si="68"/>
        <v/>
      </c>
      <c r="AM461" s="7" t="str">
        <f t="shared" si="69"/>
        <v/>
      </c>
      <c r="AN461" s="8" t="str">
        <f>IF(C461="","",COUNTIF($C$2:C461,C461))</f>
        <v/>
      </c>
      <c r="AO461" s="8" t="str">
        <f t="shared" si="70"/>
        <v/>
      </c>
      <c r="AP461" s="8" t="str">
        <f>IF(C461="","",IF(AND(OR([1]Consulta!$C$29="",A461=[1]Consulta!$C$29),OR([1]Consulta!$E$29="",B461=[1]Consulta!$E$29),OR([1]Consulta!$G$29="",D461=[1]Consulta!$G$29,R461=[1]Consulta!$G$29)),ROW()-1,""))</f>
        <v/>
      </c>
    </row>
    <row r="462" spans="1:42" ht="1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 t="str">
        <f t="shared" si="63"/>
        <v/>
      </c>
      <c r="AG462" s="7" t="str">
        <f t="shared" si="71"/>
        <v/>
      </c>
      <c r="AH462" s="7" t="str">
        <f t="shared" si="64"/>
        <v/>
      </c>
      <c r="AI462" s="7" t="str">
        <f t="shared" si="65"/>
        <v/>
      </c>
      <c r="AJ462" s="7" t="str">
        <f t="shared" si="66"/>
        <v/>
      </c>
      <c r="AK462" s="7" t="str">
        <f t="shared" si="67"/>
        <v/>
      </c>
      <c r="AL462" s="7" t="str">
        <f t="shared" si="68"/>
        <v/>
      </c>
      <c r="AM462" s="7" t="str">
        <f t="shared" si="69"/>
        <v/>
      </c>
      <c r="AN462" s="8" t="str">
        <f>IF(C462="","",COUNTIF($C$2:C462,C462))</f>
        <v/>
      </c>
      <c r="AO462" s="8" t="str">
        <f t="shared" si="70"/>
        <v/>
      </c>
      <c r="AP462" s="8" t="str">
        <f>IF(C462="","",IF(AND(OR([1]Consulta!$C$29="",A462=[1]Consulta!$C$29),OR([1]Consulta!$E$29="",B462=[1]Consulta!$E$29),OR([1]Consulta!$G$29="",D462=[1]Consulta!$G$29,R462=[1]Consulta!$G$29)),ROW()-1,""))</f>
        <v/>
      </c>
    </row>
    <row r="463" spans="1:42" ht="1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 t="str">
        <f t="shared" si="63"/>
        <v/>
      </c>
      <c r="AG463" s="7" t="str">
        <f t="shared" si="71"/>
        <v/>
      </c>
      <c r="AH463" s="7" t="str">
        <f t="shared" si="64"/>
        <v/>
      </c>
      <c r="AI463" s="7" t="str">
        <f t="shared" si="65"/>
        <v/>
      </c>
      <c r="AJ463" s="7" t="str">
        <f t="shared" si="66"/>
        <v/>
      </c>
      <c r="AK463" s="7" t="str">
        <f t="shared" si="67"/>
        <v/>
      </c>
      <c r="AL463" s="7" t="str">
        <f t="shared" si="68"/>
        <v/>
      </c>
      <c r="AM463" s="7" t="str">
        <f t="shared" si="69"/>
        <v/>
      </c>
      <c r="AN463" s="8" t="str">
        <f>IF(C463="","",COUNTIF($C$2:C463,C463))</f>
        <v/>
      </c>
      <c r="AO463" s="8" t="str">
        <f t="shared" si="70"/>
        <v/>
      </c>
      <c r="AP463" s="8" t="str">
        <f>IF(C463="","",IF(AND(OR([1]Consulta!$C$29="",A463=[1]Consulta!$C$29),OR([1]Consulta!$E$29="",B463=[1]Consulta!$E$29),OR([1]Consulta!$G$29="",D463=[1]Consulta!$G$29,R463=[1]Consulta!$G$29)),ROW()-1,""))</f>
        <v/>
      </c>
    </row>
    <row r="464" spans="1:42" ht="1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 t="str">
        <f t="shared" si="63"/>
        <v/>
      </c>
      <c r="AG464" s="7" t="str">
        <f t="shared" si="71"/>
        <v/>
      </c>
      <c r="AH464" s="7" t="str">
        <f t="shared" si="64"/>
        <v/>
      </c>
      <c r="AI464" s="7" t="str">
        <f t="shared" si="65"/>
        <v/>
      </c>
      <c r="AJ464" s="7" t="str">
        <f t="shared" si="66"/>
        <v/>
      </c>
      <c r="AK464" s="7" t="str">
        <f t="shared" si="67"/>
        <v/>
      </c>
      <c r="AL464" s="7" t="str">
        <f t="shared" si="68"/>
        <v/>
      </c>
      <c r="AM464" s="7" t="str">
        <f t="shared" si="69"/>
        <v/>
      </c>
      <c r="AN464" s="8" t="str">
        <f>IF(C464="","",COUNTIF($C$2:C464,C464))</f>
        <v/>
      </c>
      <c r="AO464" s="8" t="str">
        <f t="shared" si="70"/>
        <v/>
      </c>
      <c r="AP464" s="8" t="str">
        <f>IF(C464="","",IF(AND(OR([1]Consulta!$C$29="",A464=[1]Consulta!$C$29),OR([1]Consulta!$E$29="",B464=[1]Consulta!$E$29),OR([1]Consulta!$G$29="",D464=[1]Consulta!$G$29,R464=[1]Consulta!$G$29)),ROW()-1,""))</f>
        <v/>
      </c>
    </row>
    <row r="465" spans="1:42" ht="1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 t="str">
        <f t="shared" si="63"/>
        <v/>
      </c>
      <c r="AG465" s="7" t="str">
        <f t="shared" si="71"/>
        <v/>
      </c>
      <c r="AH465" s="7" t="str">
        <f t="shared" si="64"/>
        <v/>
      </c>
      <c r="AI465" s="7" t="str">
        <f t="shared" si="65"/>
        <v/>
      </c>
      <c r="AJ465" s="7" t="str">
        <f t="shared" si="66"/>
        <v/>
      </c>
      <c r="AK465" s="7" t="str">
        <f t="shared" si="67"/>
        <v/>
      </c>
      <c r="AL465" s="7" t="str">
        <f t="shared" si="68"/>
        <v/>
      </c>
      <c r="AM465" s="7" t="str">
        <f t="shared" si="69"/>
        <v/>
      </c>
      <c r="AN465" s="8" t="str">
        <f>IF(C465="","",COUNTIF($C$2:C465,C465))</f>
        <v/>
      </c>
      <c r="AO465" s="8" t="str">
        <f t="shared" si="70"/>
        <v/>
      </c>
      <c r="AP465" s="8" t="str">
        <f>IF(C465="","",IF(AND(OR([1]Consulta!$C$29="",A465=[1]Consulta!$C$29),OR([1]Consulta!$E$29="",B465=[1]Consulta!$E$29),OR([1]Consulta!$G$29="",D465=[1]Consulta!$G$29,R465=[1]Consulta!$G$29)),ROW()-1,""))</f>
        <v/>
      </c>
    </row>
    <row r="466" spans="1:42" ht="1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 t="str">
        <f t="shared" si="63"/>
        <v/>
      </c>
      <c r="AG466" s="7" t="str">
        <f t="shared" si="71"/>
        <v/>
      </c>
      <c r="AH466" s="7" t="str">
        <f t="shared" si="64"/>
        <v/>
      </c>
      <c r="AI466" s="7" t="str">
        <f t="shared" si="65"/>
        <v/>
      </c>
      <c r="AJ466" s="7" t="str">
        <f t="shared" si="66"/>
        <v/>
      </c>
      <c r="AK466" s="7" t="str">
        <f t="shared" si="67"/>
        <v/>
      </c>
      <c r="AL466" s="7" t="str">
        <f t="shared" si="68"/>
        <v/>
      </c>
      <c r="AM466" s="7" t="str">
        <f t="shared" si="69"/>
        <v/>
      </c>
      <c r="AN466" s="8" t="str">
        <f>IF(C466="","",COUNTIF($C$2:C466,C466))</f>
        <v/>
      </c>
      <c r="AO466" s="8" t="str">
        <f t="shared" si="70"/>
        <v/>
      </c>
      <c r="AP466" s="8" t="str">
        <f>IF(C466="","",IF(AND(OR([1]Consulta!$C$29="",A466=[1]Consulta!$C$29),OR([1]Consulta!$E$29="",B466=[1]Consulta!$E$29),OR([1]Consulta!$G$29="",D466=[1]Consulta!$G$29,R466=[1]Consulta!$G$29)),ROW()-1,""))</f>
        <v/>
      </c>
    </row>
    <row r="467" spans="1:42" ht="1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 t="str">
        <f t="shared" si="63"/>
        <v/>
      </c>
      <c r="AG467" s="7" t="str">
        <f t="shared" si="71"/>
        <v/>
      </c>
      <c r="AH467" s="7" t="str">
        <f t="shared" si="64"/>
        <v/>
      </c>
      <c r="AI467" s="7" t="str">
        <f t="shared" si="65"/>
        <v/>
      </c>
      <c r="AJ467" s="7" t="str">
        <f t="shared" si="66"/>
        <v/>
      </c>
      <c r="AK467" s="7" t="str">
        <f t="shared" si="67"/>
        <v/>
      </c>
      <c r="AL467" s="7" t="str">
        <f t="shared" si="68"/>
        <v/>
      </c>
      <c r="AM467" s="7" t="str">
        <f t="shared" si="69"/>
        <v/>
      </c>
      <c r="AN467" s="8" t="str">
        <f>IF(C467="","",COUNTIF($C$2:C467,C467))</f>
        <v/>
      </c>
      <c r="AO467" s="8" t="str">
        <f t="shared" si="70"/>
        <v/>
      </c>
      <c r="AP467" s="8" t="str">
        <f>IF(C467="","",IF(AND(OR([1]Consulta!$C$29="",A467=[1]Consulta!$C$29),OR([1]Consulta!$E$29="",B467=[1]Consulta!$E$29),OR([1]Consulta!$G$29="",D467=[1]Consulta!$G$29,R467=[1]Consulta!$G$29)),ROW()-1,""))</f>
        <v/>
      </c>
    </row>
    <row r="468" spans="1:42" ht="1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 t="str">
        <f t="shared" si="63"/>
        <v/>
      </c>
      <c r="AG468" s="7" t="str">
        <f t="shared" si="71"/>
        <v/>
      </c>
      <c r="AH468" s="7" t="str">
        <f t="shared" si="64"/>
        <v/>
      </c>
      <c r="AI468" s="7" t="str">
        <f t="shared" si="65"/>
        <v/>
      </c>
      <c r="AJ468" s="7" t="str">
        <f t="shared" si="66"/>
        <v/>
      </c>
      <c r="AK468" s="7" t="str">
        <f t="shared" si="67"/>
        <v/>
      </c>
      <c r="AL468" s="7" t="str">
        <f t="shared" si="68"/>
        <v/>
      </c>
      <c r="AM468" s="7" t="str">
        <f t="shared" si="69"/>
        <v/>
      </c>
      <c r="AN468" s="8" t="str">
        <f>IF(C468="","",COUNTIF($C$2:C468,C468))</f>
        <v/>
      </c>
      <c r="AO468" s="8" t="str">
        <f t="shared" si="70"/>
        <v/>
      </c>
      <c r="AP468" s="8" t="str">
        <f>IF(C468="","",IF(AND(OR([1]Consulta!$C$29="",A468=[1]Consulta!$C$29),OR([1]Consulta!$E$29="",B468=[1]Consulta!$E$29),OR([1]Consulta!$G$29="",D468=[1]Consulta!$G$29,R468=[1]Consulta!$G$29)),ROW()-1,""))</f>
        <v/>
      </c>
    </row>
    <row r="469" spans="1:42" ht="1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 t="str">
        <f t="shared" si="63"/>
        <v/>
      </c>
      <c r="AG469" s="7" t="str">
        <f t="shared" si="71"/>
        <v/>
      </c>
      <c r="AH469" s="7" t="str">
        <f t="shared" si="64"/>
        <v/>
      </c>
      <c r="AI469" s="7" t="str">
        <f t="shared" si="65"/>
        <v/>
      </c>
      <c r="AJ469" s="7" t="str">
        <f t="shared" si="66"/>
        <v/>
      </c>
      <c r="AK469" s="7" t="str">
        <f t="shared" si="67"/>
        <v/>
      </c>
      <c r="AL469" s="7" t="str">
        <f t="shared" si="68"/>
        <v/>
      </c>
      <c r="AM469" s="7" t="str">
        <f t="shared" si="69"/>
        <v/>
      </c>
      <c r="AN469" s="8" t="str">
        <f>IF(C469="","",COUNTIF($C$2:C469,C469))</f>
        <v/>
      </c>
      <c r="AO469" s="8" t="str">
        <f t="shared" si="70"/>
        <v/>
      </c>
      <c r="AP469" s="8" t="str">
        <f>IF(C469="","",IF(AND(OR([1]Consulta!$C$29="",A469=[1]Consulta!$C$29),OR([1]Consulta!$E$29="",B469=[1]Consulta!$E$29),OR([1]Consulta!$G$29="",D469=[1]Consulta!$G$29,R469=[1]Consulta!$G$29)),ROW()-1,""))</f>
        <v/>
      </c>
    </row>
    <row r="470" spans="1:42" ht="1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 t="str">
        <f t="shared" si="63"/>
        <v/>
      </c>
      <c r="AG470" s="7" t="str">
        <f t="shared" si="71"/>
        <v/>
      </c>
      <c r="AH470" s="7" t="str">
        <f t="shared" si="64"/>
        <v/>
      </c>
      <c r="AI470" s="7" t="str">
        <f t="shared" si="65"/>
        <v/>
      </c>
      <c r="AJ470" s="7" t="str">
        <f t="shared" si="66"/>
        <v/>
      </c>
      <c r="AK470" s="7" t="str">
        <f t="shared" si="67"/>
        <v/>
      </c>
      <c r="AL470" s="7" t="str">
        <f t="shared" si="68"/>
        <v/>
      </c>
      <c r="AM470" s="7" t="str">
        <f t="shared" si="69"/>
        <v/>
      </c>
      <c r="AN470" s="8" t="str">
        <f>IF(C470="","",COUNTIF($C$2:C470,C470))</f>
        <v/>
      </c>
      <c r="AO470" s="8" t="str">
        <f t="shared" si="70"/>
        <v/>
      </c>
      <c r="AP470" s="8" t="str">
        <f>IF(C470="","",IF(AND(OR([1]Consulta!$C$29="",A470=[1]Consulta!$C$29),OR([1]Consulta!$E$29="",B470=[1]Consulta!$E$29),OR([1]Consulta!$G$29="",D470=[1]Consulta!$G$29,R470=[1]Consulta!$G$29)),ROW()-1,""))</f>
        <v/>
      </c>
    </row>
    <row r="471" spans="1:42" ht="1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 t="str">
        <f t="shared" si="63"/>
        <v/>
      </c>
      <c r="AG471" s="7" t="str">
        <f t="shared" si="71"/>
        <v/>
      </c>
      <c r="AH471" s="7" t="str">
        <f t="shared" si="64"/>
        <v/>
      </c>
      <c r="AI471" s="7" t="str">
        <f t="shared" si="65"/>
        <v/>
      </c>
      <c r="AJ471" s="7" t="str">
        <f t="shared" si="66"/>
        <v/>
      </c>
      <c r="AK471" s="7" t="str">
        <f t="shared" si="67"/>
        <v/>
      </c>
      <c r="AL471" s="7" t="str">
        <f t="shared" si="68"/>
        <v/>
      </c>
      <c r="AM471" s="7" t="str">
        <f t="shared" si="69"/>
        <v/>
      </c>
      <c r="AN471" s="8" t="str">
        <f>IF(C471="","",COUNTIF($C$2:C471,C471))</f>
        <v/>
      </c>
      <c r="AO471" s="8" t="str">
        <f t="shared" si="70"/>
        <v/>
      </c>
      <c r="AP471" s="8" t="str">
        <f>IF(C471="","",IF(AND(OR([1]Consulta!$C$29="",A471=[1]Consulta!$C$29),OR([1]Consulta!$E$29="",B471=[1]Consulta!$E$29),OR([1]Consulta!$G$29="",D471=[1]Consulta!$G$29,R471=[1]Consulta!$G$29)),ROW()-1,""))</f>
        <v/>
      </c>
    </row>
    <row r="472" spans="1:42" ht="1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 t="str">
        <f t="shared" si="63"/>
        <v/>
      </c>
      <c r="AG472" s="7" t="str">
        <f t="shared" si="71"/>
        <v/>
      </c>
      <c r="AH472" s="7" t="str">
        <f t="shared" si="64"/>
        <v/>
      </c>
      <c r="AI472" s="7" t="str">
        <f t="shared" si="65"/>
        <v/>
      </c>
      <c r="AJ472" s="7" t="str">
        <f t="shared" si="66"/>
        <v/>
      </c>
      <c r="AK472" s="7" t="str">
        <f t="shared" si="67"/>
        <v/>
      </c>
      <c r="AL472" s="7" t="str">
        <f t="shared" si="68"/>
        <v/>
      </c>
      <c r="AM472" s="7" t="str">
        <f t="shared" si="69"/>
        <v/>
      </c>
      <c r="AN472" s="8" t="str">
        <f>IF(C472="","",COUNTIF($C$2:C472,C472))</f>
        <v/>
      </c>
      <c r="AO472" s="8" t="str">
        <f t="shared" si="70"/>
        <v/>
      </c>
      <c r="AP472" s="8" t="str">
        <f>IF(C472="","",IF(AND(OR([1]Consulta!$C$29="",A472=[1]Consulta!$C$29),OR([1]Consulta!$E$29="",B472=[1]Consulta!$E$29),OR([1]Consulta!$G$29="",D472=[1]Consulta!$G$29,R472=[1]Consulta!$G$29)),ROW()-1,""))</f>
        <v/>
      </c>
    </row>
    <row r="473" spans="1:42" ht="1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 t="str">
        <f t="shared" si="63"/>
        <v/>
      </c>
      <c r="AG473" s="7" t="str">
        <f t="shared" si="71"/>
        <v/>
      </c>
      <c r="AH473" s="7" t="str">
        <f t="shared" si="64"/>
        <v/>
      </c>
      <c r="AI473" s="7" t="str">
        <f t="shared" si="65"/>
        <v/>
      </c>
      <c r="AJ473" s="7" t="str">
        <f t="shared" si="66"/>
        <v/>
      </c>
      <c r="AK473" s="7" t="str">
        <f t="shared" si="67"/>
        <v/>
      </c>
      <c r="AL473" s="7" t="str">
        <f t="shared" si="68"/>
        <v/>
      </c>
      <c r="AM473" s="7" t="str">
        <f t="shared" si="69"/>
        <v/>
      </c>
      <c r="AN473" s="8" t="str">
        <f>IF(C473="","",COUNTIF($C$2:C473,C473))</f>
        <v/>
      </c>
      <c r="AO473" s="8" t="str">
        <f t="shared" si="70"/>
        <v/>
      </c>
      <c r="AP473" s="8" t="str">
        <f>IF(C473="","",IF(AND(OR([1]Consulta!$C$29="",A473=[1]Consulta!$C$29),OR([1]Consulta!$E$29="",B473=[1]Consulta!$E$29),OR([1]Consulta!$G$29="",D473=[1]Consulta!$G$29,R473=[1]Consulta!$G$29)),ROW()-1,""))</f>
        <v/>
      </c>
    </row>
    <row r="474" spans="1:42" ht="1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 t="str">
        <f t="shared" si="63"/>
        <v/>
      </c>
      <c r="AG474" s="7" t="str">
        <f t="shared" si="71"/>
        <v/>
      </c>
      <c r="AH474" s="7" t="str">
        <f t="shared" si="64"/>
        <v/>
      </c>
      <c r="AI474" s="7" t="str">
        <f t="shared" si="65"/>
        <v/>
      </c>
      <c r="AJ474" s="7" t="str">
        <f t="shared" si="66"/>
        <v/>
      </c>
      <c r="AK474" s="7" t="str">
        <f t="shared" si="67"/>
        <v/>
      </c>
      <c r="AL474" s="7" t="str">
        <f t="shared" si="68"/>
        <v/>
      </c>
      <c r="AM474" s="7" t="str">
        <f t="shared" si="69"/>
        <v/>
      </c>
      <c r="AN474" s="8" t="str">
        <f>IF(C474="","",COUNTIF($C$2:C474,C474))</f>
        <v/>
      </c>
      <c r="AO474" s="8" t="str">
        <f t="shared" si="70"/>
        <v/>
      </c>
      <c r="AP474" s="8" t="str">
        <f>IF(C474="","",IF(AND(OR([1]Consulta!$C$29="",A474=[1]Consulta!$C$29),OR([1]Consulta!$E$29="",B474=[1]Consulta!$E$29),OR([1]Consulta!$G$29="",D474=[1]Consulta!$G$29,R474=[1]Consulta!$G$29)),ROW()-1,""))</f>
        <v/>
      </c>
    </row>
    <row r="475" spans="1:42" ht="1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 t="str">
        <f t="shared" si="63"/>
        <v/>
      </c>
      <c r="AG475" s="7" t="str">
        <f t="shared" si="71"/>
        <v/>
      </c>
      <c r="AH475" s="7" t="str">
        <f t="shared" si="64"/>
        <v/>
      </c>
      <c r="AI475" s="7" t="str">
        <f t="shared" si="65"/>
        <v/>
      </c>
      <c r="AJ475" s="7" t="str">
        <f t="shared" si="66"/>
        <v/>
      </c>
      <c r="AK475" s="7" t="str">
        <f t="shared" si="67"/>
        <v/>
      </c>
      <c r="AL475" s="7" t="str">
        <f t="shared" si="68"/>
        <v/>
      </c>
      <c r="AM475" s="7" t="str">
        <f t="shared" si="69"/>
        <v/>
      </c>
      <c r="AN475" s="8" t="str">
        <f>IF(C475="","",COUNTIF($C$2:C475,C475))</f>
        <v/>
      </c>
      <c r="AO475" s="8" t="str">
        <f t="shared" si="70"/>
        <v/>
      </c>
      <c r="AP475" s="8" t="str">
        <f>IF(C475="","",IF(AND(OR([1]Consulta!$C$29="",A475=[1]Consulta!$C$29),OR([1]Consulta!$E$29="",B475=[1]Consulta!$E$29),OR([1]Consulta!$G$29="",D475=[1]Consulta!$G$29,R475=[1]Consulta!$G$29)),ROW()-1,""))</f>
        <v/>
      </c>
    </row>
    <row r="476" spans="1:42" ht="1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 t="str">
        <f t="shared" si="63"/>
        <v/>
      </c>
      <c r="AG476" s="7" t="str">
        <f t="shared" si="71"/>
        <v/>
      </c>
      <c r="AH476" s="7" t="str">
        <f t="shared" si="64"/>
        <v/>
      </c>
      <c r="AI476" s="7" t="str">
        <f t="shared" si="65"/>
        <v/>
      </c>
      <c r="AJ476" s="7" t="str">
        <f t="shared" si="66"/>
        <v/>
      </c>
      <c r="AK476" s="7" t="str">
        <f t="shared" si="67"/>
        <v/>
      </c>
      <c r="AL476" s="7" t="str">
        <f t="shared" si="68"/>
        <v/>
      </c>
      <c r="AM476" s="7" t="str">
        <f t="shared" si="69"/>
        <v/>
      </c>
      <c r="AN476" s="8" t="str">
        <f>IF(C476="","",COUNTIF($C$2:C476,C476))</f>
        <v/>
      </c>
      <c r="AO476" s="8" t="str">
        <f t="shared" si="70"/>
        <v/>
      </c>
      <c r="AP476" s="8" t="str">
        <f>IF(C476="","",IF(AND(OR([1]Consulta!$C$29="",A476=[1]Consulta!$C$29),OR([1]Consulta!$E$29="",B476=[1]Consulta!$E$29),OR([1]Consulta!$G$29="",D476=[1]Consulta!$G$29,R476=[1]Consulta!$G$29)),ROW()-1,""))</f>
        <v/>
      </c>
    </row>
    <row r="477" spans="1:42" ht="1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 t="str">
        <f t="shared" si="63"/>
        <v/>
      </c>
      <c r="AG477" s="7" t="str">
        <f t="shared" si="71"/>
        <v/>
      </c>
      <c r="AH477" s="7" t="str">
        <f t="shared" si="64"/>
        <v/>
      </c>
      <c r="AI477" s="7" t="str">
        <f t="shared" si="65"/>
        <v/>
      </c>
      <c r="AJ477" s="7" t="str">
        <f t="shared" si="66"/>
        <v/>
      </c>
      <c r="AK477" s="7" t="str">
        <f t="shared" si="67"/>
        <v/>
      </c>
      <c r="AL477" s="7" t="str">
        <f t="shared" si="68"/>
        <v/>
      </c>
      <c r="AM477" s="7" t="str">
        <f t="shared" si="69"/>
        <v/>
      </c>
      <c r="AN477" s="8" t="str">
        <f>IF(C477="","",COUNTIF($C$2:C477,C477))</f>
        <v/>
      </c>
      <c r="AO477" s="8" t="str">
        <f t="shared" si="70"/>
        <v/>
      </c>
      <c r="AP477" s="8" t="str">
        <f>IF(C477="","",IF(AND(OR([1]Consulta!$C$29="",A477=[1]Consulta!$C$29),OR([1]Consulta!$E$29="",B477=[1]Consulta!$E$29),OR([1]Consulta!$G$29="",D477=[1]Consulta!$G$29,R477=[1]Consulta!$G$29)),ROW()-1,""))</f>
        <v/>
      </c>
    </row>
    <row r="478" spans="1:42" ht="1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 t="str">
        <f t="shared" si="63"/>
        <v/>
      </c>
      <c r="AG478" s="7" t="str">
        <f t="shared" si="71"/>
        <v/>
      </c>
      <c r="AH478" s="7" t="str">
        <f t="shared" si="64"/>
        <v/>
      </c>
      <c r="AI478" s="7" t="str">
        <f t="shared" si="65"/>
        <v/>
      </c>
      <c r="AJ478" s="7" t="str">
        <f t="shared" si="66"/>
        <v/>
      </c>
      <c r="AK478" s="7" t="str">
        <f t="shared" si="67"/>
        <v/>
      </c>
      <c r="AL478" s="7" t="str">
        <f t="shared" si="68"/>
        <v/>
      </c>
      <c r="AM478" s="7" t="str">
        <f t="shared" si="69"/>
        <v/>
      </c>
      <c r="AN478" s="8" t="str">
        <f>IF(C478="","",COUNTIF($C$2:C478,C478))</f>
        <v/>
      </c>
      <c r="AO478" s="8" t="str">
        <f t="shared" si="70"/>
        <v/>
      </c>
      <c r="AP478" s="8" t="str">
        <f>IF(C478="","",IF(AND(OR([1]Consulta!$C$29="",A478=[1]Consulta!$C$29),OR([1]Consulta!$E$29="",B478=[1]Consulta!$E$29),OR([1]Consulta!$G$29="",D478=[1]Consulta!$G$29,R478=[1]Consulta!$G$29)),ROW()-1,""))</f>
        <v/>
      </c>
    </row>
    <row r="479" spans="1:42" ht="1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 t="str">
        <f t="shared" si="63"/>
        <v/>
      </c>
      <c r="AG479" s="7" t="str">
        <f t="shared" si="71"/>
        <v/>
      </c>
      <c r="AH479" s="7" t="str">
        <f t="shared" si="64"/>
        <v/>
      </c>
      <c r="AI479" s="7" t="str">
        <f t="shared" si="65"/>
        <v/>
      </c>
      <c r="AJ479" s="7" t="str">
        <f t="shared" si="66"/>
        <v/>
      </c>
      <c r="AK479" s="7" t="str">
        <f t="shared" si="67"/>
        <v/>
      </c>
      <c r="AL479" s="7" t="str">
        <f t="shared" si="68"/>
        <v/>
      </c>
      <c r="AM479" s="7" t="str">
        <f t="shared" si="69"/>
        <v/>
      </c>
      <c r="AN479" s="8" t="str">
        <f>IF(C479="","",COUNTIF($C$2:C479,C479))</f>
        <v/>
      </c>
      <c r="AO479" s="8" t="str">
        <f t="shared" si="70"/>
        <v/>
      </c>
      <c r="AP479" s="8" t="str">
        <f>IF(C479="","",IF(AND(OR([1]Consulta!$C$29="",A479=[1]Consulta!$C$29),OR([1]Consulta!$E$29="",B479=[1]Consulta!$E$29),OR([1]Consulta!$G$29="",D479=[1]Consulta!$G$29,R479=[1]Consulta!$G$29)),ROW()-1,""))</f>
        <v/>
      </c>
    </row>
    <row r="480" spans="1:42" ht="1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 t="str">
        <f t="shared" si="63"/>
        <v/>
      </c>
      <c r="AG480" s="7" t="str">
        <f t="shared" si="71"/>
        <v/>
      </c>
      <c r="AH480" s="7" t="str">
        <f t="shared" si="64"/>
        <v/>
      </c>
      <c r="AI480" s="7" t="str">
        <f t="shared" si="65"/>
        <v/>
      </c>
      <c r="AJ480" s="7" t="str">
        <f t="shared" si="66"/>
        <v/>
      </c>
      <c r="AK480" s="7" t="str">
        <f t="shared" si="67"/>
        <v/>
      </c>
      <c r="AL480" s="7" t="str">
        <f t="shared" si="68"/>
        <v/>
      </c>
      <c r="AM480" s="7" t="str">
        <f t="shared" si="69"/>
        <v/>
      </c>
      <c r="AN480" s="8" t="str">
        <f>IF(C480="","",COUNTIF($C$2:C480,C480))</f>
        <v/>
      </c>
      <c r="AO480" s="8" t="str">
        <f t="shared" si="70"/>
        <v/>
      </c>
      <c r="AP480" s="8" t="str">
        <f>IF(C480="","",IF(AND(OR([1]Consulta!$C$29="",A480=[1]Consulta!$C$29),OR([1]Consulta!$E$29="",B480=[1]Consulta!$E$29),OR([1]Consulta!$G$29="",D480=[1]Consulta!$G$29,R480=[1]Consulta!$G$29)),ROW()-1,""))</f>
        <v/>
      </c>
    </row>
    <row r="481" spans="1:42" ht="1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 t="str">
        <f t="shared" si="63"/>
        <v/>
      </c>
      <c r="AG481" s="7" t="str">
        <f t="shared" si="71"/>
        <v/>
      </c>
      <c r="AH481" s="7" t="str">
        <f t="shared" si="64"/>
        <v/>
      </c>
      <c r="AI481" s="7" t="str">
        <f t="shared" si="65"/>
        <v/>
      </c>
      <c r="AJ481" s="7" t="str">
        <f t="shared" si="66"/>
        <v/>
      </c>
      <c r="AK481" s="7" t="str">
        <f t="shared" si="67"/>
        <v/>
      </c>
      <c r="AL481" s="7" t="str">
        <f t="shared" si="68"/>
        <v/>
      </c>
      <c r="AM481" s="7" t="str">
        <f t="shared" si="69"/>
        <v/>
      </c>
      <c r="AN481" s="8" t="str">
        <f>IF(C481="","",COUNTIF($C$2:C481,C481))</f>
        <v/>
      </c>
      <c r="AO481" s="8" t="str">
        <f t="shared" si="70"/>
        <v/>
      </c>
      <c r="AP481" s="8" t="str">
        <f>IF(C481="","",IF(AND(OR([1]Consulta!$C$29="",A481=[1]Consulta!$C$29),OR([1]Consulta!$E$29="",B481=[1]Consulta!$E$29),OR([1]Consulta!$G$29="",D481=[1]Consulta!$G$29,R481=[1]Consulta!$G$29)),ROW()-1,""))</f>
        <v/>
      </c>
    </row>
    <row r="482" spans="1:42" ht="1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 t="str">
        <f t="shared" si="63"/>
        <v/>
      </c>
      <c r="AG482" s="7" t="str">
        <f t="shared" si="71"/>
        <v/>
      </c>
      <c r="AH482" s="7" t="str">
        <f t="shared" si="64"/>
        <v/>
      </c>
      <c r="AI482" s="7" t="str">
        <f t="shared" si="65"/>
        <v/>
      </c>
      <c r="AJ482" s="7" t="str">
        <f t="shared" si="66"/>
        <v/>
      </c>
      <c r="AK482" s="7" t="str">
        <f t="shared" si="67"/>
        <v/>
      </c>
      <c r="AL482" s="7" t="str">
        <f t="shared" si="68"/>
        <v/>
      </c>
      <c r="AM482" s="7" t="str">
        <f t="shared" si="69"/>
        <v/>
      </c>
      <c r="AN482" s="8" t="str">
        <f>IF(C482="","",COUNTIF($C$2:C482,C482))</f>
        <v/>
      </c>
      <c r="AO482" s="8" t="str">
        <f t="shared" si="70"/>
        <v/>
      </c>
      <c r="AP482" s="8" t="str">
        <f>IF(C482="","",IF(AND(OR([1]Consulta!$C$29="",A482=[1]Consulta!$C$29),OR([1]Consulta!$E$29="",B482=[1]Consulta!$E$29),OR([1]Consulta!$G$29="",D482=[1]Consulta!$G$29,R482=[1]Consulta!$G$29)),ROW()-1,""))</f>
        <v/>
      </c>
    </row>
    <row r="483" spans="1:42" ht="1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 t="str">
        <f t="shared" si="63"/>
        <v/>
      </c>
      <c r="AG483" s="7" t="str">
        <f t="shared" si="71"/>
        <v/>
      </c>
      <c r="AH483" s="7" t="str">
        <f t="shared" si="64"/>
        <v/>
      </c>
      <c r="AI483" s="7" t="str">
        <f t="shared" si="65"/>
        <v/>
      </c>
      <c r="AJ483" s="7" t="str">
        <f t="shared" si="66"/>
        <v/>
      </c>
      <c r="AK483" s="7" t="str">
        <f t="shared" si="67"/>
        <v/>
      </c>
      <c r="AL483" s="7" t="str">
        <f t="shared" si="68"/>
        <v/>
      </c>
      <c r="AM483" s="7" t="str">
        <f t="shared" si="69"/>
        <v/>
      </c>
      <c r="AN483" s="8" t="str">
        <f>IF(C483="","",COUNTIF($C$2:C483,C483))</f>
        <v/>
      </c>
      <c r="AO483" s="8" t="str">
        <f t="shared" si="70"/>
        <v/>
      </c>
      <c r="AP483" s="8" t="str">
        <f>IF(C483="","",IF(AND(OR([1]Consulta!$C$29="",A483=[1]Consulta!$C$29),OR([1]Consulta!$E$29="",B483=[1]Consulta!$E$29),OR([1]Consulta!$G$29="",D483=[1]Consulta!$G$29,R483=[1]Consulta!$G$29)),ROW()-1,""))</f>
        <v/>
      </c>
    </row>
    <row r="484" spans="1:42" ht="1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 t="str">
        <f t="shared" si="63"/>
        <v/>
      </c>
      <c r="AG484" s="7" t="str">
        <f t="shared" si="71"/>
        <v/>
      </c>
      <c r="AH484" s="7" t="str">
        <f t="shared" si="64"/>
        <v/>
      </c>
      <c r="AI484" s="7" t="str">
        <f t="shared" si="65"/>
        <v/>
      </c>
      <c r="AJ484" s="7" t="str">
        <f t="shared" si="66"/>
        <v/>
      </c>
      <c r="AK484" s="7" t="str">
        <f t="shared" si="67"/>
        <v/>
      </c>
      <c r="AL484" s="7" t="str">
        <f t="shared" si="68"/>
        <v/>
      </c>
      <c r="AM484" s="7" t="str">
        <f t="shared" si="69"/>
        <v/>
      </c>
      <c r="AN484" s="8" t="str">
        <f>IF(C484="","",COUNTIF($C$2:C484,C484))</f>
        <v/>
      </c>
      <c r="AO484" s="8" t="str">
        <f t="shared" si="70"/>
        <v/>
      </c>
      <c r="AP484" s="8" t="str">
        <f>IF(C484="","",IF(AND(OR([1]Consulta!$C$29="",A484=[1]Consulta!$C$29),OR([1]Consulta!$E$29="",B484=[1]Consulta!$E$29),OR([1]Consulta!$G$29="",D484=[1]Consulta!$G$29,R484=[1]Consulta!$G$29)),ROW()-1,""))</f>
        <v/>
      </c>
    </row>
    <row r="485" spans="1:42" ht="1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 t="str">
        <f t="shared" si="63"/>
        <v/>
      </c>
      <c r="AG485" s="7" t="str">
        <f t="shared" si="71"/>
        <v/>
      </c>
      <c r="AH485" s="7" t="str">
        <f t="shared" si="64"/>
        <v/>
      </c>
      <c r="AI485" s="7" t="str">
        <f t="shared" si="65"/>
        <v/>
      </c>
      <c r="AJ485" s="7" t="str">
        <f t="shared" si="66"/>
        <v/>
      </c>
      <c r="AK485" s="7" t="str">
        <f t="shared" si="67"/>
        <v/>
      </c>
      <c r="AL485" s="7" t="str">
        <f t="shared" si="68"/>
        <v/>
      </c>
      <c r="AM485" s="7" t="str">
        <f t="shared" si="69"/>
        <v/>
      </c>
      <c r="AN485" s="8" t="str">
        <f>IF(C485="","",COUNTIF($C$2:C485,C485))</f>
        <v/>
      </c>
      <c r="AO485" s="8" t="str">
        <f t="shared" si="70"/>
        <v/>
      </c>
      <c r="AP485" s="8" t="str">
        <f>IF(C485="","",IF(AND(OR([1]Consulta!$C$29="",A485=[1]Consulta!$C$29),OR([1]Consulta!$E$29="",B485=[1]Consulta!$E$29),OR([1]Consulta!$G$29="",D485=[1]Consulta!$G$29,R485=[1]Consulta!$G$29)),ROW()-1,""))</f>
        <v/>
      </c>
    </row>
    <row r="486" spans="1:42" ht="1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 t="str">
        <f t="shared" si="63"/>
        <v/>
      </c>
      <c r="AG486" s="7" t="str">
        <f t="shared" si="71"/>
        <v/>
      </c>
      <c r="AH486" s="7" t="str">
        <f t="shared" si="64"/>
        <v/>
      </c>
      <c r="AI486" s="7" t="str">
        <f t="shared" si="65"/>
        <v/>
      </c>
      <c r="AJ486" s="7" t="str">
        <f t="shared" si="66"/>
        <v/>
      </c>
      <c r="AK486" s="7" t="str">
        <f t="shared" si="67"/>
        <v/>
      </c>
      <c r="AL486" s="7" t="str">
        <f t="shared" si="68"/>
        <v/>
      </c>
      <c r="AM486" s="7" t="str">
        <f t="shared" si="69"/>
        <v/>
      </c>
      <c r="AN486" s="8" t="str">
        <f>IF(C486="","",COUNTIF($C$2:C486,C486))</f>
        <v/>
      </c>
      <c r="AO486" s="8" t="str">
        <f t="shared" si="70"/>
        <v/>
      </c>
      <c r="AP486" s="8" t="str">
        <f>IF(C486="","",IF(AND(OR([1]Consulta!$C$29="",A486=[1]Consulta!$C$29),OR([1]Consulta!$E$29="",B486=[1]Consulta!$E$29),OR([1]Consulta!$G$29="",D486=[1]Consulta!$G$29,R486=[1]Consulta!$G$29)),ROW()-1,""))</f>
        <v/>
      </c>
    </row>
    <row r="487" spans="1:42" ht="1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 t="str">
        <f t="shared" si="63"/>
        <v/>
      </c>
      <c r="AG487" s="7" t="str">
        <f t="shared" si="71"/>
        <v/>
      </c>
      <c r="AH487" s="7" t="str">
        <f t="shared" si="64"/>
        <v/>
      </c>
      <c r="AI487" s="7" t="str">
        <f t="shared" si="65"/>
        <v/>
      </c>
      <c r="AJ487" s="7" t="str">
        <f t="shared" si="66"/>
        <v/>
      </c>
      <c r="AK487" s="7" t="str">
        <f t="shared" si="67"/>
        <v/>
      </c>
      <c r="AL487" s="7" t="str">
        <f t="shared" si="68"/>
        <v/>
      </c>
      <c r="AM487" s="7" t="str">
        <f t="shared" si="69"/>
        <v/>
      </c>
      <c r="AN487" s="8" t="str">
        <f>IF(C487="","",COUNTIF($C$2:C487,C487))</f>
        <v/>
      </c>
      <c r="AO487" s="8" t="str">
        <f t="shared" si="70"/>
        <v/>
      </c>
      <c r="AP487" s="8" t="str">
        <f>IF(C487="","",IF(AND(OR([1]Consulta!$C$29="",A487=[1]Consulta!$C$29),OR([1]Consulta!$E$29="",B487=[1]Consulta!$E$29),OR([1]Consulta!$G$29="",D487=[1]Consulta!$G$29,R487=[1]Consulta!$G$29)),ROW()-1,""))</f>
        <v/>
      </c>
    </row>
    <row r="488" spans="1:42" ht="1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 t="str">
        <f t="shared" si="63"/>
        <v/>
      </c>
      <c r="AG488" s="7" t="str">
        <f t="shared" si="71"/>
        <v/>
      </c>
      <c r="AH488" s="7" t="str">
        <f t="shared" si="64"/>
        <v/>
      </c>
      <c r="AI488" s="7" t="str">
        <f t="shared" si="65"/>
        <v/>
      </c>
      <c r="AJ488" s="7" t="str">
        <f t="shared" si="66"/>
        <v/>
      </c>
      <c r="AK488" s="7" t="str">
        <f t="shared" si="67"/>
        <v/>
      </c>
      <c r="AL488" s="7" t="str">
        <f t="shared" si="68"/>
        <v/>
      </c>
      <c r="AM488" s="7" t="str">
        <f t="shared" si="69"/>
        <v/>
      </c>
      <c r="AN488" s="8" t="str">
        <f>IF(C488="","",COUNTIF($C$2:C488,C488))</f>
        <v/>
      </c>
      <c r="AO488" s="8" t="str">
        <f t="shared" si="70"/>
        <v/>
      </c>
      <c r="AP488" s="8" t="str">
        <f>IF(C488="","",IF(AND(OR([1]Consulta!$C$29="",A488=[1]Consulta!$C$29),OR([1]Consulta!$E$29="",B488=[1]Consulta!$E$29),OR([1]Consulta!$G$29="",D488=[1]Consulta!$G$29,R488=[1]Consulta!$G$29)),ROW()-1,""))</f>
        <v/>
      </c>
    </row>
    <row r="489" spans="1:42" ht="1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 t="str">
        <f t="shared" si="63"/>
        <v/>
      </c>
      <c r="AG489" s="7" t="str">
        <f t="shared" si="71"/>
        <v/>
      </c>
      <c r="AH489" s="7" t="str">
        <f t="shared" si="64"/>
        <v/>
      </c>
      <c r="AI489" s="7" t="str">
        <f t="shared" si="65"/>
        <v/>
      </c>
      <c r="AJ489" s="7" t="str">
        <f t="shared" si="66"/>
        <v/>
      </c>
      <c r="AK489" s="7" t="str">
        <f t="shared" si="67"/>
        <v/>
      </c>
      <c r="AL489" s="7" t="str">
        <f t="shared" si="68"/>
        <v/>
      </c>
      <c r="AM489" s="7" t="str">
        <f t="shared" si="69"/>
        <v/>
      </c>
      <c r="AN489" s="8" t="str">
        <f>IF(C489="","",COUNTIF($C$2:C489,C489))</f>
        <v/>
      </c>
      <c r="AO489" s="8" t="str">
        <f t="shared" si="70"/>
        <v/>
      </c>
      <c r="AP489" s="8" t="str">
        <f>IF(C489="","",IF(AND(OR([1]Consulta!$C$29="",A489=[1]Consulta!$C$29),OR([1]Consulta!$E$29="",B489=[1]Consulta!$E$29),OR([1]Consulta!$G$29="",D489=[1]Consulta!$G$29,R489=[1]Consulta!$G$29)),ROW()-1,""))</f>
        <v/>
      </c>
    </row>
    <row r="490" spans="1:42" ht="1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 t="str">
        <f t="shared" si="63"/>
        <v/>
      </c>
      <c r="AG490" s="7" t="str">
        <f t="shared" si="71"/>
        <v/>
      </c>
      <c r="AH490" s="7" t="str">
        <f t="shared" si="64"/>
        <v/>
      </c>
      <c r="AI490" s="7" t="str">
        <f t="shared" si="65"/>
        <v/>
      </c>
      <c r="AJ490" s="7" t="str">
        <f t="shared" si="66"/>
        <v/>
      </c>
      <c r="AK490" s="7" t="str">
        <f t="shared" si="67"/>
        <v/>
      </c>
      <c r="AL490" s="7" t="str">
        <f t="shared" si="68"/>
        <v/>
      </c>
      <c r="AM490" s="7" t="str">
        <f t="shared" si="69"/>
        <v/>
      </c>
      <c r="AN490" s="8" t="str">
        <f>IF(C490="","",COUNTIF($C$2:C490,C490))</f>
        <v/>
      </c>
      <c r="AO490" s="8" t="str">
        <f t="shared" si="70"/>
        <v/>
      </c>
      <c r="AP490" s="8" t="str">
        <f>IF(C490="","",IF(AND(OR([1]Consulta!$C$29="",A490=[1]Consulta!$C$29),OR([1]Consulta!$E$29="",B490=[1]Consulta!$E$29),OR([1]Consulta!$G$29="",D490=[1]Consulta!$G$29,R490=[1]Consulta!$G$29)),ROW()-1,""))</f>
        <v/>
      </c>
    </row>
    <row r="491" spans="1:42" ht="1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 t="str">
        <f t="shared" si="63"/>
        <v/>
      </c>
      <c r="AG491" s="7" t="str">
        <f t="shared" si="71"/>
        <v/>
      </c>
      <c r="AH491" s="7" t="str">
        <f t="shared" si="64"/>
        <v/>
      </c>
      <c r="AI491" s="7" t="str">
        <f t="shared" si="65"/>
        <v/>
      </c>
      <c r="AJ491" s="7" t="str">
        <f t="shared" si="66"/>
        <v/>
      </c>
      <c r="AK491" s="7" t="str">
        <f t="shared" si="67"/>
        <v/>
      </c>
      <c r="AL491" s="7" t="str">
        <f t="shared" si="68"/>
        <v/>
      </c>
      <c r="AM491" s="7" t="str">
        <f t="shared" si="69"/>
        <v/>
      </c>
      <c r="AN491" s="8" t="str">
        <f>IF(C491="","",COUNTIF($C$2:C491,C491))</f>
        <v/>
      </c>
      <c r="AO491" s="8" t="str">
        <f t="shared" si="70"/>
        <v/>
      </c>
      <c r="AP491" s="8" t="str">
        <f>IF(C491="","",IF(AND(OR([1]Consulta!$C$29="",A491=[1]Consulta!$C$29),OR([1]Consulta!$E$29="",B491=[1]Consulta!$E$29),OR([1]Consulta!$G$29="",D491=[1]Consulta!$G$29,R491=[1]Consulta!$G$29)),ROW()-1,""))</f>
        <v/>
      </c>
    </row>
    <row r="492" spans="1:42" ht="1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 t="str">
        <f t="shared" si="63"/>
        <v/>
      </c>
      <c r="AG492" s="7" t="str">
        <f t="shared" si="71"/>
        <v/>
      </c>
      <c r="AH492" s="7" t="str">
        <f t="shared" si="64"/>
        <v/>
      </c>
      <c r="AI492" s="7" t="str">
        <f t="shared" si="65"/>
        <v/>
      </c>
      <c r="AJ492" s="7" t="str">
        <f t="shared" si="66"/>
        <v/>
      </c>
      <c r="AK492" s="7" t="str">
        <f t="shared" si="67"/>
        <v/>
      </c>
      <c r="AL492" s="7" t="str">
        <f t="shared" si="68"/>
        <v/>
      </c>
      <c r="AM492" s="7" t="str">
        <f t="shared" si="69"/>
        <v/>
      </c>
      <c r="AN492" s="8" t="str">
        <f>IF(C492="","",COUNTIF($C$2:C492,C492))</f>
        <v/>
      </c>
      <c r="AO492" s="8" t="str">
        <f t="shared" si="70"/>
        <v/>
      </c>
      <c r="AP492" s="8" t="str">
        <f>IF(C492="","",IF(AND(OR([1]Consulta!$C$29="",A492=[1]Consulta!$C$29),OR([1]Consulta!$E$29="",B492=[1]Consulta!$E$29),OR([1]Consulta!$G$29="",D492=[1]Consulta!$G$29,R492=[1]Consulta!$G$29)),ROW()-1,""))</f>
        <v/>
      </c>
    </row>
    <row r="493" spans="1:42" ht="1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 t="str">
        <f t="shared" si="63"/>
        <v/>
      </c>
      <c r="AG493" s="7" t="str">
        <f t="shared" si="71"/>
        <v/>
      </c>
      <c r="AH493" s="7" t="str">
        <f t="shared" si="64"/>
        <v/>
      </c>
      <c r="AI493" s="7" t="str">
        <f t="shared" si="65"/>
        <v/>
      </c>
      <c r="AJ493" s="7" t="str">
        <f t="shared" si="66"/>
        <v/>
      </c>
      <c r="AK493" s="7" t="str">
        <f t="shared" si="67"/>
        <v/>
      </c>
      <c r="AL493" s="7" t="str">
        <f t="shared" si="68"/>
        <v/>
      </c>
      <c r="AM493" s="7" t="str">
        <f t="shared" si="69"/>
        <v/>
      </c>
      <c r="AN493" s="8" t="str">
        <f>IF(C493="","",COUNTIF($C$2:C493,C493))</f>
        <v/>
      </c>
      <c r="AO493" s="8" t="str">
        <f t="shared" si="70"/>
        <v/>
      </c>
      <c r="AP493" s="8" t="str">
        <f>IF(C493="","",IF(AND(OR([1]Consulta!$C$29="",A493=[1]Consulta!$C$29),OR([1]Consulta!$E$29="",B493=[1]Consulta!$E$29),OR([1]Consulta!$G$29="",D493=[1]Consulta!$G$29,R493=[1]Consulta!$G$29)),ROW()-1,""))</f>
        <v/>
      </c>
    </row>
    <row r="494" spans="1:42" ht="1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 t="str">
        <f t="shared" si="63"/>
        <v/>
      </c>
      <c r="AG494" s="7" t="str">
        <f t="shared" si="71"/>
        <v/>
      </c>
      <c r="AH494" s="7" t="str">
        <f t="shared" si="64"/>
        <v/>
      </c>
      <c r="AI494" s="7" t="str">
        <f t="shared" si="65"/>
        <v/>
      </c>
      <c r="AJ494" s="7" t="str">
        <f t="shared" si="66"/>
        <v/>
      </c>
      <c r="AK494" s="7" t="str">
        <f t="shared" si="67"/>
        <v/>
      </c>
      <c r="AL494" s="7" t="str">
        <f t="shared" si="68"/>
        <v/>
      </c>
      <c r="AM494" s="7" t="str">
        <f t="shared" si="69"/>
        <v/>
      </c>
      <c r="AN494" s="8" t="str">
        <f>IF(C494="","",COUNTIF($C$2:C494,C494))</f>
        <v/>
      </c>
      <c r="AO494" s="8" t="str">
        <f t="shared" si="70"/>
        <v/>
      </c>
      <c r="AP494" s="8" t="str">
        <f>IF(C494="","",IF(AND(OR([1]Consulta!$C$29="",A494=[1]Consulta!$C$29),OR([1]Consulta!$E$29="",B494=[1]Consulta!$E$29),OR([1]Consulta!$G$29="",D494=[1]Consulta!$G$29,R494=[1]Consulta!$G$29)),ROW()-1,""))</f>
        <v/>
      </c>
    </row>
    <row r="495" spans="1:42" ht="1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 t="str">
        <f t="shared" si="63"/>
        <v/>
      </c>
      <c r="AG495" s="7" t="str">
        <f t="shared" si="71"/>
        <v/>
      </c>
      <c r="AH495" s="7" t="str">
        <f t="shared" si="64"/>
        <v/>
      </c>
      <c r="AI495" s="7" t="str">
        <f t="shared" si="65"/>
        <v/>
      </c>
      <c r="AJ495" s="7" t="str">
        <f t="shared" si="66"/>
        <v/>
      </c>
      <c r="AK495" s="7" t="str">
        <f t="shared" si="67"/>
        <v/>
      </c>
      <c r="AL495" s="7" t="str">
        <f t="shared" si="68"/>
        <v/>
      </c>
      <c r="AM495" s="7" t="str">
        <f t="shared" si="69"/>
        <v/>
      </c>
      <c r="AN495" s="8" t="str">
        <f>IF(C495="","",COUNTIF($C$2:C495,C495))</f>
        <v/>
      </c>
      <c r="AO495" s="8" t="str">
        <f t="shared" si="70"/>
        <v/>
      </c>
      <c r="AP495" s="8" t="str">
        <f>IF(C495="","",IF(AND(OR([1]Consulta!$C$29="",A495=[1]Consulta!$C$29),OR([1]Consulta!$E$29="",B495=[1]Consulta!$E$29),OR([1]Consulta!$G$29="",D495=[1]Consulta!$G$29,R495=[1]Consulta!$G$29)),ROW()-1,""))</f>
        <v/>
      </c>
    </row>
    <row r="496" spans="1:42" ht="1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 t="str">
        <f t="shared" si="63"/>
        <v/>
      </c>
      <c r="AG496" s="7" t="str">
        <f t="shared" si="71"/>
        <v/>
      </c>
      <c r="AH496" s="7" t="str">
        <f t="shared" si="64"/>
        <v/>
      </c>
      <c r="AI496" s="7" t="str">
        <f t="shared" si="65"/>
        <v/>
      </c>
      <c r="AJ496" s="7" t="str">
        <f t="shared" si="66"/>
        <v/>
      </c>
      <c r="AK496" s="7" t="str">
        <f t="shared" si="67"/>
        <v/>
      </c>
      <c r="AL496" s="7" t="str">
        <f t="shared" si="68"/>
        <v/>
      </c>
      <c r="AM496" s="7" t="str">
        <f t="shared" si="69"/>
        <v/>
      </c>
      <c r="AN496" s="8" t="str">
        <f>IF(C496="","",COUNTIF($C$2:C496,C496))</f>
        <v/>
      </c>
      <c r="AO496" s="8" t="str">
        <f t="shared" si="70"/>
        <v/>
      </c>
      <c r="AP496" s="8" t="str">
        <f>IF(C496="","",IF(AND(OR([1]Consulta!$C$29="",A496=[1]Consulta!$C$29),OR([1]Consulta!$E$29="",B496=[1]Consulta!$E$29),OR([1]Consulta!$G$29="",D496=[1]Consulta!$G$29,R496=[1]Consulta!$G$29)),ROW()-1,""))</f>
        <v/>
      </c>
    </row>
    <row r="497" spans="1:42" ht="1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 t="str">
        <f t="shared" si="63"/>
        <v/>
      </c>
      <c r="AG497" s="7" t="str">
        <f t="shared" si="71"/>
        <v/>
      </c>
      <c r="AH497" s="7" t="str">
        <f t="shared" si="64"/>
        <v/>
      </c>
      <c r="AI497" s="7" t="str">
        <f t="shared" si="65"/>
        <v/>
      </c>
      <c r="AJ497" s="7" t="str">
        <f t="shared" si="66"/>
        <v/>
      </c>
      <c r="AK497" s="7" t="str">
        <f t="shared" si="67"/>
        <v/>
      </c>
      <c r="AL497" s="7" t="str">
        <f t="shared" si="68"/>
        <v/>
      </c>
      <c r="AM497" s="7" t="str">
        <f t="shared" si="69"/>
        <v/>
      </c>
      <c r="AN497" s="8" t="str">
        <f>IF(C497="","",COUNTIF($C$2:C497,C497))</f>
        <v/>
      </c>
      <c r="AO497" s="8" t="str">
        <f t="shared" si="70"/>
        <v/>
      </c>
      <c r="AP497" s="8" t="str">
        <f>IF(C497="","",IF(AND(OR([1]Consulta!$C$29="",A497=[1]Consulta!$C$29),OR([1]Consulta!$E$29="",B497=[1]Consulta!$E$29),OR([1]Consulta!$G$29="",D497=[1]Consulta!$G$29,R497=[1]Consulta!$G$29)),ROW()-1,""))</f>
        <v/>
      </c>
    </row>
    <row r="498" spans="1:42" ht="1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 t="str">
        <f t="shared" si="63"/>
        <v/>
      </c>
      <c r="AG498" s="7" t="str">
        <f t="shared" si="71"/>
        <v/>
      </c>
      <c r="AH498" s="7" t="str">
        <f t="shared" si="64"/>
        <v/>
      </c>
      <c r="AI498" s="7" t="str">
        <f t="shared" si="65"/>
        <v/>
      </c>
      <c r="AJ498" s="7" t="str">
        <f t="shared" si="66"/>
        <v/>
      </c>
      <c r="AK498" s="7" t="str">
        <f t="shared" si="67"/>
        <v/>
      </c>
      <c r="AL498" s="7" t="str">
        <f t="shared" si="68"/>
        <v/>
      </c>
      <c r="AM498" s="7" t="str">
        <f t="shared" si="69"/>
        <v/>
      </c>
      <c r="AN498" s="8" t="str">
        <f>IF(C498="","",COUNTIF($C$2:C498,C498))</f>
        <v/>
      </c>
      <c r="AO498" s="8" t="str">
        <f t="shared" si="70"/>
        <v/>
      </c>
      <c r="AP498" s="8" t="str">
        <f>IF(C498="","",IF(AND(OR([1]Consulta!$C$29="",A498=[1]Consulta!$C$29),OR([1]Consulta!$E$29="",B498=[1]Consulta!$E$29),OR([1]Consulta!$G$29="",D498=[1]Consulta!$G$29,R498=[1]Consulta!$G$29)),ROW()-1,""))</f>
        <v/>
      </c>
    </row>
    <row r="499" spans="1:42" ht="1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 t="str">
        <f t="shared" si="63"/>
        <v/>
      </c>
      <c r="AG499" s="7" t="str">
        <f t="shared" si="71"/>
        <v/>
      </c>
      <c r="AH499" s="7" t="str">
        <f t="shared" si="64"/>
        <v/>
      </c>
      <c r="AI499" s="7" t="str">
        <f t="shared" si="65"/>
        <v/>
      </c>
      <c r="AJ499" s="7" t="str">
        <f t="shared" si="66"/>
        <v/>
      </c>
      <c r="AK499" s="7" t="str">
        <f t="shared" si="67"/>
        <v/>
      </c>
      <c r="AL499" s="7" t="str">
        <f t="shared" si="68"/>
        <v/>
      </c>
      <c r="AM499" s="7" t="str">
        <f t="shared" si="69"/>
        <v/>
      </c>
      <c r="AN499" s="8" t="str">
        <f>IF(C499="","",COUNTIF($C$2:C499,C499))</f>
        <v/>
      </c>
      <c r="AO499" s="8" t="str">
        <f t="shared" si="70"/>
        <v/>
      </c>
      <c r="AP499" s="8" t="str">
        <f>IF(C499="","",IF(AND(OR([1]Consulta!$C$29="",A499=[1]Consulta!$C$29),OR([1]Consulta!$E$29="",B499=[1]Consulta!$E$29),OR([1]Consulta!$G$29="",D499=[1]Consulta!$G$29,R499=[1]Consulta!$G$29)),ROW()-1,""))</f>
        <v/>
      </c>
    </row>
    <row r="500" spans="1:42" ht="1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 t="str">
        <f t="shared" si="63"/>
        <v/>
      </c>
      <c r="AG500" s="7" t="str">
        <f t="shared" si="71"/>
        <v/>
      </c>
      <c r="AH500" s="7" t="str">
        <f t="shared" si="64"/>
        <v/>
      </c>
      <c r="AI500" s="7" t="str">
        <f t="shared" si="65"/>
        <v/>
      </c>
      <c r="AJ500" s="7" t="str">
        <f t="shared" si="66"/>
        <v/>
      </c>
      <c r="AK500" s="7" t="str">
        <f t="shared" si="67"/>
        <v/>
      </c>
      <c r="AL500" s="7" t="str">
        <f t="shared" si="68"/>
        <v/>
      </c>
      <c r="AM500" s="7" t="str">
        <f t="shared" si="69"/>
        <v/>
      </c>
      <c r="AN500" s="8" t="str">
        <f>IF(C500="","",COUNTIF($C$2:C500,C500))</f>
        <v/>
      </c>
      <c r="AO500" s="8" t="str">
        <f t="shared" si="70"/>
        <v/>
      </c>
      <c r="AP500" s="8" t="str">
        <f>IF(C500="","",IF(AND(OR([1]Consulta!$C$29="",A500=[1]Consulta!$C$29),OR([1]Consulta!$E$29="",B500=[1]Consulta!$E$29),OR([1]Consulta!$G$29="",D500=[1]Consulta!$G$29,R500=[1]Consulta!$G$29)),ROW()-1,""))</f>
        <v/>
      </c>
    </row>
    <row r="501" spans="1:42" ht="1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 t="str">
        <f t="shared" si="63"/>
        <v/>
      </c>
      <c r="AG501" s="7" t="str">
        <f t="shared" si="71"/>
        <v/>
      </c>
      <c r="AH501" s="7" t="str">
        <f t="shared" si="64"/>
        <v/>
      </c>
      <c r="AI501" s="7" t="str">
        <f t="shared" si="65"/>
        <v/>
      </c>
      <c r="AJ501" s="7" t="str">
        <f t="shared" si="66"/>
        <v/>
      </c>
      <c r="AK501" s="7" t="str">
        <f t="shared" si="67"/>
        <v/>
      </c>
      <c r="AL501" s="7" t="str">
        <f t="shared" si="68"/>
        <v/>
      </c>
      <c r="AM501" s="7" t="str">
        <f t="shared" si="69"/>
        <v/>
      </c>
      <c r="AN501" s="8" t="str">
        <f>IF(C501="","",COUNTIF($C$2:C501,C501))</f>
        <v/>
      </c>
      <c r="AO501" s="8" t="str">
        <f t="shared" si="70"/>
        <v/>
      </c>
      <c r="AP501" s="8" t="str">
        <f>IF(C501="","",IF(AND(OR([1]Consulta!$C$29="",A501=[1]Consulta!$C$29),OR([1]Consulta!$E$29="",B501=[1]Consulta!$E$29),OR([1]Consulta!$G$29="",D501=[1]Consulta!$G$29,R501=[1]Consulta!$G$29)),ROW()-1,""))</f>
        <v/>
      </c>
    </row>
    <row r="502" spans="1:42" ht="1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 t="str">
        <f t="shared" si="63"/>
        <v/>
      </c>
      <c r="AG502" s="7" t="str">
        <f t="shared" si="71"/>
        <v/>
      </c>
      <c r="AH502" s="7" t="str">
        <f t="shared" si="64"/>
        <v/>
      </c>
      <c r="AI502" s="7" t="str">
        <f t="shared" si="65"/>
        <v/>
      </c>
      <c r="AJ502" s="7" t="str">
        <f t="shared" si="66"/>
        <v/>
      </c>
      <c r="AK502" s="7" t="str">
        <f t="shared" si="67"/>
        <v/>
      </c>
      <c r="AL502" s="7" t="str">
        <f t="shared" si="68"/>
        <v/>
      </c>
      <c r="AM502" s="7" t="str">
        <f t="shared" si="69"/>
        <v/>
      </c>
      <c r="AN502" s="8" t="str">
        <f>IF(C502="","",COUNTIF($C$2:C502,C502))</f>
        <v/>
      </c>
      <c r="AO502" s="8" t="str">
        <f t="shared" si="70"/>
        <v/>
      </c>
      <c r="AP502" s="8" t="str">
        <f>IF(C502="","",IF(AND(OR([1]Consulta!$C$29="",A502=[1]Consulta!$C$29),OR([1]Consulta!$E$29="",B502=[1]Consulta!$E$29),OR([1]Consulta!$G$29="",D502=[1]Consulta!$G$29,R502=[1]Consulta!$G$29)),ROW()-1,""))</f>
        <v/>
      </c>
    </row>
    <row r="503" spans="1:42" ht="1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 t="str">
        <f t="shared" si="63"/>
        <v/>
      </c>
      <c r="AG503" s="7" t="str">
        <f t="shared" si="71"/>
        <v/>
      </c>
      <c r="AH503" s="7" t="str">
        <f t="shared" si="64"/>
        <v/>
      </c>
      <c r="AI503" s="7" t="str">
        <f t="shared" si="65"/>
        <v/>
      </c>
      <c r="AJ503" s="7" t="str">
        <f t="shared" si="66"/>
        <v/>
      </c>
      <c r="AK503" s="7" t="str">
        <f t="shared" si="67"/>
        <v/>
      </c>
      <c r="AL503" s="7" t="str">
        <f t="shared" si="68"/>
        <v/>
      </c>
      <c r="AM503" s="7" t="str">
        <f t="shared" si="69"/>
        <v/>
      </c>
      <c r="AN503" s="8" t="str">
        <f>IF(C503="","",COUNTIF($C$2:C503,C503))</f>
        <v/>
      </c>
      <c r="AO503" s="8" t="str">
        <f t="shared" si="70"/>
        <v/>
      </c>
      <c r="AP503" s="8" t="str">
        <f>IF(C503="","",IF(AND(OR([1]Consulta!$C$29="",A503=[1]Consulta!$C$29),OR([1]Consulta!$E$29="",B503=[1]Consulta!$E$29),OR([1]Consulta!$G$29="",D503=[1]Consulta!$G$29,R503=[1]Consulta!$G$29)),ROW()-1,""))</f>
        <v/>
      </c>
    </row>
    <row r="504" spans="1:42" ht="1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 t="str">
        <f t="shared" si="63"/>
        <v/>
      </c>
      <c r="AG504" s="7" t="str">
        <f t="shared" si="71"/>
        <v/>
      </c>
      <c r="AH504" s="7" t="str">
        <f t="shared" si="64"/>
        <v/>
      </c>
      <c r="AI504" s="7" t="str">
        <f t="shared" si="65"/>
        <v/>
      </c>
      <c r="AJ504" s="7" t="str">
        <f t="shared" si="66"/>
        <v/>
      </c>
      <c r="AK504" s="7" t="str">
        <f t="shared" si="67"/>
        <v/>
      </c>
      <c r="AL504" s="7" t="str">
        <f t="shared" si="68"/>
        <v/>
      </c>
      <c r="AM504" s="7" t="str">
        <f t="shared" si="69"/>
        <v/>
      </c>
      <c r="AN504" s="8" t="str">
        <f>IF(C504="","",COUNTIF($C$2:C504,C504))</f>
        <v/>
      </c>
      <c r="AO504" s="8" t="str">
        <f t="shared" si="70"/>
        <v/>
      </c>
      <c r="AP504" s="8" t="str">
        <f>IF(C504="","",IF(AND(OR([1]Consulta!$C$29="",A504=[1]Consulta!$C$29),OR([1]Consulta!$E$29="",B504=[1]Consulta!$E$29),OR([1]Consulta!$G$29="",D504=[1]Consulta!$G$29,R504=[1]Consulta!$G$29)),ROW()-1,""))</f>
        <v/>
      </c>
    </row>
    <row r="505" spans="1:42" ht="1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 t="str">
        <f t="shared" si="63"/>
        <v/>
      </c>
      <c r="AG505" s="7" t="str">
        <f t="shared" si="71"/>
        <v/>
      </c>
      <c r="AH505" s="7" t="str">
        <f t="shared" si="64"/>
        <v/>
      </c>
      <c r="AI505" s="7" t="str">
        <f t="shared" si="65"/>
        <v/>
      </c>
      <c r="AJ505" s="7" t="str">
        <f t="shared" si="66"/>
        <v/>
      </c>
      <c r="AK505" s="7" t="str">
        <f t="shared" si="67"/>
        <v/>
      </c>
      <c r="AL505" s="7" t="str">
        <f t="shared" si="68"/>
        <v/>
      </c>
      <c r="AM505" s="7" t="str">
        <f t="shared" si="69"/>
        <v/>
      </c>
      <c r="AN505" s="8" t="str">
        <f>IF(C505="","",COUNTIF($C$2:C505,C505))</f>
        <v/>
      </c>
      <c r="AO505" s="8" t="str">
        <f t="shared" si="70"/>
        <v/>
      </c>
      <c r="AP505" s="8" t="str">
        <f>IF(C505="","",IF(AND(OR([1]Consulta!$C$29="",A505=[1]Consulta!$C$29),OR([1]Consulta!$E$29="",B505=[1]Consulta!$E$29),OR([1]Consulta!$G$29="",D505=[1]Consulta!$G$29,R505=[1]Consulta!$G$29)),ROW()-1,""))</f>
        <v/>
      </c>
    </row>
    <row r="506" spans="1:42" ht="1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 t="str">
        <f t="shared" si="63"/>
        <v/>
      </c>
      <c r="AG506" s="7" t="str">
        <f t="shared" si="71"/>
        <v/>
      </c>
      <c r="AH506" s="7" t="str">
        <f t="shared" si="64"/>
        <v/>
      </c>
      <c r="AI506" s="7" t="str">
        <f t="shared" si="65"/>
        <v/>
      </c>
      <c r="AJ506" s="7" t="str">
        <f t="shared" si="66"/>
        <v/>
      </c>
      <c r="AK506" s="7" t="str">
        <f t="shared" si="67"/>
        <v/>
      </c>
      <c r="AL506" s="7" t="str">
        <f t="shared" si="68"/>
        <v/>
      </c>
      <c r="AM506" s="7" t="str">
        <f t="shared" si="69"/>
        <v/>
      </c>
      <c r="AN506" s="8" t="str">
        <f>IF(C506="","",COUNTIF($C$2:C506,C506))</f>
        <v/>
      </c>
      <c r="AO506" s="8" t="str">
        <f t="shared" si="70"/>
        <v/>
      </c>
      <c r="AP506" s="8" t="str">
        <f>IF(C506="","",IF(AND(OR([1]Consulta!$C$29="",A506=[1]Consulta!$C$29),OR([1]Consulta!$E$29="",B506=[1]Consulta!$E$29),OR([1]Consulta!$G$29="",D506=[1]Consulta!$G$29,R506=[1]Consulta!$G$29)),ROW()-1,""))</f>
        <v/>
      </c>
    </row>
    <row r="507" spans="1:42" ht="1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 t="str">
        <f t="shared" si="63"/>
        <v/>
      </c>
      <c r="AG507" s="7" t="str">
        <f t="shared" si="71"/>
        <v/>
      </c>
      <c r="AH507" s="7" t="str">
        <f t="shared" si="64"/>
        <v/>
      </c>
      <c r="AI507" s="7" t="str">
        <f t="shared" si="65"/>
        <v/>
      </c>
      <c r="AJ507" s="7" t="str">
        <f t="shared" si="66"/>
        <v/>
      </c>
      <c r="AK507" s="7" t="str">
        <f t="shared" si="67"/>
        <v/>
      </c>
      <c r="AL507" s="7" t="str">
        <f t="shared" si="68"/>
        <v/>
      </c>
      <c r="AM507" s="7" t="str">
        <f t="shared" si="69"/>
        <v/>
      </c>
      <c r="AN507" s="8" t="str">
        <f>IF(C507="","",COUNTIF($C$2:C507,C507))</f>
        <v/>
      </c>
      <c r="AO507" s="8" t="str">
        <f t="shared" si="70"/>
        <v/>
      </c>
      <c r="AP507" s="8" t="str">
        <f>IF(C507="","",IF(AND(OR([1]Consulta!$C$29="",A507=[1]Consulta!$C$29),OR([1]Consulta!$E$29="",B507=[1]Consulta!$E$29),OR([1]Consulta!$G$29="",D507=[1]Consulta!$G$29,R507=[1]Consulta!$G$29)),ROW()-1,""))</f>
        <v/>
      </c>
    </row>
    <row r="508" spans="1:42" ht="1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 t="str">
        <f t="shared" si="63"/>
        <v/>
      </c>
      <c r="AG508" s="7" t="str">
        <f t="shared" si="71"/>
        <v/>
      </c>
      <c r="AH508" s="7" t="str">
        <f t="shared" si="64"/>
        <v/>
      </c>
      <c r="AI508" s="7" t="str">
        <f t="shared" si="65"/>
        <v/>
      </c>
      <c r="AJ508" s="7" t="str">
        <f t="shared" si="66"/>
        <v/>
      </c>
      <c r="AK508" s="7" t="str">
        <f t="shared" si="67"/>
        <v/>
      </c>
      <c r="AL508" s="7" t="str">
        <f t="shared" si="68"/>
        <v/>
      </c>
      <c r="AM508" s="7" t="str">
        <f t="shared" si="69"/>
        <v/>
      </c>
      <c r="AN508" s="8" t="str">
        <f>IF(C508="","",COUNTIF($C$2:C508,C508))</f>
        <v/>
      </c>
      <c r="AO508" s="8" t="str">
        <f t="shared" si="70"/>
        <v/>
      </c>
      <c r="AP508" s="8" t="str">
        <f>IF(C508="","",IF(AND(OR([1]Consulta!$C$29="",A508=[1]Consulta!$C$29),OR([1]Consulta!$E$29="",B508=[1]Consulta!$E$29),OR([1]Consulta!$G$29="",D508=[1]Consulta!$G$29,R508=[1]Consulta!$G$29)),ROW()-1,""))</f>
        <v/>
      </c>
    </row>
    <row r="509" spans="1:42" ht="1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 t="str">
        <f t="shared" si="63"/>
        <v/>
      </c>
      <c r="AG509" s="7" t="str">
        <f t="shared" si="71"/>
        <v/>
      </c>
      <c r="AH509" s="7" t="str">
        <f t="shared" si="64"/>
        <v/>
      </c>
      <c r="AI509" s="7" t="str">
        <f t="shared" si="65"/>
        <v/>
      </c>
      <c r="AJ509" s="7" t="str">
        <f t="shared" si="66"/>
        <v/>
      </c>
      <c r="AK509" s="7" t="str">
        <f t="shared" si="67"/>
        <v/>
      </c>
      <c r="AL509" s="7" t="str">
        <f t="shared" si="68"/>
        <v/>
      </c>
      <c r="AM509" s="7" t="str">
        <f t="shared" si="69"/>
        <v/>
      </c>
      <c r="AN509" s="8" t="str">
        <f>IF(C509="","",COUNTIF($C$2:C509,C509))</f>
        <v/>
      </c>
      <c r="AO509" s="8" t="str">
        <f t="shared" si="70"/>
        <v/>
      </c>
      <c r="AP509" s="8" t="str">
        <f>IF(C509="","",IF(AND(OR([1]Consulta!$C$29="",A509=[1]Consulta!$C$29),OR([1]Consulta!$E$29="",B509=[1]Consulta!$E$29),OR([1]Consulta!$G$29="",D509=[1]Consulta!$G$29,R509=[1]Consulta!$G$29)),ROW()-1,""))</f>
        <v/>
      </c>
    </row>
    <row r="510" spans="1:42" ht="1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 t="str">
        <f t="shared" si="63"/>
        <v/>
      </c>
      <c r="AG510" s="7" t="str">
        <f t="shared" si="71"/>
        <v/>
      </c>
      <c r="AH510" s="7" t="str">
        <f t="shared" si="64"/>
        <v/>
      </c>
      <c r="AI510" s="7" t="str">
        <f t="shared" si="65"/>
        <v/>
      </c>
      <c r="AJ510" s="7" t="str">
        <f t="shared" si="66"/>
        <v/>
      </c>
      <c r="AK510" s="7" t="str">
        <f t="shared" si="67"/>
        <v/>
      </c>
      <c r="AL510" s="7" t="str">
        <f t="shared" si="68"/>
        <v/>
      </c>
      <c r="AM510" s="7" t="str">
        <f t="shared" si="69"/>
        <v/>
      </c>
      <c r="AN510" s="8" t="str">
        <f>IF(C510="","",COUNTIF($C$2:C510,C510))</f>
        <v/>
      </c>
      <c r="AO510" s="8" t="str">
        <f t="shared" si="70"/>
        <v/>
      </c>
      <c r="AP510" s="8" t="str">
        <f>IF(C510="","",IF(AND(OR([1]Consulta!$C$29="",A510=[1]Consulta!$C$29),OR([1]Consulta!$E$29="",B510=[1]Consulta!$E$29),OR([1]Consulta!$G$29="",D510=[1]Consulta!$G$29,R510=[1]Consulta!$G$29)),ROW()-1,""))</f>
        <v/>
      </c>
    </row>
    <row r="511" spans="1:42" ht="1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 t="str">
        <f t="shared" si="63"/>
        <v/>
      </c>
      <c r="AG511" s="7" t="str">
        <f t="shared" si="71"/>
        <v/>
      </c>
      <c r="AH511" s="7" t="str">
        <f t="shared" si="64"/>
        <v/>
      </c>
      <c r="AI511" s="7" t="str">
        <f t="shared" si="65"/>
        <v/>
      </c>
      <c r="AJ511" s="7" t="str">
        <f t="shared" si="66"/>
        <v/>
      </c>
      <c r="AK511" s="7" t="str">
        <f t="shared" si="67"/>
        <v/>
      </c>
      <c r="AL511" s="7" t="str">
        <f t="shared" si="68"/>
        <v/>
      </c>
      <c r="AM511" s="7" t="str">
        <f t="shared" si="69"/>
        <v/>
      </c>
      <c r="AN511" s="8" t="str">
        <f>IF(C511="","",COUNTIF($C$2:C511,C511))</f>
        <v/>
      </c>
      <c r="AO511" s="8" t="str">
        <f t="shared" si="70"/>
        <v/>
      </c>
      <c r="AP511" s="8" t="str">
        <f>IF(C511="","",IF(AND(OR([1]Consulta!$C$29="",A511=[1]Consulta!$C$29),OR([1]Consulta!$E$29="",B511=[1]Consulta!$E$29),OR([1]Consulta!$G$29="",D511=[1]Consulta!$G$29,R511=[1]Consulta!$G$29)),ROW()-1,""))</f>
        <v/>
      </c>
    </row>
    <row r="512" spans="1:42" ht="1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 t="str">
        <f t="shared" si="63"/>
        <v/>
      </c>
      <c r="AG512" s="7" t="str">
        <f t="shared" si="71"/>
        <v/>
      </c>
      <c r="AH512" s="7" t="str">
        <f t="shared" si="64"/>
        <v/>
      </c>
      <c r="AI512" s="7" t="str">
        <f t="shared" si="65"/>
        <v/>
      </c>
      <c r="AJ512" s="7" t="str">
        <f t="shared" si="66"/>
        <v/>
      </c>
      <c r="AK512" s="7" t="str">
        <f t="shared" si="67"/>
        <v/>
      </c>
      <c r="AL512" s="7" t="str">
        <f t="shared" si="68"/>
        <v/>
      </c>
      <c r="AM512" s="7" t="str">
        <f t="shared" si="69"/>
        <v/>
      </c>
      <c r="AN512" s="8" t="str">
        <f>IF(C512="","",COUNTIF($C$2:C512,C512))</f>
        <v/>
      </c>
      <c r="AO512" s="8" t="str">
        <f t="shared" si="70"/>
        <v/>
      </c>
      <c r="AP512" s="8" t="str">
        <f>IF(C512="","",IF(AND(OR([1]Consulta!$C$29="",A512=[1]Consulta!$C$29),OR([1]Consulta!$E$29="",B512=[1]Consulta!$E$29),OR([1]Consulta!$G$29="",D512=[1]Consulta!$G$29,R512=[1]Consulta!$G$29)),ROW()-1,""))</f>
        <v/>
      </c>
    </row>
    <row r="513" spans="1:42" ht="1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 t="str">
        <f t="shared" si="63"/>
        <v/>
      </c>
      <c r="AG513" s="7" t="str">
        <f t="shared" si="71"/>
        <v/>
      </c>
      <c r="AH513" s="7" t="str">
        <f t="shared" si="64"/>
        <v/>
      </c>
      <c r="AI513" s="7" t="str">
        <f t="shared" si="65"/>
        <v/>
      </c>
      <c r="AJ513" s="7" t="str">
        <f t="shared" si="66"/>
        <v/>
      </c>
      <c r="AK513" s="7" t="str">
        <f t="shared" si="67"/>
        <v/>
      </c>
      <c r="AL513" s="7" t="str">
        <f t="shared" si="68"/>
        <v/>
      </c>
      <c r="AM513" s="7" t="str">
        <f t="shared" si="69"/>
        <v/>
      </c>
      <c r="AN513" s="8" t="str">
        <f>IF(C513="","",COUNTIF($C$2:C513,C513))</f>
        <v/>
      </c>
      <c r="AO513" s="8" t="str">
        <f t="shared" si="70"/>
        <v/>
      </c>
      <c r="AP513" s="8" t="str">
        <f>IF(C513="","",IF(AND(OR([1]Consulta!$C$29="",A513=[1]Consulta!$C$29),OR([1]Consulta!$E$29="",B513=[1]Consulta!$E$29),OR([1]Consulta!$G$29="",D513=[1]Consulta!$G$29,R513=[1]Consulta!$G$29)),ROW()-1,""))</f>
        <v/>
      </c>
    </row>
    <row r="514" spans="1:42" ht="1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 t="str">
        <f t="shared" ref="AF514:AF577" si="72">IF(C514="","",IF(AND(ISNUMBER(K514),ISNUMBER(L514)),K514-L514,""))</f>
        <v/>
      </c>
      <c r="AG514" s="7" t="str">
        <f t="shared" si="71"/>
        <v/>
      </c>
      <c r="AH514" s="7" t="str">
        <f t="shared" ref="AH514:AH577" si="73">IF(C514="","",IF(AND(ISNUMBER(Y514),ISNUMBER(Z514)),Y514-Z514,""))</f>
        <v/>
      </c>
      <c r="AI514" s="7" t="str">
        <f t="shared" ref="AI514:AI577" si="74">IF(C514="","",IF(AH514="","N/A",IF(AH514&lt;0,"ALARMA","OK")))</f>
        <v/>
      </c>
      <c r="AJ514" s="7" t="str">
        <f t="shared" ref="AJ514:AJ577" si="75">IF(C514="","",IF(ISNUMBER(M514),IF(M514&gt;0,"CON ERRORES","OK"),"N/A"))</f>
        <v/>
      </c>
      <c r="AK514" s="7" t="str">
        <f t="shared" ref="AK514:AK577" si="76">IF(C514="","",IF(ISNUMBER(AA514),IF(AA514&gt;0,"CON ERRORES","OK"),"N/A"))</f>
        <v/>
      </c>
      <c r="AL514" s="7" t="str">
        <f t="shared" ref="AL514:AL577" si="77">IF(C514="","",IF(OR(AG514="ALARMA",AI514="ALARMA",AJ514="CON ERRORES",AK514="CON ERRORES"),"REVISAR","OK"))</f>
        <v/>
      </c>
      <c r="AM514" s="7" t="str">
        <f t="shared" ref="AM514:AM577" si="78">IF(C514="","",IF(ISNUMBER(Q514),Q514,IF(ISNUMBER(AE514),AE514,"Ver detalle")))</f>
        <v/>
      </c>
      <c r="AN514" s="8" t="str">
        <f>IF(C514="","",COUNTIF($C$2:C514,C514))</f>
        <v/>
      </c>
      <c r="AO514" s="8" t="str">
        <f t="shared" ref="AO514:AO577" si="79">IF(C514="","",C514&amp;"|"&amp;AN514)</f>
        <v/>
      </c>
      <c r="AP514" s="8" t="str">
        <f>IF(C514="","",IF(AND(OR([1]Consulta!$C$29="",A514=[1]Consulta!$C$29),OR([1]Consulta!$E$29="",B514=[1]Consulta!$E$29),OR([1]Consulta!$G$29="",D514=[1]Consulta!$G$29,R514=[1]Consulta!$G$29)),ROW()-1,""))</f>
        <v/>
      </c>
    </row>
    <row r="515" spans="1:42" ht="1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 t="str">
        <f t="shared" si="72"/>
        <v/>
      </c>
      <c r="AG515" s="7" t="str">
        <f t="shared" ref="AG515:AG578" si="80">IF(C515="","",IF(AF515="","N/A",IF(AF515&lt;0,"ALARMA","OK")))</f>
        <v/>
      </c>
      <c r="AH515" s="7" t="str">
        <f t="shared" si="73"/>
        <v/>
      </c>
      <c r="AI515" s="7" t="str">
        <f t="shared" si="74"/>
        <v/>
      </c>
      <c r="AJ515" s="7" t="str">
        <f t="shared" si="75"/>
        <v/>
      </c>
      <c r="AK515" s="7" t="str">
        <f t="shared" si="76"/>
        <v/>
      </c>
      <c r="AL515" s="7" t="str">
        <f t="shared" si="77"/>
        <v/>
      </c>
      <c r="AM515" s="7" t="str">
        <f t="shared" si="78"/>
        <v/>
      </c>
      <c r="AN515" s="8" t="str">
        <f>IF(C515="","",COUNTIF($C$2:C515,C515))</f>
        <v/>
      </c>
      <c r="AO515" s="8" t="str">
        <f t="shared" si="79"/>
        <v/>
      </c>
      <c r="AP515" s="8" t="str">
        <f>IF(C515="","",IF(AND(OR([1]Consulta!$C$29="",A515=[1]Consulta!$C$29),OR([1]Consulta!$E$29="",B515=[1]Consulta!$E$29),OR([1]Consulta!$G$29="",D515=[1]Consulta!$G$29,R515=[1]Consulta!$G$29)),ROW()-1,""))</f>
        <v/>
      </c>
    </row>
    <row r="516" spans="1:42" ht="1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 t="str">
        <f t="shared" si="72"/>
        <v/>
      </c>
      <c r="AG516" s="7" t="str">
        <f t="shared" si="80"/>
        <v/>
      </c>
      <c r="AH516" s="7" t="str">
        <f t="shared" si="73"/>
        <v/>
      </c>
      <c r="AI516" s="7" t="str">
        <f t="shared" si="74"/>
        <v/>
      </c>
      <c r="AJ516" s="7" t="str">
        <f t="shared" si="75"/>
        <v/>
      </c>
      <c r="AK516" s="7" t="str">
        <f t="shared" si="76"/>
        <v/>
      </c>
      <c r="AL516" s="7" t="str">
        <f t="shared" si="77"/>
        <v/>
      </c>
      <c r="AM516" s="7" t="str">
        <f t="shared" si="78"/>
        <v/>
      </c>
      <c r="AN516" s="8" t="str">
        <f>IF(C516="","",COUNTIF($C$2:C516,C516))</f>
        <v/>
      </c>
      <c r="AO516" s="8" t="str">
        <f t="shared" si="79"/>
        <v/>
      </c>
      <c r="AP516" s="8" t="str">
        <f>IF(C516="","",IF(AND(OR([1]Consulta!$C$29="",A516=[1]Consulta!$C$29),OR([1]Consulta!$E$29="",B516=[1]Consulta!$E$29),OR([1]Consulta!$G$29="",D516=[1]Consulta!$G$29,R516=[1]Consulta!$G$29)),ROW()-1,""))</f>
        <v/>
      </c>
    </row>
    <row r="517" spans="1:42" ht="1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 t="str">
        <f t="shared" si="72"/>
        <v/>
      </c>
      <c r="AG517" s="7" t="str">
        <f t="shared" si="80"/>
        <v/>
      </c>
      <c r="AH517" s="7" t="str">
        <f t="shared" si="73"/>
        <v/>
      </c>
      <c r="AI517" s="7" t="str">
        <f t="shared" si="74"/>
        <v/>
      </c>
      <c r="AJ517" s="7" t="str">
        <f t="shared" si="75"/>
        <v/>
      </c>
      <c r="AK517" s="7" t="str">
        <f t="shared" si="76"/>
        <v/>
      </c>
      <c r="AL517" s="7" t="str">
        <f t="shared" si="77"/>
        <v/>
      </c>
      <c r="AM517" s="7" t="str">
        <f t="shared" si="78"/>
        <v/>
      </c>
      <c r="AN517" s="8" t="str">
        <f>IF(C517="","",COUNTIF($C$2:C517,C517))</f>
        <v/>
      </c>
      <c r="AO517" s="8" t="str">
        <f t="shared" si="79"/>
        <v/>
      </c>
      <c r="AP517" s="8" t="str">
        <f>IF(C517="","",IF(AND(OR([1]Consulta!$C$29="",A517=[1]Consulta!$C$29),OR([1]Consulta!$E$29="",B517=[1]Consulta!$E$29),OR([1]Consulta!$G$29="",D517=[1]Consulta!$G$29,R517=[1]Consulta!$G$29)),ROW()-1,""))</f>
        <v/>
      </c>
    </row>
    <row r="518" spans="1:42" ht="1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 t="str">
        <f t="shared" si="72"/>
        <v/>
      </c>
      <c r="AG518" s="7" t="str">
        <f t="shared" si="80"/>
        <v/>
      </c>
      <c r="AH518" s="7" t="str">
        <f t="shared" si="73"/>
        <v/>
      </c>
      <c r="AI518" s="7" t="str">
        <f t="shared" si="74"/>
        <v/>
      </c>
      <c r="AJ518" s="7" t="str">
        <f t="shared" si="75"/>
        <v/>
      </c>
      <c r="AK518" s="7" t="str">
        <f t="shared" si="76"/>
        <v/>
      </c>
      <c r="AL518" s="7" t="str">
        <f t="shared" si="77"/>
        <v/>
      </c>
      <c r="AM518" s="7" t="str">
        <f t="shared" si="78"/>
        <v/>
      </c>
      <c r="AN518" s="8" t="str">
        <f>IF(C518="","",COUNTIF($C$2:C518,C518))</f>
        <v/>
      </c>
      <c r="AO518" s="8" t="str">
        <f t="shared" si="79"/>
        <v/>
      </c>
      <c r="AP518" s="8" t="str">
        <f>IF(C518="","",IF(AND(OR([1]Consulta!$C$29="",A518=[1]Consulta!$C$29),OR([1]Consulta!$E$29="",B518=[1]Consulta!$E$29),OR([1]Consulta!$G$29="",D518=[1]Consulta!$G$29,R518=[1]Consulta!$G$29)),ROW()-1,""))</f>
        <v/>
      </c>
    </row>
    <row r="519" spans="1:42" ht="1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 t="str">
        <f t="shared" si="72"/>
        <v/>
      </c>
      <c r="AG519" s="7" t="str">
        <f t="shared" si="80"/>
        <v/>
      </c>
      <c r="AH519" s="7" t="str">
        <f t="shared" si="73"/>
        <v/>
      </c>
      <c r="AI519" s="7" t="str">
        <f t="shared" si="74"/>
        <v/>
      </c>
      <c r="AJ519" s="7" t="str">
        <f t="shared" si="75"/>
        <v/>
      </c>
      <c r="AK519" s="7" t="str">
        <f t="shared" si="76"/>
        <v/>
      </c>
      <c r="AL519" s="7" t="str">
        <f t="shared" si="77"/>
        <v/>
      </c>
      <c r="AM519" s="7" t="str">
        <f t="shared" si="78"/>
        <v/>
      </c>
      <c r="AN519" s="8" t="str">
        <f>IF(C519="","",COUNTIF($C$2:C519,C519))</f>
        <v/>
      </c>
      <c r="AO519" s="8" t="str">
        <f t="shared" si="79"/>
        <v/>
      </c>
      <c r="AP519" s="8" t="str">
        <f>IF(C519="","",IF(AND(OR([1]Consulta!$C$29="",A519=[1]Consulta!$C$29),OR([1]Consulta!$E$29="",B519=[1]Consulta!$E$29),OR([1]Consulta!$G$29="",D519=[1]Consulta!$G$29,R519=[1]Consulta!$G$29)),ROW()-1,""))</f>
        <v/>
      </c>
    </row>
    <row r="520" spans="1:42" ht="1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 t="str">
        <f t="shared" si="72"/>
        <v/>
      </c>
      <c r="AG520" s="7" t="str">
        <f t="shared" si="80"/>
        <v/>
      </c>
      <c r="AH520" s="7" t="str">
        <f t="shared" si="73"/>
        <v/>
      </c>
      <c r="AI520" s="7" t="str">
        <f t="shared" si="74"/>
        <v/>
      </c>
      <c r="AJ520" s="7" t="str">
        <f t="shared" si="75"/>
        <v/>
      </c>
      <c r="AK520" s="7" t="str">
        <f t="shared" si="76"/>
        <v/>
      </c>
      <c r="AL520" s="7" t="str">
        <f t="shared" si="77"/>
        <v/>
      </c>
      <c r="AM520" s="7" t="str">
        <f t="shared" si="78"/>
        <v/>
      </c>
      <c r="AN520" s="8" t="str">
        <f>IF(C520="","",COUNTIF($C$2:C520,C520))</f>
        <v/>
      </c>
      <c r="AO520" s="8" t="str">
        <f t="shared" si="79"/>
        <v/>
      </c>
      <c r="AP520" s="8" t="str">
        <f>IF(C520="","",IF(AND(OR([1]Consulta!$C$29="",A520=[1]Consulta!$C$29),OR([1]Consulta!$E$29="",B520=[1]Consulta!$E$29),OR([1]Consulta!$G$29="",D520=[1]Consulta!$G$29,R520=[1]Consulta!$G$29)),ROW()-1,""))</f>
        <v/>
      </c>
    </row>
    <row r="521" spans="1:42" ht="1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 t="str">
        <f t="shared" si="72"/>
        <v/>
      </c>
      <c r="AG521" s="7" t="str">
        <f t="shared" si="80"/>
        <v/>
      </c>
      <c r="AH521" s="7" t="str">
        <f t="shared" si="73"/>
        <v/>
      </c>
      <c r="AI521" s="7" t="str">
        <f t="shared" si="74"/>
        <v/>
      </c>
      <c r="AJ521" s="7" t="str">
        <f t="shared" si="75"/>
        <v/>
      </c>
      <c r="AK521" s="7" t="str">
        <f t="shared" si="76"/>
        <v/>
      </c>
      <c r="AL521" s="7" t="str">
        <f t="shared" si="77"/>
        <v/>
      </c>
      <c r="AM521" s="7" t="str">
        <f t="shared" si="78"/>
        <v/>
      </c>
      <c r="AN521" s="8" t="str">
        <f>IF(C521="","",COUNTIF($C$2:C521,C521))</f>
        <v/>
      </c>
      <c r="AO521" s="8" t="str">
        <f t="shared" si="79"/>
        <v/>
      </c>
      <c r="AP521" s="8" t="str">
        <f>IF(C521="","",IF(AND(OR([1]Consulta!$C$29="",A521=[1]Consulta!$C$29),OR([1]Consulta!$E$29="",B521=[1]Consulta!$E$29),OR([1]Consulta!$G$29="",D521=[1]Consulta!$G$29,R521=[1]Consulta!$G$29)),ROW()-1,""))</f>
        <v/>
      </c>
    </row>
    <row r="522" spans="1:42" ht="1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 t="str">
        <f t="shared" si="72"/>
        <v/>
      </c>
      <c r="AG522" s="7" t="str">
        <f t="shared" si="80"/>
        <v/>
      </c>
      <c r="AH522" s="7" t="str">
        <f t="shared" si="73"/>
        <v/>
      </c>
      <c r="AI522" s="7" t="str">
        <f t="shared" si="74"/>
        <v/>
      </c>
      <c r="AJ522" s="7" t="str">
        <f t="shared" si="75"/>
        <v/>
      </c>
      <c r="AK522" s="7" t="str">
        <f t="shared" si="76"/>
        <v/>
      </c>
      <c r="AL522" s="7" t="str">
        <f t="shared" si="77"/>
        <v/>
      </c>
      <c r="AM522" s="7" t="str">
        <f t="shared" si="78"/>
        <v/>
      </c>
      <c r="AN522" s="8" t="str">
        <f>IF(C522="","",COUNTIF($C$2:C522,C522))</f>
        <v/>
      </c>
      <c r="AO522" s="8" t="str">
        <f t="shared" si="79"/>
        <v/>
      </c>
      <c r="AP522" s="8" t="str">
        <f>IF(C522="","",IF(AND(OR([1]Consulta!$C$29="",A522=[1]Consulta!$C$29),OR([1]Consulta!$E$29="",B522=[1]Consulta!$E$29),OR([1]Consulta!$G$29="",D522=[1]Consulta!$G$29,R522=[1]Consulta!$G$29)),ROW()-1,""))</f>
        <v/>
      </c>
    </row>
    <row r="523" spans="1:42" ht="1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 t="str">
        <f t="shared" si="72"/>
        <v/>
      </c>
      <c r="AG523" s="7" t="str">
        <f t="shared" si="80"/>
        <v/>
      </c>
      <c r="AH523" s="7" t="str">
        <f t="shared" si="73"/>
        <v/>
      </c>
      <c r="AI523" s="7" t="str">
        <f t="shared" si="74"/>
        <v/>
      </c>
      <c r="AJ523" s="7" t="str">
        <f t="shared" si="75"/>
        <v/>
      </c>
      <c r="AK523" s="7" t="str">
        <f t="shared" si="76"/>
        <v/>
      </c>
      <c r="AL523" s="7" t="str">
        <f t="shared" si="77"/>
        <v/>
      </c>
      <c r="AM523" s="7" t="str">
        <f t="shared" si="78"/>
        <v/>
      </c>
      <c r="AN523" s="8" t="str">
        <f>IF(C523="","",COUNTIF($C$2:C523,C523))</f>
        <v/>
      </c>
      <c r="AO523" s="8" t="str">
        <f t="shared" si="79"/>
        <v/>
      </c>
      <c r="AP523" s="8" t="str">
        <f>IF(C523="","",IF(AND(OR([1]Consulta!$C$29="",A523=[1]Consulta!$C$29),OR([1]Consulta!$E$29="",B523=[1]Consulta!$E$29),OR([1]Consulta!$G$29="",D523=[1]Consulta!$G$29,R523=[1]Consulta!$G$29)),ROW()-1,""))</f>
        <v/>
      </c>
    </row>
    <row r="524" spans="1:42" ht="1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 t="str">
        <f t="shared" si="72"/>
        <v/>
      </c>
      <c r="AG524" s="7" t="str">
        <f t="shared" si="80"/>
        <v/>
      </c>
      <c r="AH524" s="7" t="str">
        <f t="shared" si="73"/>
        <v/>
      </c>
      <c r="AI524" s="7" t="str">
        <f t="shared" si="74"/>
        <v/>
      </c>
      <c r="AJ524" s="7" t="str">
        <f t="shared" si="75"/>
        <v/>
      </c>
      <c r="AK524" s="7" t="str">
        <f t="shared" si="76"/>
        <v/>
      </c>
      <c r="AL524" s="7" t="str">
        <f t="shared" si="77"/>
        <v/>
      </c>
      <c r="AM524" s="7" t="str">
        <f t="shared" si="78"/>
        <v/>
      </c>
      <c r="AN524" s="8" t="str">
        <f>IF(C524="","",COUNTIF($C$2:C524,C524))</f>
        <v/>
      </c>
      <c r="AO524" s="8" t="str">
        <f t="shared" si="79"/>
        <v/>
      </c>
      <c r="AP524" s="8" t="str">
        <f>IF(C524="","",IF(AND(OR([1]Consulta!$C$29="",A524=[1]Consulta!$C$29),OR([1]Consulta!$E$29="",B524=[1]Consulta!$E$29),OR([1]Consulta!$G$29="",D524=[1]Consulta!$G$29,R524=[1]Consulta!$G$29)),ROW()-1,""))</f>
        <v/>
      </c>
    </row>
    <row r="525" spans="1:42" ht="1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 t="str">
        <f t="shared" si="72"/>
        <v/>
      </c>
      <c r="AG525" s="7" t="str">
        <f t="shared" si="80"/>
        <v/>
      </c>
      <c r="AH525" s="7" t="str">
        <f t="shared" si="73"/>
        <v/>
      </c>
      <c r="AI525" s="7" t="str">
        <f t="shared" si="74"/>
        <v/>
      </c>
      <c r="AJ525" s="7" t="str">
        <f t="shared" si="75"/>
        <v/>
      </c>
      <c r="AK525" s="7" t="str">
        <f t="shared" si="76"/>
        <v/>
      </c>
      <c r="AL525" s="7" t="str">
        <f t="shared" si="77"/>
        <v/>
      </c>
      <c r="AM525" s="7" t="str">
        <f t="shared" si="78"/>
        <v/>
      </c>
      <c r="AN525" s="8" t="str">
        <f>IF(C525="","",COUNTIF($C$2:C525,C525))</f>
        <v/>
      </c>
      <c r="AO525" s="8" t="str">
        <f t="shared" si="79"/>
        <v/>
      </c>
      <c r="AP525" s="8" t="str">
        <f>IF(C525="","",IF(AND(OR([1]Consulta!$C$29="",A525=[1]Consulta!$C$29),OR([1]Consulta!$E$29="",B525=[1]Consulta!$E$29),OR([1]Consulta!$G$29="",D525=[1]Consulta!$G$29,R525=[1]Consulta!$G$29)),ROW()-1,""))</f>
        <v/>
      </c>
    </row>
    <row r="526" spans="1:42" ht="1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 t="str">
        <f t="shared" si="72"/>
        <v/>
      </c>
      <c r="AG526" s="7" t="str">
        <f t="shared" si="80"/>
        <v/>
      </c>
      <c r="AH526" s="7" t="str">
        <f t="shared" si="73"/>
        <v/>
      </c>
      <c r="AI526" s="7" t="str">
        <f t="shared" si="74"/>
        <v/>
      </c>
      <c r="AJ526" s="7" t="str">
        <f t="shared" si="75"/>
        <v/>
      </c>
      <c r="AK526" s="7" t="str">
        <f t="shared" si="76"/>
        <v/>
      </c>
      <c r="AL526" s="7" t="str">
        <f t="shared" si="77"/>
        <v/>
      </c>
      <c r="AM526" s="7" t="str">
        <f t="shared" si="78"/>
        <v/>
      </c>
      <c r="AN526" s="8" t="str">
        <f>IF(C526="","",COUNTIF($C$2:C526,C526))</f>
        <v/>
      </c>
      <c r="AO526" s="8" t="str">
        <f t="shared" si="79"/>
        <v/>
      </c>
      <c r="AP526" s="8" t="str">
        <f>IF(C526="","",IF(AND(OR([1]Consulta!$C$29="",A526=[1]Consulta!$C$29),OR([1]Consulta!$E$29="",B526=[1]Consulta!$E$29),OR([1]Consulta!$G$29="",D526=[1]Consulta!$G$29,R526=[1]Consulta!$G$29)),ROW()-1,""))</f>
        <v/>
      </c>
    </row>
    <row r="527" spans="1:42" ht="1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 t="str">
        <f t="shared" si="72"/>
        <v/>
      </c>
      <c r="AG527" s="7" t="str">
        <f t="shared" si="80"/>
        <v/>
      </c>
      <c r="AH527" s="7" t="str">
        <f t="shared" si="73"/>
        <v/>
      </c>
      <c r="AI527" s="7" t="str">
        <f t="shared" si="74"/>
        <v/>
      </c>
      <c r="AJ527" s="7" t="str">
        <f t="shared" si="75"/>
        <v/>
      </c>
      <c r="AK527" s="7" t="str">
        <f t="shared" si="76"/>
        <v/>
      </c>
      <c r="AL527" s="7" t="str">
        <f t="shared" si="77"/>
        <v/>
      </c>
      <c r="AM527" s="7" t="str">
        <f t="shared" si="78"/>
        <v/>
      </c>
      <c r="AN527" s="8" t="str">
        <f>IF(C527="","",COUNTIF($C$2:C527,C527))</f>
        <v/>
      </c>
      <c r="AO527" s="8" t="str">
        <f t="shared" si="79"/>
        <v/>
      </c>
      <c r="AP527" s="8" t="str">
        <f>IF(C527="","",IF(AND(OR([1]Consulta!$C$29="",A527=[1]Consulta!$C$29),OR([1]Consulta!$E$29="",B527=[1]Consulta!$E$29),OR([1]Consulta!$G$29="",D527=[1]Consulta!$G$29,R527=[1]Consulta!$G$29)),ROW()-1,""))</f>
        <v/>
      </c>
    </row>
    <row r="528" spans="1:42" ht="1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 t="str">
        <f t="shared" si="72"/>
        <v/>
      </c>
      <c r="AG528" s="7" t="str">
        <f t="shared" si="80"/>
        <v/>
      </c>
      <c r="AH528" s="7" t="str">
        <f t="shared" si="73"/>
        <v/>
      </c>
      <c r="AI528" s="7" t="str">
        <f t="shared" si="74"/>
        <v/>
      </c>
      <c r="AJ528" s="7" t="str">
        <f t="shared" si="75"/>
        <v/>
      </c>
      <c r="AK528" s="7" t="str">
        <f t="shared" si="76"/>
        <v/>
      </c>
      <c r="AL528" s="7" t="str">
        <f t="shared" si="77"/>
        <v/>
      </c>
      <c r="AM528" s="7" t="str">
        <f t="shared" si="78"/>
        <v/>
      </c>
      <c r="AN528" s="8" t="str">
        <f>IF(C528="","",COUNTIF($C$2:C528,C528))</f>
        <v/>
      </c>
      <c r="AO528" s="8" t="str">
        <f t="shared" si="79"/>
        <v/>
      </c>
      <c r="AP528" s="8" t="str">
        <f>IF(C528="","",IF(AND(OR([1]Consulta!$C$29="",A528=[1]Consulta!$C$29),OR([1]Consulta!$E$29="",B528=[1]Consulta!$E$29),OR([1]Consulta!$G$29="",D528=[1]Consulta!$G$29,R528=[1]Consulta!$G$29)),ROW()-1,""))</f>
        <v/>
      </c>
    </row>
    <row r="529" spans="1:42" ht="1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 t="str">
        <f t="shared" si="72"/>
        <v/>
      </c>
      <c r="AG529" s="7" t="str">
        <f t="shared" si="80"/>
        <v/>
      </c>
      <c r="AH529" s="7" t="str">
        <f t="shared" si="73"/>
        <v/>
      </c>
      <c r="AI529" s="7" t="str">
        <f t="shared" si="74"/>
        <v/>
      </c>
      <c r="AJ529" s="7" t="str">
        <f t="shared" si="75"/>
        <v/>
      </c>
      <c r="AK529" s="7" t="str">
        <f t="shared" si="76"/>
        <v/>
      </c>
      <c r="AL529" s="7" t="str">
        <f t="shared" si="77"/>
        <v/>
      </c>
      <c r="AM529" s="7" t="str">
        <f t="shared" si="78"/>
        <v/>
      </c>
      <c r="AN529" s="8" t="str">
        <f>IF(C529="","",COUNTIF($C$2:C529,C529))</f>
        <v/>
      </c>
      <c r="AO529" s="8" t="str">
        <f t="shared" si="79"/>
        <v/>
      </c>
      <c r="AP529" s="8" t="str">
        <f>IF(C529="","",IF(AND(OR([1]Consulta!$C$29="",A529=[1]Consulta!$C$29),OR([1]Consulta!$E$29="",B529=[1]Consulta!$E$29),OR([1]Consulta!$G$29="",D529=[1]Consulta!$G$29,R529=[1]Consulta!$G$29)),ROW()-1,""))</f>
        <v/>
      </c>
    </row>
    <row r="530" spans="1:42" ht="1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 t="str">
        <f t="shared" si="72"/>
        <v/>
      </c>
      <c r="AG530" s="7" t="str">
        <f t="shared" si="80"/>
        <v/>
      </c>
      <c r="AH530" s="7" t="str">
        <f t="shared" si="73"/>
        <v/>
      </c>
      <c r="AI530" s="7" t="str">
        <f t="shared" si="74"/>
        <v/>
      </c>
      <c r="AJ530" s="7" t="str">
        <f t="shared" si="75"/>
        <v/>
      </c>
      <c r="AK530" s="7" t="str">
        <f t="shared" si="76"/>
        <v/>
      </c>
      <c r="AL530" s="7" t="str">
        <f t="shared" si="77"/>
        <v/>
      </c>
      <c r="AM530" s="7" t="str">
        <f t="shared" si="78"/>
        <v/>
      </c>
      <c r="AN530" s="8" t="str">
        <f>IF(C530="","",COUNTIF($C$2:C530,C530))</f>
        <v/>
      </c>
      <c r="AO530" s="8" t="str">
        <f t="shared" si="79"/>
        <v/>
      </c>
      <c r="AP530" s="8" t="str">
        <f>IF(C530="","",IF(AND(OR([1]Consulta!$C$29="",A530=[1]Consulta!$C$29),OR([1]Consulta!$E$29="",B530=[1]Consulta!$E$29),OR([1]Consulta!$G$29="",D530=[1]Consulta!$G$29,R530=[1]Consulta!$G$29)),ROW()-1,""))</f>
        <v/>
      </c>
    </row>
    <row r="531" spans="1:42" ht="1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 t="str">
        <f t="shared" si="72"/>
        <v/>
      </c>
      <c r="AG531" s="7" t="str">
        <f t="shared" si="80"/>
        <v/>
      </c>
      <c r="AH531" s="7" t="str">
        <f t="shared" si="73"/>
        <v/>
      </c>
      <c r="AI531" s="7" t="str">
        <f t="shared" si="74"/>
        <v/>
      </c>
      <c r="AJ531" s="7" t="str">
        <f t="shared" si="75"/>
        <v/>
      </c>
      <c r="AK531" s="7" t="str">
        <f t="shared" si="76"/>
        <v/>
      </c>
      <c r="AL531" s="7" t="str">
        <f t="shared" si="77"/>
        <v/>
      </c>
      <c r="AM531" s="7" t="str">
        <f t="shared" si="78"/>
        <v/>
      </c>
      <c r="AN531" s="8" t="str">
        <f>IF(C531="","",COUNTIF($C$2:C531,C531))</f>
        <v/>
      </c>
      <c r="AO531" s="8" t="str">
        <f t="shared" si="79"/>
        <v/>
      </c>
      <c r="AP531" s="8" t="str">
        <f>IF(C531="","",IF(AND(OR([1]Consulta!$C$29="",A531=[1]Consulta!$C$29),OR([1]Consulta!$E$29="",B531=[1]Consulta!$E$29),OR([1]Consulta!$G$29="",D531=[1]Consulta!$G$29,R531=[1]Consulta!$G$29)),ROW()-1,""))</f>
        <v/>
      </c>
    </row>
    <row r="532" spans="1:42" ht="1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 t="str">
        <f t="shared" si="72"/>
        <v/>
      </c>
      <c r="AG532" s="7" t="str">
        <f t="shared" si="80"/>
        <v/>
      </c>
      <c r="AH532" s="7" t="str">
        <f t="shared" si="73"/>
        <v/>
      </c>
      <c r="AI532" s="7" t="str">
        <f t="shared" si="74"/>
        <v/>
      </c>
      <c r="AJ532" s="7" t="str">
        <f t="shared" si="75"/>
        <v/>
      </c>
      <c r="AK532" s="7" t="str">
        <f t="shared" si="76"/>
        <v/>
      </c>
      <c r="AL532" s="7" t="str">
        <f t="shared" si="77"/>
        <v/>
      </c>
      <c r="AM532" s="7" t="str">
        <f t="shared" si="78"/>
        <v/>
      </c>
      <c r="AN532" s="8" t="str">
        <f>IF(C532="","",COUNTIF($C$2:C532,C532))</f>
        <v/>
      </c>
      <c r="AO532" s="8" t="str">
        <f t="shared" si="79"/>
        <v/>
      </c>
      <c r="AP532" s="8" t="str">
        <f>IF(C532="","",IF(AND(OR([1]Consulta!$C$29="",A532=[1]Consulta!$C$29),OR([1]Consulta!$E$29="",B532=[1]Consulta!$E$29),OR([1]Consulta!$G$29="",D532=[1]Consulta!$G$29,R532=[1]Consulta!$G$29)),ROW()-1,""))</f>
        <v/>
      </c>
    </row>
    <row r="533" spans="1:42" ht="1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 t="str">
        <f t="shared" si="72"/>
        <v/>
      </c>
      <c r="AG533" s="7" t="str">
        <f t="shared" si="80"/>
        <v/>
      </c>
      <c r="AH533" s="7" t="str">
        <f t="shared" si="73"/>
        <v/>
      </c>
      <c r="AI533" s="7" t="str">
        <f t="shared" si="74"/>
        <v/>
      </c>
      <c r="AJ533" s="7" t="str">
        <f t="shared" si="75"/>
        <v/>
      </c>
      <c r="AK533" s="7" t="str">
        <f t="shared" si="76"/>
        <v/>
      </c>
      <c r="AL533" s="7" t="str">
        <f t="shared" si="77"/>
        <v/>
      </c>
      <c r="AM533" s="7" t="str">
        <f t="shared" si="78"/>
        <v/>
      </c>
      <c r="AN533" s="8" t="str">
        <f>IF(C533="","",COUNTIF($C$2:C533,C533))</f>
        <v/>
      </c>
      <c r="AO533" s="8" t="str">
        <f t="shared" si="79"/>
        <v/>
      </c>
      <c r="AP533" s="8" t="str">
        <f>IF(C533="","",IF(AND(OR([1]Consulta!$C$29="",A533=[1]Consulta!$C$29),OR([1]Consulta!$E$29="",B533=[1]Consulta!$E$29),OR([1]Consulta!$G$29="",D533=[1]Consulta!$G$29,R533=[1]Consulta!$G$29)),ROW()-1,""))</f>
        <v/>
      </c>
    </row>
    <row r="534" spans="1:42" ht="1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 t="str">
        <f t="shared" si="72"/>
        <v/>
      </c>
      <c r="AG534" s="7" t="str">
        <f t="shared" si="80"/>
        <v/>
      </c>
      <c r="AH534" s="7" t="str">
        <f t="shared" si="73"/>
        <v/>
      </c>
      <c r="AI534" s="7" t="str">
        <f t="shared" si="74"/>
        <v/>
      </c>
      <c r="AJ534" s="7" t="str">
        <f t="shared" si="75"/>
        <v/>
      </c>
      <c r="AK534" s="7" t="str">
        <f t="shared" si="76"/>
        <v/>
      </c>
      <c r="AL534" s="7" t="str">
        <f t="shared" si="77"/>
        <v/>
      </c>
      <c r="AM534" s="7" t="str">
        <f t="shared" si="78"/>
        <v/>
      </c>
      <c r="AN534" s="8" t="str">
        <f>IF(C534="","",COUNTIF($C$2:C534,C534))</f>
        <v/>
      </c>
      <c r="AO534" s="8" t="str">
        <f t="shared" si="79"/>
        <v/>
      </c>
      <c r="AP534" s="8" t="str">
        <f>IF(C534="","",IF(AND(OR([1]Consulta!$C$29="",A534=[1]Consulta!$C$29),OR([1]Consulta!$E$29="",B534=[1]Consulta!$E$29),OR([1]Consulta!$G$29="",D534=[1]Consulta!$G$29,R534=[1]Consulta!$G$29)),ROW()-1,""))</f>
        <v/>
      </c>
    </row>
    <row r="535" spans="1:42" ht="1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 t="str">
        <f t="shared" si="72"/>
        <v/>
      </c>
      <c r="AG535" s="7" t="str">
        <f t="shared" si="80"/>
        <v/>
      </c>
      <c r="AH535" s="7" t="str">
        <f t="shared" si="73"/>
        <v/>
      </c>
      <c r="AI535" s="7" t="str">
        <f t="shared" si="74"/>
        <v/>
      </c>
      <c r="AJ535" s="7" t="str">
        <f t="shared" si="75"/>
        <v/>
      </c>
      <c r="AK535" s="7" t="str">
        <f t="shared" si="76"/>
        <v/>
      </c>
      <c r="AL535" s="7" t="str">
        <f t="shared" si="77"/>
        <v/>
      </c>
      <c r="AM535" s="7" t="str">
        <f t="shared" si="78"/>
        <v/>
      </c>
      <c r="AN535" s="8" t="str">
        <f>IF(C535="","",COUNTIF($C$2:C535,C535))</f>
        <v/>
      </c>
      <c r="AO535" s="8" t="str">
        <f t="shared" si="79"/>
        <v/>
      </c>
      <c r="AP535" s="8" t="str">
        <f>IF(C535="","",IF(AND(OR([1]Consulta!$C$29="",A535=[1]Consulta!$C$29),OR([1]Consulta!$E$29="",B535=[1]Consulta!$E$29),OR([1]Consulta!$G$29="",D535=[1]Consulta!$G$29,R535=[1]Consulta!$G$29)),ROW()-1,""))</f>
        <v/>
      </c>
    </row>
    <row r="536" spans="1:42" ht="1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 t="str">
        <f t="shared" si="72"/>
        <v/>
      </c>
      <c r="AG536" s="7" t="str">
        <f t="shared" si="80"/>
        <v/>
      </c>
      <c r="AH536" s="7" t="str">
        <f t="shared" si="73"/>
        <v/>
      </c>
      <c r="AI536" s="7" t="str">
        <f t="shared" si="74"/>
        <v/>
      </c>
      <c r="AJ536" s="7" t="str">
        <f t="shared" si="75"/>
        <v/>
      </c>
      <c r="AK536" s="7" t="str">
        <f t="shared" si="76"/>
        <v/>
      </c>
      <c r="AL536" s="7" t="str">
        <f t="shared" si="77"/>
        <v/>
      </c>
      <c r="AM536" s="7" t="str">
        <f t="shared" si="78"/>
        <v/>
      </c>
      <c r="AN536" s="8" t="str">
        <f>IF(C536="","",COUNTIF($C$2:C536,C536))</f>
        <v/>
      </c>
      <c r="AO536" s="8" t="str">
        <f t="shared" si="79"/>
        <v/>
      </c>
      <c r="AP536" s="8" t="str">
        <f>IF(C536="","",IF(AND(OR([1]Consulta!$C$29="",A536=[1]Consulta!$C$29),OR([1]Consulta!$E$29="",B536=[1]Consulta!$E$29),OR([1]Consulta!$G$29="",D536=[1]Consulta!$G$29,R536=[1]Consulta!$G$29)),ROW()-1,""))</f>
        <v/>
      </c>
    </row>
    <row r="537" spans="1:42" ht="1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 t="str">
        <f t="shared" si="72"/>
        <v/>
      </c>
      <c r="AG537" s="7" t="str">
        <f t="shared" si="80"/>
        <v/>
      </c>
      <c r="AH537" s="7" t="str">
        <f t="shared" si="73"/>
        <v/>
      </c>
      <c r="AI537" s="7" t="str">
        <f t="shared" si="74"/>
        <v/>
      </c>
      <c r="AJ537" s="7" t="str">
        <f t="shared" si="75"/>
        <v/>
      </c>
      <c r="AK537" s="7" t="str">
        <f t="shared" si="76"/>
        <v/>
      </c>
      <c r="AL537" s="7" t="str">
        <f t="shared" si="77"/>
        <v/>
      </c>
      <c r="AM537" s="7" t="str">
        <f t="shared" si="78"/>
        <v/>
      </c>
      <c r="AN537" s="8" t="str">
        <f>IF(C537="","",COUNTIF($C$2:C537,C537))</f>
        <v/>
      </c>
      <c r="AO537" s="8" t="str">
        <f t="shared" si="79"/>
        <v/>
      </c>
      <c r="AP537" s="8" t="str">
        <f>IF(C537="","",IF(AND(OR([1]Consulta!$C$29="",A537=[1]Consulta!$C$29),OR([1]Consulta!$E$29="",B537=[1]Consulta!$E$29),OR([1]Consulta!$G$29="",D537=[1]Consulta!$G$29,R537=[1]Consulta!$G$29)),ROW()-1,""))</f>
        <v/>
      </c>
    </row>
    <row r="538" spans="1:42" ht="1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 t="str">
        <f t="shared" si="72"/>
        <v/>
      </c>
      <c r="AG538" s="7" t="str">
        <f t="shared" si="80"/>
        <v/>
      </c>
      <c r="AH538" s="7" t="str">
        <f t="shared" si="73"/>
        <v/>
      </c>
      <c r="AI538" s="7" t="str">
        <f t="shared" si="74"/>
        <v/>
      </c>
      <c r="AJ538" s="7" t="str">
        <f t="shared" si="75"/>
        <v/>
      </c>
      <c r="AK538" s="7" t="str">
        <f t="shared" si="76"/>
        <v/>
      </c>
      <c r="AL538" s="7" t="str">
        <f t="shared" si="77"/>
        <v/>
      </c>
      <c r="AM538" s="7" t="str">
        <f t="shared" si="78"/>
        <v/>
      </c>
      <c r="AN538" s="8" t="str">
        <f>IF(C538="","",COUNTIF($C$2:C538,C538))</f>
        <v/>
      </c>
      <c r="AO538" s="8" t="str">
        <f t="shared" si="79"/>
        <v/>
      </c>
      <c r="AP538" s="8" t="str">
        <f>IF(C538="","",IF(AND(OR([1]Consulta!$C$29="",A538=[1]Consulta!$C$29),OR([1]Consulta!$E$29="",B538=[1]Consulta!$E$29),OR([1]Consulta!$G$29="",D538=[1]Consulta!$G$29,R538=[1]Consulta!$G$29)),ROW()-1,""))</f>
        <v/>
      </c>
    </row>
    <row r="539" spans="1:42" ht="1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 t="str">
        <f t="shared" si="72"/>
        <v/>
      </c>
      <c r="AG539" s="7" t="str">
        <f t="shared" si="80"/>
        <v/>
      </c>
      <c r="AH539" s="7" t="str">
        <f t="shared" si="73"/>
        <v/>
      </c>
      <c r="AI539" s="7" t="str">
        <f t="shared" si="74"/>
        <v/>
      </c>
      <c r="AJ539" s="7" t="str">
        <f t="shared" si="75"/>
        <v/>
      </c>
      <c r="AK539" s="7" t="str">
        <f t="shared" si="76"/>
        <v/>
      </c>
      <c r="AL539" s="7" t="str">
        <f t="shared" si="77"/>
        <v/>
      </c>
      <c r="AM539" s="7" t="str">
        <f t="shared" si="78"/>
        <v/>
      </c>
      <c r="AN539" s="8" t="str">
        <f>IF(C539="","",COUNTIF($C$2:C539,C539))</f>
        <v/>
      </c>
      <c r="AO539" s="8" t="str">
        <f t="shared" si="79"/>
        <v/>
      </c>
      <c r="AP539" s="8" t="str">
        <f>IF(C539="","",IF(AND(OR([1]Consulta!$C$29="",A539=[1]Consulta!$C$29),OR([1]Consulta!$E$29="",B539=[1]Consulta!$E$29),OR([1]Consulta!$G$29="",D539=[1]Consulta!$G$29,R539=[1]Consulta!$G$29)),ROW()-1,""))</f>
        <v/>
      </c>
    </row>
    <row r="540" spans="1:42" ht="1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 t="str">
        <f t="shared" si="72"/>
        <v/>
      </c>
      <c r="AG540" s="7" t="str">
        <f t="shared" si="80"/>
        <v/>
      </c>
      <c r="AH540" s="7" t="str">
        <f t="shared" si="73"/>
        <v/>
      </c>
      <c r="AI540" s="7" t="str">
        <f t="shared" si="74"/>
        <v/>
      </c>
      <c r="AJ540" s="7" t="str">
        <f t="shared" si="75"/>
        <v/>
      </c>
      <c r="AK540" s="7" t="str">
        <f t="shared" si="76"/>
        <v/>
      </c>
      <c r="AL540" s="7" t="str">
        <f t="shared" si="77"/>
        <v/>
      </c>
      <c r="AM540" s="7" t="str">
        <f t="shared" si="78"/>
        <v/>
      </c>
      <c r="AN540" s="8" t="str">
        <f>IF(C540="","",COUNTIF($C$2:C540,C540))</f>
        <v/>
      </c>
      <c r="AO540" s="8" t="str">
        <f t="shared" si="79"/>
        <v/>
      </c>
      <c r="AP540" s="8" t="str">
        <f>IF(C540="","",IF(AND(OR([1]Consulta!$C$29="",A540=[1]Consulta!$C$29),OR([1]Consulta!$E$29="",B540=[1]Consulta!$E$29),OR([1]Consulta!$G$29="",D540=[1]Consulta!$G$29,R540=[1]Consulta!$G$29)),ROW()-1,""))</f>
        <v/>
      </c>
    </row>
    <row r="541" spans="1:42" ht="1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 t="str">
        <f t="shared" si="72"/>
        <v/>
      </c>
      <c r="AG541" s="7" t="str">
        <f t="shared" si="80"/>
        <v/>
      </c>
      <c r="AH541" s="7" t="str">
        <f t="shared" si="73"/>
        <v/>
      </c>
      <c r="AI541" s="7" t="str">
        <f t="shared" si="74"/>
        <v/>
      </c>
      <c r="AJ541" s="7" t="str">
        <f t="shared" si="75"/>
        <v/>
      </c>
      <c r="AK541" s="7" t="str">
        <f t="shared" si="76"/>
        <v/>
      </c>
      <c r="AL541" s="7" t="str">
        <f t="shared" si="77"/>
        <v/>
      </c>
      <c r="AM541" s="7" t="str">
        <f t="shared" si="78"/>
        <v/>
      </c>
      <c r="AN541" s="8" t="str">
        <f>IF(C541="","",COUNTIF($C$2:C541,C541))</f>
        <v/>
      </c>
      <c r="AO541" s="8" t="str">
        <f t="shared" si="79"/>
        <v/>
      </c>
      <c r="AP541" s="8" t="str">
        <f>IF(C541="","",IF(AND(OR([1]Consulta!$C$29="",A541=[1]Consulta!$C$29),OR([1]Consulta!$E$29="",B541=[1]Consulta!$E$29),OR([1]Consulta!$G$29="",D541=[1]Consulta!$G$29,R541=[1]Consulta!$G$29)),ROW()-1,""))</f>
        <v/>
      </c>
    </row>
    <row r="542" spans="1:42" ht="1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 t="str">
        <f t="shared" si="72"/>
        <v/>
      </c>
      <c r="AG542" s="7" t="str">
        <f t="shared" si="80"/>
        <v/>
      </c>
      <c r="AH542" s="7" t="str">
        <f t="shared" si="73"/>
        <v/>
      </c>
      <c r="AI542" s="7" t="str">
        <f t="shared" si="74"/>
        <v/>
      </c>
      <c r="AJ542" s="7" t="str">
        <f t="shared" si="75"/>
        <v/>
      </c>
      <c r="AK542" s="7" t="str">
        <f t="shared" si="76"/>
        <v/>
      </c>
      <c r="AL542" s="7" t="str">
        <f t="shared" si="77"/>
        <v/>
      </c>
      <c r="AM542" s="7" t="str">
        <f t="shared" si="78"/>
        <v/>
      </c>
      <c r="AN542" s="8" t="str">
        <f>IF(C542="","",COUNTIF($C$2:C542,C542))</f>
        <v/>
      </c>
      <c r="AO542" s="8" t="str">
        <f t="shared" si="79"/>
        <v/>
      </c>
      <c r="AP542" s="8" t="str">
        <f>IF(C542="","",IF(AND(OR([1]Consulta!$C$29="",A542=[1]Consulta!$C$29),OR([1]Consulta!$E$29="",B542=[1]Consulta!$E$29),OR([1]Consulta!$G$29="",D542=[1]Consulta!$G$29,R542=[1]Consulta!$G$29)),ROW()-1,""))</f>
        <v/>
      </c>
    </row>
    <row r="543" spans="1:42" ht="1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 t="str">
        <f t="shared" si="72"/>
        <v/>
      </c>
      <c r="AG543" s="7" t="str">
        <f t="shared" si="80"/>
        <v/>
      </c>
      <c r="AH543" s="7" t="str">
        <f t="shared" si="73"/>
        <v/>
      </c>
      <c r="AI543" s="7" t="str">
        <f t="shared" si="74"/>
        <v/>
      </c>
      <c r="AJ543" s="7" t="str">
        <f t="shared" si="75"/>
        <v/>
      </c>
      <c r="AK543" s="7" t="str">
        <f t="shared" si="76"/>
        <v/>
      </c>
      <c r="AL543" s="7" t="str">
        <f t="shared" si="77"/>
        <v/>
      </c>
      <c r="AM543" s="7" t="str">
        <f t="shared" si="78"/>
        <v/>
      </c>
      <c r="AN543" s="8" t="str">
        <f>IF(C543="","",COUNTIF($C$2:C543,C543))</f>
        <v/>
      </c>
      <c r="AO543" s="8" t="str">
        <f t="shared" si="79"/>
        <v/>
      </c>
      <c r="AP543" s="8" t="str">
        <f>IF(C543="","",IF(AND(OR([1]Consulta!$C$29="",A543=[1]Consulta!$C$29),OR([1]Consulta!$E$29="",B543=[1]Consulta!$E$29),OR([1]Consulta!$G$29="",D543=[1]Consulta!$G$29,R543=[1]Consulta!$G$29)),ROW()-1,""))</f>
        <v/>
      </c>
    </row>
    <row r="544" spans="1:42" ht="1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 t="str">
        <f t="shared" si="72"/>
        <v/>
      </c>
      <c r="AG544" s="7" t="str">
        <f t="shared" si="80"/>
        <v/>
      </c>
      <c r="AH544" s="7" t="str">
        <f t="shared" si="73"/>
        <v/>
      </c>
      <c r="AI544" s="7" t="str">
        <f t="shared" si="74"/>
        <v/>
      </c>
      <c r="AJ544" s="7" t="str">
        <f t="shared" si="75"/>
        <v/>
      </c>
      <c r="AK544" s="7" t="str">
        <f t="shared" si="76"/>
        <v/>
      </c>
      <c r="AL544" s="7" t="str">
        <f t="shared" si="77"/>
        <v/>
      </c>
      <c r="AM544" s="7" t="str">
        <f t="shared" si="78"/>
        <v/>
      </c>
      <c r="AN544" s="8" t="str">
        <f>IF(C544="","",COUNTIF($C$2:C544,C544))</f>
        <v/>
      </c>
      <c r="AO544" s="8" t="str">
        <f t="shared" si="79"/>
        <v/>
      </c>
      <c r="AP544" s="8" t="str">
        <f>IF(C544="","",IF(AND(OR([1]Consulta!$C$29="",A544=[1]Consulta!$C$29),OR([1]Consulta!$E$29="",B544=[1]Consulta!$E$29),OR([1]Consulta!$G$29="",D544=[1]Consulta!$G$29,R544=[1]Consulta!$G$29)),ROW()-1,""))</f>
        <v/>
      </c>
    </row>
    <row r="545" spans="1:42" ht="1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 t="str">
        <f t="shared" si="72"/>
        <v/>
      </c>
      <c r="AG545" s="7" t="str">
        <f t="shared" si="80"/>
        <v/>
      </c>
      <c r="AH545" s="7" t="str">
        <f t="shared" si="73"/>
        <v/>
      </c>
      <c r="AI545" s="7" t="str">
        <f t="shared" si="74"/>
        <v/>
      </c>
      <c r="AJ545" s="7" t="str">
        <f t="shared" si="75"/>
        <v/>
      </c>
      <c r="AK545" s="7" t="str">
        <f t="shared" si="76"/>
        <v/>
      </c>
      <c r="AL545" s="7" t="str">
        <f t="shared" si="77"/>
        <v/>
      </c>
      <c r="AM545" s="7" t="str">
        <f t="shared" si="78"/>
        <v/>
      </c>
      <c r="AN545" s="8" t="str">
        <f>IF(C545="","",COUNTIF($C$2:C545,C545))</f>
        <v/>
      </c>
      <c r="AO545" s="8" t="str">
        <f t="shared" si="79"/>
        <v/>
      </c>
      <c r="AP545" s="8" t="str">
        <f>IF(C545="","",IF(AND(OR([1]Consulta!$C$29="",A545=[1]Consulta!$C$29),OR([1]Consulta!$E$29="",B545=[1]Consulta!$E$29),OR([1]Consulta!$G$29="",D545=[1]Consulta!$G$29,R545=[1]Consulta!$G$29)),ROW()-1,""))</f>
        <v/>
      </c>
    </row>
    <row r="546" spans="1:42" ht="1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 t="str">
        <f t="shared" si="72"/>
        <v/>
      </c>
      <c r="AG546" s="7" t="str">
        <f t="shared" si="80"/>
        <v/>
      </c>
      <c r="AH546" s="7" t="str">
        <f t="shared" si="73"/>
        <v/>
      </c>
      <c r="AI546" s="7" t="str">
        <f t="shared" si="74"/>
        <v/>
      </c>
      <c r="AJ546" s="7" t="str">
        <f t="shared" si="75"/>
        <v/>
      </c>
      <c r="AK546" s="7" t="str">
        <f t="shared" si="76"/>
        <v/>
      </c>
      <c r="AL546" s="7" t="str">
        <f t="shared" si="77"/>
        <v/>
      </c>
      <c r="AM546" s="7" t="str">
        <f t="shared" si="78"/>
        <v/>
      </c>
      <c r="AN546" s="8" t="str">
        <f>IF(C546="","",COUNTIF($C$2:C546,C546))</f>
        <v/>
      </c>
      <c r="AO546" s="8" t="str">
        <f t="shared" si="79"/>
        <v/>
      </c>
      <c r="AP546" s="8" t="str">
        <f>IF(C546="","",IF(AND(OR([1]Consulta!$C$29="",A546=[1]Consulta!$C$29),OR([1]Consulta!$E$29="",B546=[1]Consulta!$E$29),OR([1]Consulta!$G$29="",D546=[1]Consulta!$G$29,R546=[1]Consulta!$G$29)),ROW()-1,""))</f>
        <v/>
      </c>
    </row>
    <row r="547" spans="1:42" ht="1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 t="str">
        <f t="shared" si="72"/>
        <v/>
      </c>
      <c r="AG547" s="7" t="str">
        <f t="shared" si="80"/>
        <v/>
      </c>
      <c r="AH547" s="7" t="str">
        <f t="shared" si="73"/>
        <v/>
      </c>
      <c r="AI547" s="7" t="str">
        <f t="shared" si="74"/>
        <v/>
      </c>
      <c r="AJ547" s="7" t="str">
        <f t="shared" si="75"/>
        <v/>
      </c>
      <c r="AK547" s="7" t="str">
        <f t="shared" si="76"/>
        <v/>
      </c>
      <c r="AL547" s="7" t="str">
        <f t="shared" si="77"/>
        <v/>
      </c>
      <c r="AM547" s="7" t="str">
        <f t="shared" si="78"/>
        <v/>
      </c>
      <c r="AN547" s="8" t="str">
        <f>IF(C547="","",COUNTIF($C$2:C547,C547))</f>
        <v/>
      </c>
      <c r="AO547" s="8" t="str">
        <f t="shared" si="79"/>
        <v/>
      </c>
      <c r="AP547" s="8" t="str">
        <f>IF(C547="","",IF(AND(OR([1]Consulta!$C$29="",A547=[1]Consulta!$C$29),OR([1]Consulta!$E$29="",B547=[1]Consulta!$E$29),OR([1]Consulta!$G$29="",D547=[1]Consulta!$G$29,R547=[1]Consulta!$G$29)),ROW()-1,""))</f>
        <v/>
      </c>
    </row>
    <row r="548" spans="1:42" ht="1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 t="str">
        <f t="shared" si="72"/>
        <v/>
      </c>
      <c r="AG548" s="7" t="str">
        <f t="shared" si="80"/>
        <v/>
      </c>
      <c r="AH548" s="7" t="str">
        <f t="shared" si="73"/>
        <v/>
      </c>
      <c r="AI548" s="7" t="str">
        <f t="shared" si="74"/>
        <v/>
      </c>
      <c r="AJ548" s="7" t="str">
        <f t="shared" si="75"/>
        <v/>
      </c>
      <c r="AK548" s="7" t="str">
        <f t="shared" si="76"/>
        <v/>
      </c>
      <c r="AL548" s="7" t="str">
        <f t="shared" si="77"/>
        <v/>
      </c>
      <c r="AM548" s="7" t="str">
        <f t="shared" si="78"/>
        <v/>
      </c>
      <c r="AN548" s="8" t="str">
        <f>IF(C548="","",COUNTIF($C$2:C548,C548))</f>
        <v/>
      </c>
      <c r="AO548" s="8" t="str">
        <f t="shared" si="79"/>
        <v/>
      </c>
      <c r="AP548" s="8" t="str">
        <f>IF(C548="","",IF(AND(OR([1]Consulta!$C$29="",A548=[1]Consulta!$C$29),OR([1]Consulta!$E$29="",B548=[1]Consulta!$E$29),OR([1]Consulta!$G$29="",D548=[1]Consulta!$G$29,R548=[1]Consulta!$G$29)),ROW()-1,""))</f>
        <v/>
      </c>
    </row>
    <row r="549" spans="1:42" ht="1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 t="str">
        <f t="shared" si="72"/>
        <v/>
      </c>
      <c r="AG549" s="7" t="str">
        <f t="shared" si="80"/>
        <v/>
      </c>
      <c r="AH549" s="7" t="str">
        <f t="shared" si="73"/>
        <v/>
      </c>
      <c r="AI549" s="7" t="str">
        <f t="shared" si="74"/>
        <v/>
      </c>
      <c r="AJ549" s="7" t="str">
        <f t="shared" si="75"/>
        <v/>
      </c>
      <c r="AK549" s="7" t="str">
        <f t="shared" si="76"/>
        <v/>
      </c>
      <c r="AL549" s="7" t="str">
        <f t="shared" si="77"/>
        <v/>
      </c>
      <c r="AM549" s="7" t="str">
        <f t="shared" si="78"/>
        <v/>
      </c>
      <c r="AN549" s="8" t="str">
        <f>IF(C549="","",COUNTIF($C$2:C549,C549))</f>
        <v/>
      </c>
      <c r="AO549" s="8" t="str">
        <f t="shared" si="79"/>
        <v/>
      </c>
      <c r="AP549" s="8" t="str">
        <f>IF(C549="","",IF(AND(OR([1]Consulta!$C$29="",A549=[1]Consulta!$C$29),OR([1]Consulta!$E$29="",B549=[1]Consulta!$E$29),OR([1]Consulta!$G$29="",D549=[1]Consulta!$G$29,R549=[1]Consulta!$G$29)),ROW()-1,""))</f>
        <v/>
      </c>
    </row>
    <row r="550" spans="1:42" ht="1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 t="str">
        <f t="shared" si="72"/>
        <v/>
      </c>
      <c r="AG550" s="7" t="str">
        <f t="shared" si="80"/>
        <v/>
      </c>
      <c r="AH550" s="7" t="str">
        <f t="shared" si="73"/>
        <v/>
      </c>
      <c r="AI550" s="7" t="str">
        <f t="shared" si="74"/>
        <v/>
      </c>
      <c r="AJ550" s="7" t="str">
        <f t="shared" si="75"/>
        <v/>
      </c>
      <c r="AK550" s="7" t="str">
        <f t="shared" si="76"/>
        <v/>
      </c>
      <c r="AL550" s="7" t="str">
        <f t="shared" si="77"/>
        <v/>
      </c>
      <c r="AM550" s="7" t="str">
        <f t="shared" si="78"/>
        <v/>
      </c>
      <c r="AN550" s="8" t="str">
        <f>IF(C550="","",COUNTIF($C$2:C550,C550))</f>
        <v/>
      </c>
      <c r="AO550" s="8" t="str">
        <f t="shared" si="79"/>
        <v/>
      </c>
      <c r="AP550" s="8" t="str">
        <f>IF(C550="","",IF(AND(OR([1]Consulta!$C$29="",A550=[1]Consulta!$C$29),OR([1]Consulta!$E$29="",B550=[1]Consulta!$E$29),OR([1]Consulta!$G$29="",D550=[1]Consulta!$G$29,R550=[1]Consulta!$G$29)),ROW()-1,""))</f>
        <v/>
      </c>
    </row>
    <row r="551" spans="1:42" ht="1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 t="str">
        <f t="shared" si="72"/>
        <v/>
      </c>
      <c r="AG551" s="7" t="str">
        <f t="shared" si="80"/>
        <v/>
      </c>
      <c r="AH551" s="7" t="str">
        <f t="shared" si="73"/>
        <v/>
      </c>
      <c r="AI551" s="7" t="str">
        <f t="shared" si="74"/>
        <v/>
      </c>
      <c r="AJ551" s="7" t="str">
        <f t="shared" si="75"/>
        <v/>
      </c>
      <c r="AK551" s="7" t="str">
        <f t="shared" si="76"/>
        <v/>
      </c>
      <c r="AL551" s="7" t="str">
        <f t="shared" si="77"/>
        <v/>
      </c>
      <c r="AM551" s="7" t="str">
        <f t="shared" si="78"/>
        <v/>
      </c>
      <c r="AN551" s="8" t="str">
        <f>IF(C551="","",COUNTIF($C$2:C551,C551))</f>
        <v/>
      </c>
      <c r="AO551" s="8" t="str">
        <f t="shared" si="79"/>
        <v/>
      </c>
      <c r="AP551" s="8" t="str">
        <f>IF(C551="","",IF(AND(OR([1]Consulta!$C$29="",A551=[1]Consulta!$C$29),OR([1]Consulta!$E$29="",B551=[1]Consulta!$E$29),OR([1]Consulta!$G$29="",D551=[1]Consulta!$G$29,R551=[1]Consulta!$G$29)),ROW()-1,""))</f>
        <v/>
      </c>
    </row>
    <row r="552" spans="1:42" ht="1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 t="str">
        <f t="shared" si="72"/>
        <v/>
      </c>
      <c r="AG552" s="7" t="str">
        <f t="shared" si="80"/>
        <v/>
      </c>
      <c r="AH552" s="7" t="str">
        <f t="shared" si="73"/>
        <v/>
      </c>
      <c r="AI552" s="7" t="str">
        <f t="shared" si="74"/>
        <v/>
      </c>
      <c r="AJ552" s="7" t="str">
        <f t="shared" si="75"/>
        <v/>
      </c>
      <c r="AK552" s="7" t="str">
        <f t="shared" si="76"/>
        <v/>
      </c>
      <c r="AL552" s="7" t="str">
        <f t="shared" si="77"/>
        <v/>
      </c>
      <c r="AM552" s="7" t="str">
        <f t="shared" si="78"/>
        <v/>
      </c>
      <c r="AN552" s="8" t="str">
        <f>IF(C552="","",COUNTIF($C$2:C552,C552))</f>
        <v/>
      </c>
      <c r="AO552" s="8" t="str">
        <f t="shared" si="79"/>
        <v/>
      </c>
      <c r="AP552" s="8" t="str">
        <f>IF(C552="","",IF(AND(OR([1]Consulta!$C$29="",A552=[1]Consulta!$C$29),OR([1]Consulta!$E$29="",B552=[1]Consulta!$E$29),OR([1]Consulta!$G$29="",D552=[1]Consulta!$G$29,R552=[1]Consulta!$G$29)),ROW()-1,""))</f>
        <v/>
      </c>
    </row>
    <row r="553" spans="1:42" ht="1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 t="str">
        <f t="shared" si="72"/>
        <v/>
      </c>
      <c r="AG553" s="7" t="str">
        <f t="shared" si="80"/>
        <v/>
      </c>
      <c r="AH553" s="7" t="str">
        <f t="shared" si="73"/>
        <v/>
      </c>
      <c r="AI553" s="7" t="str">
        <f t="shared" si="74"/>
        <v/>
      </c>
      <c r="AJ553" s="7" t="str">
        <f t="shared" si="75"/>
        <v/>
      </c>
      <c r="AK553" s="7" t="str">
        <f t="shared" si="76"/>
        <v/>
      </c>
      <c r="AL553" s="7" t="str">
        <f t="shared" si="77"/>
        <v/>
      </c>
      <c r="AM553" s="7" t="str">
        <f t="shared" si="78"/>
        <v/>
      </c>
      <c r="AN553" s="8" t="str">
        <f>IF(C553="","",COUNTIF($C$2:C553,C553))</f>
        <v/>
      </c>
      <c r="AO553" s="8" t="str">
        <f t="shared" si="79"/>
        <v/>
      </c>
      <c r="AP553" s="8" t="str">
        <f>IF(C553="","",IF(AND(OR([1]Consulta!$C$29="",A553=[1]Consulta!$C$29),OR([1]Consulta!$E$29="",B553=[1]Consulta!$E$29),OR([1]Consulta!$G$29="",D553=[1]Consulta!$G$29,R553=[1]Consulta!$G$29)),ROW()-1,""))</f>
        <v/>
      </c>
    </row>
    <row r="554" spans="1:42" ht="1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 t="str">
        <f t="shared" si="72"/>
        <v/>
      </c>
      <c r="AG554" s="7" t="str">
        <f t="shared" si="80"/>
        <v/>
      </c>
      <c r="AH554" s="7" t="str">
        <f t="shared" si="73"/>
        <v/>
      </c>
      <c r="AI554" s="7" t="str">
        <f t="shared" si="74"/>
        <v/>
      </c>
      <c r="AJ554" s="7" t="str">
        <f t="shared" si="75"/>
        <v/>
      </c>
      <c r="AK554" s="7" t="str">
        <f t="shared" si="76"/>
        <v/>
      </c>
      <c r="AL554" s="7" t="str">
        <f t="shared" si="77"/>
        <v/>
      </c>
      <c r="AM554" s="7" t="str">
        <f t="shared" si="78"/>
        <v/>
      </c>
      <c r="AN554" s="8" t="str">
        <f>IF(C554="","",COUNTIF($C$2:C554,C554))</f>
        <v/>
      </c>
      <c r="AO554" s="8" t="str">
        <f t="shared" si="79"/>
        <v/>
      </c>
      <c r="AP554" s="8" t="str">
        <f>IF(C554="","",IF(AND(OR([1]Consulta!$C$29="",A554=[1]Consulta!$C$29),OR([1]Consulta!$E$29="",B554=[1]Consulta!$E$29),OR([1]Consulta!$G$29="",D554=[1]Consulta!$G$29,R554=[1]Consulta!$G$29)),ROW()-1,""))</f>
        <v/>
      </c>
    </row>
    <row r="555" spans="1:42" ht="1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 t="str">
        <f t="shared" si="72"/>
        <v/>
      </c>
      <c r="AG555" s="7" t="str">
        <f t="shared" si="80"/>
        <v/>
      </c>
      <c r="AH555" s="7" t="str">
        <f t="shared" si="73"/>
        <v/>
      </c>
      <c r="AI555" s="7" t="str">
        <f t="shared" si="74"/>
        <v/>
      </c>
      <c r="AJ555" s="7" t="str">
        <f t="shared" si="75"/>
        <v/>
      </c>
      <c r="AK555" s="7" t="str">
        <f t="shared" si="76"/>
        <v/>
      </c>
      <c r="AL555" s="7" t="str">
        <f t="shared" si="77"/>
        <v/>
      </c>
      <c r="AM555" s="7" t="str">
        <f t="shared" si="78"/>
        <v/>
      </c>
      <c r="AN555" s="8" t="str">
        <f>IF(C555="","",COUNTIF($C$2:C555,C555))</f>
        <v/>
      </c>
      <c r="AO555" s="8" t="str">
        <f t="shared" si="79"/>
        <v/>
      </c>
      <c r="AP555" s="8" t="str">
        <f>IF(C555="","",IF(AND(OR([1]Consulta!$C$29="",A555=[1]Consulta!$C$29),OR([1]Consulta!$E$29="",B555=[1]Consulta!$E$29),OR([1]Consulta!$G$29="",D555=[1]Consulta!$G$29,R555=[1]Consulta!$G$29)),ROW()-1,""))</f>
        <v/>
      </c>
    </row>
    <row r="556" spans="1:42" ht="1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 t="str">
        <f t="shared" si="72"/>
        <v/>
      </c>
      <c r="AG556" s="7" t="str">
        <f t="shared" si="80"/>
        <v/>
      </c>
      <c r="AH556" s="7" t="str">
        <f t="shared" si="73"/>
        <v/>
      </c>
      <c r="AI556" s="7" t="str">
        <f t="shared" si="74"/>
        <v/>
      </c>
      <c r="AJ556" s="7" t="str">
        <f t="shared" si="75"/>
        <v/>
      </c>
      <c r="AK556" s="7" t="str">
        <f t="shared" si="76"/>
        <v/>
      </c>
      <c r="AL556" s="7" t="str">
        <f t="shared" si="77"/>
        <v/>
      </c>
      <c r="AM556" s="7" t="str">
        <f t="shared" si="78"/>
        <v/>
      </c>
      <c r="AN556" s="8" t="str">
        <f>IF(C556="","",COUNTIF($C$2:C556,C556))</f>
        <v/>
      </c>
      <c r="AO556" s="8" t="str">
        <f t="shared" si="79"/>
        <v/>
      </c>
      <c r="AP556" s="8" t="str">
        <f>IF(C556="","",IF(AND(OR([1]Consulta!$C$29="",A556=[1]Consulta!$C$29),OR([1]Consulta!$E$29="",B556=[1]Consulta!$E$29),OR([1]Consulta!$G$29="",D556=[1]Consulta!$G$29,R556=[1]Consulta!$G$29)),ROW()-1,""))</f>
        <v/>
      </c>
    </row>
    <row r="557" spans="1:42" ht="1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 t="str">
        <f t="shared" si="72"/>
        <v/>
      </c>
      <c r="AG557" s="7" t="str">
        <f t="shared" si="80"/>
        <v/>
      </c>
      <c r="AH557" s="7" t="str">
        <f t="shared" si="73"/>
        <v/>
      </c>
      <c r="AI557" s="7" t="str">
        <f t="shared" si="74"/>
        <v/>
      </c>
      <c r="AJ557" s="7" t="str">
        <f t="shared" si="75"/>
        <v/>
      </c>
      <c r="AK557" s="7" t="str">
        <f t="shared" si="76"/>
        <v/>
      </c>
      <c r="AL557" s="7" t="str">
        <f t="shared" si="77"/>
        <v/>
      </c>
      <c r="AM557" s="7" t="str">
        <f t="shared" si="78"/>
        <v/>
      </c>
      <c r="AN557" s="8" t="str">
        <f>IF(C557="","",COUNTIF($C$2:C557,C557))</f>
        <v/>
      </c>
      <c r="AO557" s="8" t="str">
        <f t="shared" si="79"/>
        <v/>
      </c>
      <c r="AP557" s="8" t="str">
        <f>IF(C557="","",IF(AND(OR([1]Consulta!$C$29="",A557=[1]Consulta!$C$29),OR([1]Consulta!$E$29="",B557=[1]Consulta!$E$29),OR([1]Consulta!$G$29="",D557=[1]Consulta!$G$29,R557=[1]Consulta!$G$29)),ROW()-1,""))</f>
        <v/>
      </c>
    </row>
    <row r="558" spans="1:42" ht="1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 t="str">
        <f t="shared" si="72"/>
        <v/>
      </c>
      <c r="AG558" s="7" t="str">
        <f t="shared" si="80"/>
        <v/>
      </c>
      <c r="AH558" s="7" t="str">
        <f t="shared" si="73"/>
        <v/>
      </c>
      <c r="AI558" s="7" t="str">
        <f t="shared" si="74"/>
        <v/>
      </c>
      <c r="AJ558" s="7" t="str">
        <f t="shared" si="75"/>
        <v/>
      </c>
      <c r="AK558" s="7" t="str">
        <f t="shared" si="76"/>
        <v/>
      </c>
      <c r="AL558" s="7" t="str">
        <f t="shared" si="77"/>
        <v/>
      </c>
      <c r="AM558" s="7" t="str">
        <f t="shared" si="78"/>
        <v/>
      </c>
      <c r="AN558" s="8" t="str">
        <f>IF(C558="","",COUNTIF($C$2:C558,C558))</f>
        <v/>
      </c>
      <c r="AO558" s="8" t="str">
        <f t="shared" si="79"/>
        <v/>
      </c>
      <c r="AP558" s="8" t="str">
        <f>IF(C558="","",IF(AND(OR([1]Consulta!$C$29="",A558=[1]Consulta!$C$29),OR([1]Consulta!$E$29="",B558=[1]Consulta!$E$29),OR([1]Consulta!$G$29="",D558=[1]Consulta!$G$29,R558=[1]Consulta!$G$29)),ROW()-1,""))</f>
        <v/>
      </c>
    </row>
    <row r="559" spans="1:42" ht="1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 t="str">
        <f t="shared" si="72"/>
        <v/>
      </c>
      <c r="AG559" s="7" t="str">
        <f t="shared" si="80"/>
        <v/>
      </c>
      <c r="AH559" s="7" t="str">
        <f t="shared" si="73"/>
        <v/>
      </c>
      <c r="AI559" s="7" t="str">
        <f t="shared" si="74"/>
        <v/>
      </c>
      <c r="AJ559" s="7" t="str">
        <f t="shared" si="75"/>
        <v/>
      </c>
      <c r="AK559" s="7" t="str">
        <f t="shared" si="76"/>
        <v/>
      </c>
      <c r="AL559" s="7" t="str">
        <f t="shared" si="77"/>
        <v/>
      </c>
      <c r="AM559" s="7" t="str">
        <f t="shared" si="78"/>
        <v/>
      </c>
      <c r="AN559" s="8" t="str">
        <f>IF(C559="","",COUNTIF($C$2:C559,C559))</f>
        <v/>
      </c>
      <c r="AO559" s="8" t="str">
        <f t="shared" si="79"/>
        <v/>
      </c>
      <c r="AP559" s="8" t="str">
        <f>IF(C559="","",IF(AND(OR([1]Consulta!$C$29="",A559=[1]Consulta!$C$29),OR([1]Consulta!$E$29="",B559=[1]Consulta!$E$29),OR([1]Consulta!$G$29="",D559=[1]Consulta!$G$29,R559=[1]Consulta!$G$29)),ROW()-1,""))</f>
        <v/>
      </c>
    </row>
    <row r="560" spans="1:42" ht="1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 t="str">
        <f t="shared" si="72"/>
        <v/>
      </c>
      <c r="AG560" s="7" t="str">
        <f t="shared" si="80"/>
        <v/>
      </c>
      <c r="AH560" s="7" t="str">
        <f t="shared" si="73"/>
        <v/>
      </c>
      <c r="AI560" s="7" t="str">
        <f t="shared" si="74"/>
        <v/>
      </c>
      <c r="AJ560" s="7" t="str">
        <f t="shared" si="75"/>
        <v/>
      </c>
      <c r="AK560" s="7" t="str">
        <f t="shared" si="76"/>
        <v/>
      </c>
      <c r="AL560" s="7" t="str">
        <f t="shared" si="77"/>
        <v/>
      </c>
      <c r="AM560" s="7" t="str">
        <f t="shared" si="78"/>
        <v/>
      </c>
      <c r="AN560" s="8" t="str">
        <f>IF(C560="","",COUNTIF($C$2:C560,C560))</f>
        <v/>
      </c>
      <c r="AO560" s="8" t="str">
        <f t="shared" si="79"/>
        <v/>
      </c>
      <c r="AP560" s="8" t="str">
        <f>IF(C560="","",IF(AND(OR([1]Consulta!$C$29="",A560=[1]Consulta!$C$29),OR([1]Consulta!$E$29="",B560=[1]Consulta!$E$29),OR([1]Consulta!$G$29="",D560=[1]Consulta!$G$29,R560=[1]Consulta!$G$29)),ROW()-1,""))</f>
        <v/>
      </c>
    </row>
    <row r="561" spans="1:42" ht="1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 t="str">
        <f t="shared" si="72"/>
        <v/>
      </c>
      <c r="AG561" s="7" t="str">
        <f t="shared" si="80"/>
        <v/>
      </c>
      <c r="AH561" s="7" t="str">
        <f t="shared" si="73"/>
        <v/>
      </c>
      <c r="AI561" s="7" t="str">
        <f t="shared" si="74"/>
        <v/>
      </c>
      <c r="AJ561" s="7" t="str">
        <f t="shared" si="75"/>
        <v/>
      </c>
      <c r="AK561" s="7" t="str">
        <f t="shared" si="76"/>
        <v/>
      </c>
      <c r="AL561" s="7" t="str">
        <f t="shared" si="77"/>
        <v/>
      </c>
      <c r="AM561" s="7" t="str">
        <f t="shared" si="78"/>
        <v/>
      </c>
      <c r="AN561" s="8" t="str">
        <f>IF(C561="","",COUNTIF($C$2:C561,C561))</f>
        <v/>
      </c>
      <c r="AO561" s="8" t="str">
        <f t="shared" si="79"/>
        <v/>
      </c>
      <c r="AP561" s="8" t="str">
        <f>IF(C561="","",IF(AND(OR([1]Consulta!$C$29="",A561=[1]Consulta!$C$29),OR([1]Consulta!$E$29="",B561=[1]Consulta!$E$29),OR([1]Consulta!$G$29="",D561=[1]Consulta!$G$29,R561=[1]Consulta!$G$29)),ROW()-1,""))</f>
        <v/>
      </c>
    </row>
    <row r="562" spans="1:42" ht="1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 t="str">
        <f t="shared" si="72"/>
        <v/>
      </c>
      <c r="AG562" s="7" t="str">
        <f t="shared" si="80"/>
        <v/>
      </c>
      <c r="AH562" s="7" t="str">
        <f t="shared" si="73"/>
        <v/>
      </c>
      <c r="AI562" s="7" t="str">
        <f t="shared" si="74"/>
        <v/>
      </c>
      <c r="AJ562" s="7" t="str">
        <f t="shared" si="75"/>
        <v/>
      </c>
      <c r="AK562" s="7" t="str">
        <f t="shared" si="76"/>
        <v/>
      </c>
      <c r="AL562" s="7" t="str">
        <f t="shared" si="77"/>
        <v/>
      </c>
      <c r="AM562" s="7" t="str">
        <f t="shared" si="78"/>
        <v/>
      </c>
      <c r="AN562" s="8" t="str">
        <f>IF(C562="","",COUNTIF($C$2:C562,C562))</f>
        <v/>
      </c>
      <c r="AO562" s="8" t="str">
        <f t="shared" si="79"/>
        <v/>
      </c>
      <c r="AP562" s="8" t="str">
        <f>IF(C562="","",IF(AND(OR([1]Consulta!$C$29="",A562=[1]Consulta!$C$29),OR([1]Consulta!$E$29="",B562=[1]Consulta!$E$29),OR([1]Consulta!$G$29="",D562=[1]Consulta!$G$29,R562=[1]Consulta!$G$29)),ROW()-1,""))</f>
        <v/>
      </c>
    </row>
    <row r="563" spans="1:42" ht="1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 t="str">
        <f t="shared" si="72"/>
        <v/>
      </c>
      <c r="AG563" s="7" t="str">
        <f t="shared" si="80"/>
        <v/>
      </c>
      <c r="AH563" s="7" t="str">
        <f t="shared" si="73"/>
        <v/>
      </c>
      <c r="AI563" s="7" t="str">
        <f t="shared" si="74"/>
        <v/>
      </c>
      <c r="AJ563" s="7" t="str">
        <f t="shared" si="75"/>
        <v/>
      </c>
      <c r="AK563" s="7" t="str">
        <f t="shared" si="76"/>
        <v/>
      </c>
      <c r="AL563" s="7" t="str">
        <f t="shared" si="77"/>
        <v/>
      </c>
      <c r="AM563" s="7" t="str">
        <f t="shared" si="78"/>
        <v/>
      </c>
      <c r="AN563" s="8" t="str">
        <f>IF(C563="","",COUNTIF($C$2:C563,C563))</f>
        <v/>
      </c>
      <c r="AO563" s="8" t="str">
        <f t="shared" si="79"/>
        <v/>
      </c>
      <c r="AP563" s="8" t="str">
        <f>IF(C563="","",IF(AND(OR([1]Consulta!$C$29="",A563=[1]Consulta!$C$29),OR([1]Consulta!$E$29="",B563=[1]Consulta!$E$29),OR([1]Consulta!$G$29="",D563=[1]Consulta!$G$29,R563=[1]Consulta!$G$29)),ROW()-1,""))</f>
        <v/>
      </c>
    </row>
    <row r="564" spans="1:42" ht="1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 t="str">
        <f t="shared" si="72"/>
        <v/>
      </c>
      <c r="AG564" s="7" t="str">
        <f t="shared" si="80"/>
        <v/>
      </c>
      <c r="AH564" s="7" t="str">
        <f t="shared" si="73"/>
        <v/>
      </c>
      <c r="AI564" s="7" t="str">
        <f t="shared" si="74"/>
        <v/>
      </c>
      <c r="AJ564" s="7" t="str">
        <f t="shared" si="75"/>
        <v/>
      </c>
      <c r="AK564" s="7" t="str">
        <f t="shared" si="76"/>
        <v/>
      </c>
      <c r="AL564" s="7" t="str">
        <f t="shared" si="77"/>
        <v/>
      </c>
      <c r="AM564" s="7" t="str">
        <f t="shared" si="78"/>
        <v/>
      </c>
      <c r="AN564" s="8" t="str">
        <f>IF(C564="","",COUNTIF($C$2:C564,C564))</f>
        <v/>
      </c>
      <c r="AO564" s="8" t="str">
        <f t="shared" si="79"/>
        <v/>
      </c>
      <c r="AP564" s="8" t="str">
        <f>IF(C564="","",IF(AND(OR([1]Consulta!$C$29="",A564=[1]Consulta!$C$29),OR([1]Consulta!$E$29="",B564=[1]Consulta!$E$29),OR([1]Consulta!$G$29="",D564=[1]Consulta!$G$29,R564=[1]Consulta!$G$29)),ROW()-1,""))</f>
        <v/>
      </c>
    </row>
    <row r="565" spans="1:42" ht="1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 t="str">
        <f t="shared" si="72"/>
        <v/>
      </c>
      <c r="AG565" s="7" t="str">
        <f t="shared" si="80"/>
        <v/>
      </c>
      <c r="AH565" s="7" t="str">
        <f t="shared" si="73"/>
        <v/>
      </c>
      <c r="AI565" s="7" t="str">
        <f t="shared" si="74"/>
        <v/>
      </c>
      <c r="AJ565" s="7" t="str">
        <f t="shared" si="75"/>
        <v/>
      </c>
      <c r="AK565" s="7" t="str">
        <f t="shared" si="76"/>
        <v/>
      </c>
      <c r="AL565" s="7" t="str">
        <f t="shared" si="77"/>
        <v/>
      </c>
      <c r="AM565" s="7" t="str">
        <f t="shared" si="78"/>
        <v/>
      </c>
      <c r="AN565" s="8" t="str">
        <f>IF(C565="","",COUNTIF($C$2:C565,C565))</f>
        <v/>
      </c>
      <c r="AO565" s="8" t="str">
        <f t="shared" si="79"/>
        <v/>
      </c>
      <c r="AP565" s="8" t="str">
        <f>IF(C565="","",IF(AND(OR([1]Consulta!$C$29="",A565=[1]Consulta!$C$29),OR([1]Consulta!$E$29="",B565=[1]Consulta!$E$29),OR([1]Consulta!$G$29="",D565=[1]Consulta!$G$29,R565=[1]Consulta!$G$29)),ROW()-1,""))</f>
        <v/>
      </c>
    </row>
    <row r="566" spans="1:42" ht="1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 t="str">
        <f t="shared" si="72"/>
        <v/>
      </c>
      <c r="AG566" s="7" t="str">
        <f t="shared" si="80"/>
        <v/>
      </c>
      <c r="AH566" s="7" t="str">
        <f t="shared" si="73"/>
        <v/>
      </c>
      <c r="AI566" s="7" t="str">
        <f t="shared" si="74"/>
        <v/>
      </c>
      <c r="AJ566" s="7" t="str">
        <f t="shared" si="75"/>
        <v/>
      </c>
      <c r="AK566" s="7" t="str">
        <f t="shared" si="76"/>
        <v/>
      </c>
      <c r="AL566" s="7" t="str">
        <f t="shared" si="77"/>
        <v/>
      </c>
      <c r="AM566" s="7" t="str">
        <f t="shared" si="78"/>
        <v/>
      </c>
      <c r="AN566" s="8" t="str">
        <f>IF(C566="","",COUNTIF($C$2:C566,C566))</f>
        <v/>
      </c>
      <c r="AO566" s="8" t="str">
        <f t="shared" si="79"/>
        <v/>
      </c>
      <c r="AP566" s="8" t="str">
        <f>IF(C566="","",IF(AND(OR([1]Consulta!$C$29="",A566=[1]Consulta!$C$29),OR([1]Consulta!$E$29="",B566=[1]Consulta!$E$29),OR([1]Consulta!$G$29="",D566=[1]Consulta!$G$29,R566=[1]Consulta!$G$29)),ROW()-1,""))</f>
        <v/>
      </c>
    </row>
    <row r="567" spans="1:42" ht="1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 t="str">
        <f t="shared" si="72"/>
        <v/>
      </c>
      <c r="AG567" s="7" t="str">
        <f t="shared" si="80"/>
        <v/>
      </c>
      <c r="AH567" s="7" t="str">
        <f t="shared" si="73"/>
        <v/>
      </c>
      <c r="AI567" s="7" t="str">
        <f t="shared" si="74"/>
        <v/>
      </c>
      <c r="AJ567" s="7" t="str">
        <f t="shared" si="75"/>
        <v/>
      </c>
      <c r="AK567" s="7" t="str">
        <f t="shared" si="76"/>
        <v/>
      </c>
      <c r="AL567" s="7" t="str">
        <f t="shared" si="77"/>
        <v/>
      </c>
      <c r="AM567" s="7" t="str">
        <f t="shared" si="78"/>
        <v/>
      </c>
      <c r="AN567" s="8" t="str">
        <f>IF(C567="","",COUNTIF($C$2:C567,C567))</f>
        <v/>
      </c>
      <c r="AO567" s="8" t="str">
        <f t="shared" si="79"/>
        <v/>
      </c>
      <c r="AP567" s="8" t="str">
        <f>IF(C567="","",IF(AND(OR([1]Consulta!$C$29="",A567=[1]Consulta!$C$29),OR([1]Consulta!$E$29="",B567=[1]Consulta!$E$29),OR([1]Consulta!$G$29="",D567=[1]Consulta!$G$29,R567=[1]Consulta!$G$29)),ROW()-1,""))</f>
        <v/>
      </c>
    </row>
    <row r="568" spans="1:42" ht="1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 t="str">
        <f t="shared" si="72"/>
        <v/>
      </c>
      <c r="AG568" s="7" t="str">
        <f t="shared" si="80"/>
        <v/>
      </c>
      <c r="AH568" s="7" t="str">
        <f t="shared" si="73"/>
        <v/>
      </c>
      <c r="AI568" s="7" t="str">
        <f t="shared" si="74"/>
        <v/>
      </c>
      <c r="AJ568" s="7" t="str">
        <f t="shared" si="75"/>
        <v/>
      </c>
      <c r="AK568" s="7" t="str">
        <f t="shared" si="76"/>
        <v/>
      </c>
      <c r="AL568" s="7" t="str">
        <f t="shared" si="77"/>
        <v/>
      </c>
      <c r="AM568" s="7" t="str">
        <f t="shared" si="78"/>
        <v/>
      </c>
      <c r="AN568" s="8" t="str">
        <f>IF(C568="","",COUNTIF($C$2:C568,C568))</f>
        <v/>
      </c>
      <c r="AO568" s="8" t="str">
        <f t="shared" si="79"/>
        <v/>
      </c>
      <c r="AP568" s="8" t="str">
        <f>IF(C568="","",IF(AND(OR([1]Consulta!$C$29="",A568=[1]Consulta!$C$29),OR([1]Consulta!$E$29="",B568=[1]Consulta!$E$29),OR([1]Consulta!$G$29="",D568=[1]Consulta!$G$29,R568=[1]Consulta!$G$29)),ROW()-1,""))</f>
        <v/>
      </c>
    </row>
    <row r="569" spans="1:42" ht="1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 t="str">
        <f t="shared" si="72"/>
        <v/>
      </c>
      <c r="AG569" s="7" t="str">
        <f t="shared" si="80"/>
        <v/>
      </c>
      <c r="AH569" s="7" t="str">
        <f t="shared" si="73"/>
        <v/>
      </c>
      <c r="AI569" s="7" t="str">
        <f t="shared" si="74"/>
        <v/>
      </c>
      <c r="AJ569" s="7" t="str">
        <f t="shared" si="75"/>
        <v/>
      </c>
      <c r="AK569" s="7" t="str">
        <f t="shared" si="76"/>
        <v/>
      </c>
      <c r="AL569" s="7" t="str">
        <f t="shared" si="77"/>
        <v/>
      </c>
      <c r="AM569" s="7" t="str">
        <f t="shared" si="78"/>
        <v/>
      </c>
      <c r="AN569" s="8" t="str">
        <f>IF(C569="","",COUNTIF($C$2:C569,C569))</f>
        <v/>
      </c>
      <c r="AO569" s="8" t="str">
        <f t="shared" si="79"/>
        <v/>
      </c>
      <c r="AP569" s="8" t="str">
        <f>IF(C569="","",IF(AND(OR([1]Consulta!$C$29="",A569=[1]Consulta!$C$29),OR([1]Consulta!$E$29="",B569=[1]Consulta!$E$29),OR([1]Consulta!$G$29="",D569=[1]Consulta!$G$29,R569=[1]Consulta!$G$29)),ROW()-1,""))</f>
        <v/>
      </c>
    </row>
    <row r="570" spans="1:42" ht="1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 t="str">
        <f t="shared" si="72"/>
        <v/>
      </c>
      <c r="AG570" s="7" t="str">
        <f t="shared" si="80"/>
        <v/>
      </c>
      <c r="AH570" s="7" t="str">
        <f t="shared" si="73"/>
        <v/>
      </c>
      <c r="AI570" s="7" t="str">
        <f t="shared" si="74"/>
        <v/>
      </c>
      <c r="AJ570" s="7" t="str">
        <f t="shared" si="75"/>
        <v/>
      </c>
      <c r="AK570" s="7" t="str">
        <f t="shared" si="76"/>
        <v/>
      </c>
      <c r="AL570" s="7" t="str">
        <f t="shared" si="77"/>
        <v/>
      </c>
      <c r="AM570" s="7" t="str">
        <f t="shared" si="78"/>
        <v/>
      </c>
      <c r="AN570" s="8" t="str">
        <f>IF(C570="","",COUNTIF($C$2:C570,C570))</f>
        <v/>
      </c>
      <c r="AO570" s="8" t="str">
        <f t="shared" si="79"/>
        <v/>
      </c>
      <c r="AP570" s="8" t="str">
        <f>IF(C570="","",IF(AND(OR([1]Consulta!$C$29="",A570=[1]Consulta!$C$29),OR([1]Consulta!$E$29="",B570=[1]Consulta!$E$29),OR([1]Consulta!$G$29="",D570=[1]Consulta!$G$29,R570=[1]Consulta!$G$29)),ROW()-1,""))</f>
        <v/>
      </c>
    </row>
    <row r="571" spans="1:42" ht="1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 t="str">
        <f t="shared" si="72"/>
        <v/>
      </c>
      <c r="AG571" s="7" t="str">
        <f t="shared" si="80"/>
        <v/>
      </c>
      <c r="AH571" s="7" t="str">
        <f t="shared" si="73"/>
        <v/>
      </c>
      <c r="AI571" s="7" t="str">
        <f t="shared" si="74"/>
        <v/>
      </c>
      <c r="AJ571" s="7" t="str">
        <f t="shared" si="75"/>
        <v/>
      </c>
      <c r="AK571" s="7" t="str">
        <f t="shared" si="76"/>
        <v/>
      </c>
      <c r="AL571" s="7" t="str">
        <f t="shared" si="77"/>
        <v/>
      </c>
      <c r="AM571" s="7" t="str">
        <f t="shared" si="78"/>
        <v/>
      </c>
      <c r="AN571" s="8" t="str">
        <f>IF(C571="","",COUNTIF($C$2:C571,C571))</f>
        <v/>
      </c>
      <c r="AO571" s="8" t="str">
        <f t="shared" si="79"/>
        <v/>
      </c>
      <c r="AP571" s="8" t="str">
        <f>IF(C571="","",IF(AND(OR([1]Consulta!$C$29="",A571=[1]Consulta!$C$29),OR([1]Consulta!$E$29="",B571=[1]Consulta!$E$29),OR([1]Consulta!$G$29="",D571=[1]Consulta!$G$29,R571=[1]Consulta!$G$29)),ROW()-1,""))</f>
        <v/>
      </c>
    </row>
    <row r="572" spans="1:42" ht="1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 t="str">
        <f t="shared" si="72"/>
        <v/>
      </c>
      <c r="AG572" s="7" t="str">
        <f t="shared" si="80"/>
        <v/>
      </c>
      <c r="AH572" s="7" t="str">
        <f t="shared" si="73"/>
        <v/>
      </c>
      <c r="AI572" s="7" t="str">
        <f t="shared" si="74"/>
        <v/>
      </c>
      <c r="AJ572" s="7" t="str">
        <f t="shared" si="75"/>
        <v/>
      </c>
      <c r="AK572" s="7" t="str">
        <f t="shared" si="76"/>
        <v/>
      </c>
      <c r="AL572" s="7" t="str">
        <f t="shared" si="77"/>
        <v/>
      </c>
      <c r="AM572" s="7" t="str">
        <f t="shared" si="78"/>
        <v/>
      </c>
      <c r="AN572" s="8" t="str">
        <f>IF(C572="","",COUNTIF($C$2:C572,C572))</f>
        <v/>
      </c>
      <c r="AO572" s="8" t="str">
        <f t="shared" si="79"/>
        <v/>
      </c>
      <c r="AP572" s="8" t="str">
        <f>IF(C572="","",IF(AND(OR([1]Consulta!$C$29="",A572=[1]Consulta!$C$29),OR([1]Consulta!$E$29="",B572=[1]Consulta!$E$29),OR([1]Consulta!$G$29="",D572=[1]Consulta!$G$29,R572=[1]Consulta!$G$29)),ROW()-1,""))</f>
        <v/>
      </c>
    </row>
    <row r="573" spans="1:42" ht="1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 t="str">
        <f t="shared" si="72"/>
        <v/>
      </c>
      <c r="AG573" s="7" t="str">
        <f t="shared" si="80"/>
        <v/>
      </c>
      <c r="AH573" s="7" t="str">
        <f t="shared" si="73"/>
        <v/>
      </c>
      <c r="AI573" s="7" t="str">
        <f t="shared" si="74"/>
        <v/>
      </c>
      <c r="AJ573" s="7" t="str">
        <f t="shared" si="75"/>
        <v/>
      </c>
      <c r="AK573" s="7" t="str">
        <f t="shared" si="76"/>
        <v/>
      </c>
      <c r="AL573" s="7" t="str">
        <f t="shared" si="77"/>
        <v/>
      </c>
      <c r="AM573" s="7" t="str">
        <f t="shared" si="78"/>
        <v/>
      </c>
      <c r="AN573" s="8" t="str">
        <f>IF(C573="","",COUNTIF($C$2:C573,C573))</f>
        <v/>
      </c>
      <c r="AO573" s="8" t="str">
        <f t="shared" si="79"/>
        <v/>
      </c>
      <c r="AP573" s="8" t="str">
        <f>IF(C573="","",IF(AND(OR([1]Consulta!$C$29="",A573=[1]Consulta!$C$29),OR([1]Consulta!$E$29="",B573=[1]Consulta!$E$29),OR([1]Consulta!$G$29="",D573=[1]Consulta!$G$29,R573=[1]Consulta!$G$29)),ROW()-1,""))</f>
        <v/>
      </c>
    </row>
    <row r="574" spans="1:42" ht="1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 t="str">
        <f t="shared" si="72"/>
        <v/>
      </c>
      <c r="AG574" s="7" t="str">
        <f t="shared" si="80"/>
        <v/>
      </c>
      <c r="AH574" s="7" t="str">
        <f t="shared" si="73"/>
        <v/>
      </c>
      <c r="AI574" s="7" t="str">
        <f t="shared" si="74"/>
        <v/>
      </c>
      <c r="AJ574" s="7" t="str">
        <f t="shared" si="75"/>
        <v/>
      </c>
      <c r="AK574" s="7" t="str">
        <f t="shared" si="76"/>
        <v/>
      </c>
      <c r="AL574" s="7" t="str">
        <f t="shared" si="77"/>
        <v/>
      </c>
      <c r="AM574" s="7" t="str">
        <f t="shared" si="78"/>
        <v/>
      </c>
      <c r="AN574" s="8" t="str">
        <f>IF(C574="","",COUNTIF($C$2:C574,C574))</f>
        <v/>
      </c>
      <c r="AO574" s="8" t="str">
        <f t="shared" si="79"/>
        <v/>
      </c>
      <c r="AP574" s="8" t="str">
        <f>IF(C574="","",IF(AND(OR([1]Consulta!$C$29="",A574=[1]Consulta!$C$29),OR([1]Consulta!$E$29="",B574=[1]Consulta!$E$29),OR([1]Consulta!$G$29="",D574=[1]Consulta!$G$29,R574=[1]Consulta!$G$29)),ROW()-1,""))</f>
        <v/>
      </c>
    </row>
    <row r="575" spans="1:42" ht="1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 t="str">
        <f t="shared" si="72"/>
        <v/>
      </c>
      <c r="AG575" s="7" t="str">
        <f t="shared" si="80"/>
        <v/>
      </c>
      <c r="AH575" s="7" t="str">
        <f t="shared" si="73"/>
        <v/>
      </c>
      <c r="AI575" s="7" t="str">
        <f t="shared" si="74"/>
        <v/>
      </c>
      <c r="AJ575" s="7" t="str">
        <f t="shared" si="75"/>
        <v/>
      </c>
      <c r="AK575" s="7" t="str">
        <f t="shared" si="76"/>
        <v/>
      </c>
      <c r="AL575" s="7" t="str">
        <f t="shared" si="77"/>
        <v/>
      </c>
      <c r="AM575" s="7" t="str">
        <f t="shared" si="78"/>
        <v/>
      </c>
      <c r="AN575" s="8" t="str">
        <f>IF(C575="","",COUNTIF($C$2:C575,C575))</f>
        <v/>
      </c>
      <c r="AO575" s="8" t="str">
        <f t="shared" si="79"/>
        <v/>
      </c>
      <c r="AP575" s="8" t="str">
        <f>IF(C575="","",IF(AND(OR([1]Consulta!$C$29="",A575=[1]Consulta!$C$29),OR([1]Consulta!$E$29="",B575=[1]Consulta!$E$29),OR([1]Consulta!$G$29="",D575=[1]Consulta!$G$29,R575=[1]Consulta!$G$29)),ROW()-1,""))</f>
        <v/>
      </c>
    </row>
    <row r="576" spans="1:42" ht="1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 t="str">
        <f t="shared" si="72"/>
        <v/>
      </c>
      <c r="AG576" s="7" t="str">
        <f t="shared" si="80"/>
        <v/>
      </c>
      <c r="AH576" s="7" t="str">
        <f t="shared" si="73"/>
        <v/>
      </c>
      <c r="AI576" s="7" t="str">
        <f t="shared" si="74"/>
        <v/>
      </c>
      <c r="AJ576" s="7" t="str">
        <f t="shared" si="75"/>
        <v/>
      </c>
      <c r="AK576" s="7" t="str">
        <f t="shared" si="76"/>
        <v/>
      </c>
      <c r="AL576" s="7" t="str">
        <f t="shared" si="77"/>
        <v/>
      </c>
      <c r="AM576" s="7" t="str">
        <f t="shared" si="78"/>
        <v/>
      </c>
      <c r="AN576" s="8" t="str">
        <f>IF(C576="","",COUNTIF($C$2:C576,C576))</f>
        <v/>
      </c>
      <c r="AO576" s="8" t="str">
        <f t="shared" si="79"/>
        <v/>
      </c>
      <c r="AP576" s="8" t="str">
        <f>IF(C576="","",IF(AND(OR([1]Consulta!$C$29="",A576=[1]Consulta!$C$29),OR([1]Consulta!$E$29="",B576=[1]Consulta!$E$29),OR([1]Consulta!$G$29="",D576=[1]Consulta!$G$29,R576=[1]Consulta!$G$29)),ROW()-1,""))</f>
        <v/>
      </c>
    </row>
    <row r="577" spans="1:42" ht="1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 t="str">
        <f t="shared" si="72"/>
        <v/>
      </c>
      <c r="AG577" s="7" t="str">
        <f t="shared" si="80"/>
        <v/>
      </c>
      <c r="AH577" s="7" t="str">
        <f t="shared" si="73"/>
        <v/>
      </c>
      <c r="AI577" s="7" t="str">
        <f t="shared" si="74"/>
        <v/>
      </c>
      <c r="AJ577" s="7" t="str">
        <f t="shared" si="75"/>
        <v/>
      </c>
      <c r="AK577" s="7" t="str">
        <f t="shared" si="76"/>
        <v/>
      </c>
      <c r="AL577" s="7" t="str">
        <f t="shared" si="77"/>
        <v/>
      </c>
      <c r="AM577" s="7" t="str">
        <f t="shared" si="78"/>
        <v/>
      </c>
      <c r="AN577" s="8" t="str">
        <f>IF(C577="","",COUNTIF($C$2:C577,C577))</f>
        <v/>
      </c>
      <c r="AO577" s="8" t="str">
        <f t="shared" si="79"/>
        <v/>
      </c>
      <c r="AP577" s="8" t="str">
        <f>IF(C577="","",IF(AND(OR([1]Consulta!$C$29="",A577=[1]Consulta!$C$29),OR([1]Consulta!$E$29="",B577=[1]Consulta!$E$29),OR([1]Consulta!$G$29="",D577=[1]Consulta!$G$29,R577=[1]Consulta!$G$29)),ROW()-1,""))</f>
        <v/>
      </c>
    </row>
    <row r="578" spans="1:42" ht="1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 t="str">
        <f t="shared" ref="AF578:AF641" si="81">IF(C578="","",IF(AND(ISNUMBER(K578),ISNUMBER(L578)),K578-L578,""))</f>
        <v/>
      </c>
      <c r="AG578" s="7" t="str">
        <f t="shared" si="80"/>
        <v/>
      </c>
      <c r="AH578" s="7" t="str">
        <f t="shared" ref="AH578:AH641" si="82">IF(C578="","",IF(AND(ISNUMBER(Y578),ISNUMBER(Z578)),Y578-Z578,""))</f>
        <v/>
      </c>
      <c r="AI578" s="7" t="str">
        <f t="shared" ref="AI578:AI641" si="83">IF(C578="","",IF(AH578="","N/A",IF(AH578&lt;0,"ALARMA","OK")))</f>
        <v/>
      </c>
      <c r="AJ578" s="7" t="str">
        <f t="shared" ref="AJ578:AJ641" si="84">IF(C578="","",IF(ISNUMBER(M578),IF(M578&gt;0,"CON ERRORES","OK"),"N/A"))</f>
        <v/>
      </c>
      <c r="AK578" s="7" t="str">
        <f t="shared" ref="AK578:AK641" si="85">IF(C578="","",IF(ISNUMBER(AA578),IF(AA578&gt;0,"CON ERRORES","OK"),"N/A"))</f>
        <v/>
      </c>
      <c r="AL578" s="7" t="str">
        <f t="shared" ref="AL578:AL641" si="86">IF(C578="","",IF(OR(AG578="ALARMA",AI578="ALARMA",AJ578="CON ERRORES",AK578="CON ERRORES"),"REVISAR","OK"))</f>
        <v/>
      </c>
      <c r="AM578" s="7" t="str">
        <f t="shared" ref="AM578:AM641" si="87">IF(C578="","",IF(ISNUMBER(Q578),Q578,IF(ISNUMBER(AE578),AE578,"Ver detalle")))</f>
        <v/>
      </c>
      <c r="AN578" s="8" t="str">
        <f>IF(C578="","",COUNTIF($C$2:C578,C578))</f>
        <v/>
      </c>
      <c r="AO578" s="8" t="str">
        <f t="shared" ref="AO578:AO641" si="88">IF(C578="","",C578&amp;"|"&amp;AN578)</f>
        <v/>
      </c>
      <c r="AP578" s="8" t="str">
        <f>IF(C578="","",IF(AND(OR([1]Consulta!$C$29="",A578=[1]Consulta!$C$29),OR([1]Consulta!$E$29="",B578=[1]Consulta!$E$29),OR([1]Consulta!$G$29="",D578=[1]Consulta!$G$29,R578=[1]Consulta!$G$29)),ROW()-1,""))</f>
        <v/>
      </c>
    </row>
    <row r="579" spans="1:42" ht="1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 t="str">
        <f t="shared" si="81"/>
        <v/>
      </c>
      <c r="AG579" s="7" t="str">
        <f t="shared" ref="AG579:AG642" si="89">IF(C579="","",IF(AF579="","N/A",IF(AF579&lt;0,"ALARMA","OK")))</f>
        <v/>
      </c>
      <c r="AH579" s="7" t="str">
        <f t="shared" si="82"/>
        <v/>
      </c>
      <c r="AI579" s="7" t="str">
        <f t="shared" si="83"/>
        <v/>
      </c>
      <c r="AJ579" s="7" t="str">
        <f t="shared" si="84"/>
        <v/>
      </c>
      <c r="AK579" s="7" t="str">
        <f t="shared" si="85"/>
        <v/>
      </c>
      <c r="AL579" s="7" t="str">
        <f t="shared" si="86"/>
        <v/>
      </c>
      <c r="AM579" s="7" t="str">
        <f t="shared" si="87"/>
        <v/>
      </c>
      <c r="AN579" s="8" t="str">
        <f>IF(C579="","",COUNTIF($C$2:C579,C579))</f>
        <v/>
      </c>
      <c r="AO579" s="8" t="str">
        <f t="shared" si="88"/>
        <v/>
      </c>
      <c r="AP579" s="8" t="str">
        <f>IF(C579="","",IF(AND(OR([1]Consulta!$C$29="",A579=[1]Consulta!$C$29),OR([1]Consulta!$E$29="",B579=[1]Consulta!$E$29),OR([1]Consulta!$G$29="",D579=[1]Consulta!$G$29,R579=[1]Consulta!$G$29)),ROW()-1,""))</f>
        <v/>
      </c>
    </row>
    <row r="580" spans="1:42" ht="1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 t="str">
        <f t="shared" si="81"/>
        <v/>
      </c>
      <c r="AG580" s="7" t="str">
        <f t="shared" si="89"/>
        <v/>
      </c>
      <c r="AH580" s="7" t="str">
        <f t="shared" si="82"/>
        <v/>
      </c>
      <c r="AI580" s="7" t="str">
        <f t="shared" si="83"/>
        <v/>
      </c>
      <c r="AJ580" s="7" t="str">
        <f t="shared" si="84"/>
        <v/>
      </c>
      <c r="AK580" s="7" t="str">
        <f t="shared" si="85"/>
        <v/>
      </c>
      <c r="AL580" s="7" t="str">
        <f t="shared" si="86"/>
        <v/>
      </c>
      <c r="AM580" s="7" t="str">
        <f t="shared" si="87"/>
        <v/>
      </c>
      <c r="AN580" s="8" t="str">
        <f>IF(C580="","",COUNTIF($C$2:C580,C580))</f>
        <v/>
      </c>
      <c r="AO580" s="8" t="str">
        <f t="shared" si="88"/>
        <v/>
      </c>
      <c r="AP580" s="8" t="str">
        <f>IF(C580="","",IF(AND(OR([1]Consulta!$C$29="",A580=[1]Consulta!$C$29),OR([1]Consulta!$E$29="",B580=[1]Consulta!$E$29),OR([1]Consulta!$G$29="",D580=[1]Consulta!$G$29,R580=[1]Consulta!$G$29)),ROW()-1,""))</f>
        <v/>
      </c>
    </row>
    <row r="581" spans="1:42" ht="1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 t="str">
        <f t="shared" si="81"/>
        <v/>
      </c>
      <c r="AG581" s="7" t="str">
        <f t="shared" si="89"/>
        <v/>
      </c>
      <c r="AH581" s="7" t="str">
        <f t="shared" si="82"/>
        <v/>
      </c>
      <c r="AI581" s="7" t="str">
        <f t="shared" si="83"/>
        <v/>
      </c>
      <c r="AJ581" s="7" t="str">
        <f t="shared" si="84"/>
        <v/>
      </c>
      <c r="AK581" s="7" t="str">
        <f t="shared" si="85"/>
        <v/>
      </c>
      <c r="AL581" s="7" t="str">
        <f t="shared" si="86"/>
        <v/>
      </c>
      <c r="AM581" s="7" t="str">
        <f t="shared" si="87"/>
        <v/>
      </c>
      <c r="AN581" s="8" t="str">
        <f>IF(C581="","",COUNTIF($C$2:C581,C581))</f>
        <v/>
      </c>
      <c r="AO581" s="8" t="str">
        <f t="shared" si="88"/>
        <v/>
      </c>
      <c r="AP581" s="8" t="str">
        <f>IF(C581="","",IF(AND(OR([1]Consulta!$C$29="",A581=[1]Consulta!$C$29),OR([1]Consulta!$E$29="",B581=[1]Consulta!$E$29),OR([1]Consulta!$G$29="",D581=[1]Consulta!$G$29,R581=[1]Consulta!$G$29)),ROW()-1,""))</f>
        <v/>
      </c>
    </row>
    <row r="582" spans="1:42" ht="1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 t="str">
        <f t="shared" si="81"/>
        <v/>
      </c>
      <c r="AG582" s="7" t="str">
        <f t="shared" si="89"/>
        <v/>
      </c>
      <c r="AH582" s="7" t="str">
        <f t="shared" si="82"/>
        <v/>
      </c>
      <c r="AI582" s="7" t="str">
        <f t="shared" si="83"/>
        <v/>
      </c>
      <c r="AJ582" s="7" t="str">
        <f t="shared" si="84"/>
        <v/>
      </c>
      <c r="AK582" s="7" t="str">
        <f t="shared" si="85"/>
        <v/>
      </c>
      <c r="AL582" s="7" t="str">
        <f t="shared" si="86"/>
        <v/>
      </c>
      <c r="AM582" s="7" t="str">
        <f t="shared" si="87"/>
        <v/>
      </c>
      <c r="AN582" s="8" t="str">
        <f>IF(C582="","",COUNTIF($C$2:C582,C582))</f>
        <v/>
      </c>
      <c r="AO582" s="8" t="str">
        <f t="shared" si="88"/>
        <v/>
      </c>
      <c r="AP582" s="8" t="str">
        <f>IF(C582="","",IF(AND(OR([1]Consulta!$C$29="",A582=[1]Consulta!$C$29),OR([1]Consulta!$E$29="",B582=[1]Consulta!$E$29),OR([1]Consulta!$G$29="",D582=[1]Consulta!$G$29,R582=[1]Consulta!$G$29)),ROW()-1,""))</f>
        <v/>
      </c>
    </row>
    <row r="583" spans="1:42" ht="1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 t="str">
        <f t="shared" si="81"/>
        <v/>
      </c>
      <c r="AG583" s="7" t="str">
        <f t="shared" si="89"/>
        <v/>
      </c>
      <c r="AH583" s="7" t="str">
        <f t="shared" si="82"/>
        <v/>
      </c>
      <c r="AI583" s="7" t="str">
        <f t="shared" si="83"/>
        <v/>
      </c>
      <c r="AJ583" s="7" t="str">
        <f t="shared" si="84"/>
        <v/>
      </c>
      <c r="AK583" s="7" t="str">
        <f t="shared" si="85"/>
        <v/>
      </c>
      <c r="AL583" s="7" t="str">
        <f t="shared" si="86"/>
        <v/>
      </c>
      <c r="AM583" s="7" t="str">
        <f t="shared" si="87"/>
        <v/>
      </c>
      <c r="AN583" s="8" t="str">
        <f>IF(C583="","",COUNTIF($C$2:C583,C583))</f>
        <v/>
      </c>
      <c r="AO583" s="8" t="str">
        <f t="shared" si="88"/>
        <v/>
      </c>
      <c r="AP583" s="8" t="str">
        <f>IF(C583="","",IF(AND(OR([1]Consulta!$C$29="",A583=[1]Consulta!$C$29),OR([1]Consulta!$E$29="",B583=[1]Consulta!$E$29),OR([1]Consulta!$G$29="",D583=[1]Consulta!$G$29,R583=[1]Consulta!$G$29)),ROW()-1,""))</f>
        <v/>
      </c>
    </row>
    <row r="584" spans="1:42" ht="1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 t="str">
        <f t="shared" si="81"/>
        <v/>
      </c>
      <c r="AG584" s="7" t="str">
        <f t="shared" si="89"/>
        <v/>
      </c>
      <c r="AH584" s="7" t="str">
        <f t="shared" si="82"/>
        <v/>
      </c>
      <c r="AI584" s="7" t="str">
        <f t="shared" si="83"/>
        <v/>
      </c>
      <c r="AJ584" s="7" t="str">
        <f t="shared" si="84"/>
        <v/>
      </c>
      <c r="AK584" s="7" t="str">
        <f t="shared" si="85"/>
        <v/>
      </c>
      <c r="AL584" s="7" t="str">
        <f t="shared" si="86"/>
        <v/>
      </c>
      <c r="AM584" s="7" t="str">
        <f t="shared" si="87"/>
        <v/>
      </c>
      <c r="AN584" s="8" t="str">
        <f>IF(C584="","",COUNTIF($C$2:C584,C584))</f>
        <v/>
      </c>
      <c r="AO584" s="8" t="str">
        <f t="shared" si="88"/>
        <v/>
      </c>
      <c r="AP584" s="8" t="str">
        <f>IF(C584="","",IF(AND(OR([1]Consulta!$C$29="",A584=[1]Consulta!$C$29),OR([1]Consulta!$E$29="",B584=[1]Consulta!$E$29),OR([1]Consulta!$G$29="",D584=[1]Consulta!$G$29,R584=[1]Consulta!$G$29)),ROW()-1,""))</f>
        <v/>
      </c>
    </row>
    <row r="585" spans="1:42" ht="1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 t="str">
        <f t="shared" si="81"/>
        <v/>
      </c>
      <c r="AG585" s="7" t="str">
        <f t="shared" si="89"/>
        <v/>
      </c>
      <c r="AH585" s="7" t="str">
        <f t="shared" si="82"/>
        <v/>
      </c>
      <c r="AI585" s="7" t="str">
        <f t="shared" si="83"/>
        <v/>
      </c>
      <c r="AJ585" s="7" t="str">
        <f t="shared" si="84"/>
        <v/>
      </c>
      <c r="AK585" s="7" t="str">
        <f t="shared" si="85"/>
        <v/>
      </c>
      <c r="AL585" s="7" t="str">
        <f t="shared" si="86"/>
        <v/>
      </c>
      <c r="AM585" s="7" t="str">
        <f t="shared" si="87"/>
        <v/>
      </c>
      <c r="AN585" s="8" t="str">
        <f>IF(C585="","",COUNTIF($C$2:C585,C585))</f>
        <v/>
      </c>
      <c r="AO585" s="8" t="str">
        <f t="shared" si="88"/>
        <v/>
      </c>
      <c r="AP585" s="8" t="str">
        <f>IF(C585="","",IF(AND(OR([1]Consulta!$C$29="",A585=[1]Consulta!$C$29),OR([1]Consulta!$E$29="",B585=[1]Consulta!$E$29),OR([1]Consulta!$G$29="",D585=[1]Consulta!$G$29,R585=[1]Consulta!$G$29)),ROW()-1,""))</f>
        <v/>
      </c>
    </row>
    <row r="586" spans="1:42" ht="1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 t="str">
        <f t="shared" si="81"/>
        <v/>
      </c>
      <c r="AG586" s="7" t="str">
        <f t="shared" si="89"/>
        <v/>
      </c>
      <c r="AH586" s="7" t="str">
        <f t="shared" si="82"/>
        <v/>
      </c>
      <c r="AI586" s="7" t="str">
        <f t="shared" si="83"/>
        <v/>
      </c>
      <c r="AJ586" s="7" t="str">
        <f t="shared" si="84"/>
        <v/>
      </c>
      <c r="AK586" s="7" t="str">
        <f t="shared" si="85"/>
        <v/>
      </c>
      <c r="AL586" s="7" t="str">
        <f t="shared" si="86"/>
        <v/>
      </c>
      <c r="AM586" s="7" t="str">
        <f t="shared" si="87"/>
        <v/>
      </c>
      <c r="AN586" s="8" t="str">
        <f>IF(C586="","",COUNTIF($C$2:C586,C586))</f>
        <v/>
      </c>
      <c r="AO586" s="8" t="str">
        <f t="shared" si="88"/>
        <v/>
      </c>
      <c r="AP586" s="8" t="str">
        <f>IF(C586="","",IF(AND(OR([1]Consulta!$C$29="",A586=[1]Consulta!$C$29),OR([1]Consulta!$E$29="",B586=[1]Consulta!$E$29),OR([1]Consulta!$G$29="",D586=[1]Consulta!$G$29,R586=[1]Consulta!$G$29)),ROW()-1,""))</f>
        <v/>
      </c>
    </row>
    <row r="587" spans="1:42" ht="1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 t="str">
        <f t="shared" si="81"/>
        <v/>
      </c>
      <c r="AG587" s="7" t="str">
        <f t="shared" si="89"/>
        <v/>
      </c>
      <c r="AH587" s="7" t="str">
        <f t="shared" si="82"/>
        <v/>
      </c>
      <c r="AI587" s="7" t="str">
        <f t="shared" si="83"/>
        <v/>
      </c>
      <c r="AJ587" s="7" t="str">
        <f t="shared" si="84"/>
        <v/>
      </c>
      <c r="AK587" s="7" t="str">
        <f t="shared" si="85"/>
        <v/>
      </c>
      <c r="AL587" s="7" t="str">
        <f t="shared" si="86"/>
        <v/>
      </c>
      <c r="AM587" s="7" t="str">
        <f t="shared" si="87"/>
        <v/>
      </c>
      <c r="AN587" s="8" t="str">
        <f>IF(C587="","",COUNTIF($C$2:C587,C587))</f>
        <v/>
      </c>
      <c r="AO587" s="8" t="str">
        <f t="shared" si="88"/>
        <v/>
      </c>
      <c r="AP587" s="8" t="str">
        <f>IF(C587="","",IF(AND(OR([1]Consulta!$C$29="",A587=[1]Consulta!$C$29),OR([1]Consulta!$E$29="",B587=[1]Consulta!$E$29),OR([1]Consulta!$G$29="",D587=[1]Consulta!$G$29,R587=[1]Consulta!$G$29)),ROW()-1,""))</f>
        <v/>
      </c>
    </row>
    <row r="588" spans="1:42" ht="1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 t="str">
        <f t="shared" si="81"/>
        <v/>
      </c>
      <c r="AG588" s="7" t="str">
        <f t="shared" si="89"/>
        <v/>
      </c>
      <c r="AH588" s="7" t="str">
        <f t="shared" si="82"/>
        <v/>
      </c>
      <c r="AI588" s="7" t="str">
        <f t="shared" si="83"/>
        <v/>
      </c>
      <c r="AJ588" s="7" t="str">
        <f t="shared" si="84"/>
        <v/>
      </c>
      <c r="AK588" s="7" t="str">
        <f t="shared" si="85"/>
        <v/>
      </c>
      <c r="AL588" s="7" t="str">
        <f t="shared" si="86"/>
        <v/>
      </c>
      <c r="AM588" s="7" t="str">
        <f t="shared" si="87"/>
        <v/>
      </c>
      <c r="AN588" s="8" t="str">
        <f>IF(C588="","",COUNTIF($C$2:C588,C588))</f>
        <v/>
      </c>
      <c r="AO588" s="8" t="str">
        <f t="shared" si="88"/>
        <v/>
      </c>
      <c r="AP588" s="8" t="str">
        <f>IF(C588="","",IF(AND(OR([1]Consulta!$C$29="",A588=[1]Consulta!$C$29),OR([1]Consulta!$E$29="",B588=[1]Consulta!$E$29),OR([1]Consulta!$G$29="",D588=[1]Consulta!$G$29,R588=[1]Consulta!$G$29)),ROW()-1,""))</f>
        <v/>
      </c>
    </row>
    <row r="589" spans="1:42" ht="1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 t="str">
        <f t="shared" si="81"/>
        <v/>
      </c>
      <c r="AG589" s="7" t="str">
        <f t="shared" si="89"/>
        <v/>
      </c>
      <c r="AH589" s="7" t="str">
        <f t="shared" si="82"/>
        <v/>
      </c>
      <c r="AI589" s="7" t="str">
        <f t="shared" si="83"/>
        <v/>
      </c>
      <c r="AJ589" s="7" t="str">
        <f t="shared" si="84"/>
        <v/>
      </c>
      <c r="AK589" s="7" t="str">
        <f t="shared" si="85"/>
        <v/>
      </c>
      <c r="AL589" s="7" t="str">
        <f t="shared" si="86"/>
        <v/>
      </c>
      <c r="AM589" s="7" t="str">
        <f t="shared" si="87"/>
        <v/>
      </c>
      <c r="AN589" s="8" t="str">
        <f>IF(C589="","",COUNTIF($C$2:C589,C589))</f>
        <v/>
      </c>
      <c r="AO589" s="8" t="str">
        <f t="shared" si="88"/>
        <v/>
      </c>
      <c r="AP589" s="8" t="str">
        <f>IF(C589="","",IF(AND(OR([1]Consulta!$C$29="",A589=[1]Consulta!$C$29),OR([1]Consulta!$E$29="",B589=[1]Consulta!$E$29),OR([1]Consulta!$G$29="",D589=[1]Consulta!$G$29,R589=[1]Consulta!$G$29)),ROW()-1,""))</f>
        <v/>
      </c>
    </row>
    <row r="590" spans="1:42" ht="1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 t="str">
        <f t="shared" si="81"/>
        <v/>
      </c>
      <c r="AG590" s="7" t="str">
        <f t="shared" si="89"/>
        <v/>
      </c>
      <c r="AH590" s="7" t="str">
        <f t="shared" si="82"/>
        <v/>
      </c>
      <c r="AI590" s="7" t="str">
        <f t="shared" si="83"/>
        <v/>
      </c>
      <c r="AJ590" s="7" t="str">
        <f t="shared" si="84"/>
        <v/>
      </c>
      <c r="AK590" s="7" t="str">
        <f t="shared" si="85"/>
        <v/>
      </c>
      <c r="AL590" s="7" t="str">
        <f t="shared" si="86"/>
        <v/>
      </c>
      <c r="AM590" s="7" t="str">
        <f t="shared" si="87"/>
        <v/>
      </c>
      <c r="AN590" s="8" t="str">
        <f>IF(C590="","",COUNTIF($C$2:C590,C590))</f>
        <v/>
      </c>
      <c r="AO590" s="8" t="str">
        <f t="shared" si="88"/>
        <v/>
      </c>
      <c r="AP590" s="8" t="str">
        <f>IF(C590="","",IF(AND(OR([1]Consulta!$C$29="",A590=[1]Consulta!$C$29),OR([1]Consulta!$E$29="",B590=[1]Consulta!$E$29),OR([1]Consulta!$G$29="",D590=[1]Consulta!$G$29,R590=[1]Consulta!$G$29)),ROW()-1,""))</f>
        <v/>
      </c>
    </row>
    <row r="591" spans="1:42" ht="1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 t="str">
        <f t="shared" si="81"/>
        <v/>
      </c>
      <c r="AG591" s="7" t="str">
        <f t="shared" si="89"/>
        <v/>
      </c>
      <c r="AH591" s="7" t="str">
        <f t="shared" si="82"/>
        <v/>
      </c>
      <c r="AI591" s="7" t="str">
        <f t="shared" si="83"/>
        <v/>
      </c>
      <c r="AJ591" s="7" t="str">
        <f t="shared" si="84"/>
        <v/>
      </c>
      <c r="AK591" s="7" t="str">
        <f t="shared" si="85"/>
        <v/>
      </c>
      <c r="AL591" s="7" t="str">
        <f t="shared" si="86"/>
        <v/>
      </c>
      <c r="AM591" s="7" t="str">
        <f t="shared" si="87"/>
        <v/>
      </c>
      <c r="AN591" s="8" t="str">
        <f>IF(C591="","",COUNTIF($C$2:C591,C591))</f>
        <v/>
      </c>
      <c r="AO591" s="8" t="str">
        <f t="shared" si="88"/>
        <v/>
      </c>
      <c r="AP591" s="8" t="str">
        <f>IF(C591="","",IF(AND(OR([1]Consulta!$C$29="",A591=[1]Consulta!$C$29),OR([1]Consulta!$E$29="",B591=[1]Consulta!$E$29),OR([1]Consulta!$G$29="",D591=[1]Consulta!$G$29,R591=[1]Consulta!$G$29)),ROW()-1,""))</f>
        <v/>
      </c>
    </row>
    <row r="592" spans="1:42" ht="1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 t="str">
        <f t="shared" si="81"/>
        <v/>
      </c>
      <c r="AG592" s="7" t="str">
        <f t="shared" si="89"/>
        <v/>
      </c>
      <c r="AH592" s="7" t="str">
        <f t="shared" si="82"/>
        <v/>
      </c>
      <c r="AI592" s="7" t="str">
        <f t="shared" si="83"/>
        <v/>
      </c>
      <c r="AJ592" s="7" t="str">
        <f t="shared" si="84"/>
        <v/>
      </c>
      <c r="AK592" s="7" t="str">
        <f t="shared" si="85"/>
        <v/>
      </c>
      <c r="AL592" s="7" t="str">
        <f t="shared" si="86"/>
        <v/>
      </c>
      <c r="AM592" s="7" t="str">
        <f t="shared" si="87"/>
        <v/>
      </c>
      <c r="AN592" s="8" t="str">
        <f>IF(C592="","",COUNTIF($C$2:C592,C592))</f>
        <v/>
      </c>
      <c r="AO592" s="8" t="str">
        <f t="shared" si="88"/>
        <v/>
      </c>
      <c r="AP592" s="8" t="str">
        <f>IF(C592="","",IF(AND(OR([1]Consulta!$C$29="",A592=[1]Consulta!$C$29),OR([1]Consulta!$E$29="",B592=[1]Consulta!$E$29),OR([1]Consulta!$G$29="",D592=[1]Consulta!$G$29,R592=[1]Consulta!$G$29)),ROW()-1,""))</f>
        <v/>
      </c>
    </row>
    <row r="593" spans="1:42" ht="1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 t="str">
        <f t="shared" si="81"/>
        <v/>
      </c>
      <c r="AG593" s="7" t="str">
        <f t="shared" si="89"/>
        <v/>
      </c>
      <c r="AH593" s="7" t="str">
        <f t="shared" si="82"/>
        <v/>
      </c>
      <c r="AI593" s="7" t="str">
        <f t="shared" si="83"/>
        <v/>
      </c>
      <c r="AJ593" s="7" t="str">
        <f t="shared" si="84"/>
        <v/>
      </c>
      <c r="AK593" s="7" t="str">
        <f t="shared" si="85"/>
        <v/>
      </c>
      <c r="AL593" s="7" t="str">
        <f t="shared" si="86"/>
        <v/>
      </c>
      <c r="AM593" s="7" t="str">
        <f t="shared" si="87"/>
        <v/>
      </c>
      <c r="AN593" s="8" t="str">
        <f>IF(C593="","",COUNTIF($C$2:C593,C593))</f>
        <v/>
      </c>
      <c r="AO593" s="8" t="str">
        <f t="shared" si="88"/>
        <v/>
      </c>
      <c r="AP593" s="8" t="str">
        <f>IF(C593="","",IF(AND(OR([1]Consulta!$C$29="",A593=[1]Consulta!$C$29),OR([1]Consulta!$E$29="",B593=[1]Consulta!$E$29),OR([1]Consulta!$G$29="",D593=[1]Consulta!$G$29,R593=[1]Consulta!$G$29)),ROW()-1,""))</f>
        <v/>
      </c>
    </row>
    <row r="594" spans="1:42" ht="1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 t="str">
        <f t="shared" si="81"/>
        <v/>
      </c>
      <c r="AG594" s="7" t="str">
        <f t="shared" si="89"/>
        <v/>
      </c>
      <c r="AH594" s="7" t="str">
        <f t="shared" si="82"/>
        <v/>
      </c>
      <c r="AI594" s="7" t="str">
        <f t="shared" si="83"/>
        <v/>
      </c>
      <c r="AJ594" s="7" t="str">
        <f t="shared" si="84"/>
        <v/>
      </c>
      <c r="AK594" s="7" t="str">
        <f t="shared" si="85"/>
        <v/>
      </c>
      <c r="AL594" s="7" t="str">
        <f t="shared" si="86"/>
        <v/>
      </c>
      <c r="AM594" s="7" t="str">
        <f t="shared" si="87"/>
        <v/>
      </c>
      <c r="AN594" s="8" t="str">
        <f>IF(C594="","",COUNTIF($C$2:C594,C594))</f>
        <v/>
      </c>
      <c r="AO594" s="8" t="str">
        <f t="shared" si="88"/>
        <v/>
      </c>
      <c r="AP594" s="8" t="str">
        <f>IF(C594="","",IF(AND(OR([1]Consulta!$C$29="",A594=[1]Consulta!$C$29),OR([1]Consulta!$E$29="",B594=[1]Consulta!$E$29),OR([1]Consulta!$G$29="",D594=[1]Consulta!$G$29,R594=[1]Consulta!$G$29)),ROW()-1,""))</f>
        <v/>
      </c>
    </row>
    <row r="595" spans="1:42" ht="1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 t="str">
        <f t="shared" si="81"/>
        <v/>
      </c>
      <c r="AG595" s="7" t="str">
        <f t="shared" si="89"/>
        <v/>
      </c>
      <c r="AH595" s="7" t="str">
        <f t="shared" si="82"/>
        <v/>
      </c>
      <c r="AI595" s="7" t="str">
        <f t="shared" si="83"/>
        <v/>
      </c>
      <c r="AJ595" s="7" t="str">
        <f t="shared" si="84"/>
        <v/>
      </c>
      <c r="AK595" s="7" t="str">
        <f t="shared" si="85"/>
        <v/>
      </c>
      <c r="AL595" s="7" t="str">
        <f t="shared" si="86"/>
        <v/>
      </c>
      <c r="AM595" s="7" t="str">
        <f t="shared" si="87"/>
        <v/>
      </c>
      <c r="AN595" s="8" t="str">
        <f>IF(C595="","",COUNTIF($C$2:C595,C595))</f>
        <v/>
      </c>
      <c r="AO595" s="8" t="str">
        <f t="shared" si="88"/>
        <v/>
      </c>
      <c r="AP595" s="8" t="str">
        <f>IF(C595="","",IF(AND(OR([1]Consulta!$C$29="",A595=[1]Consulta!$C$29),OR([1]Consulta!$E$29="",B595=[1]Consulta!$E$29),OR([1]Consulta!$G$29="",D595=[1]Consulta!$G$29,R595=[1]Consulta!$G$29)),ROW()-1,""))</f>
        <v/>
      </c>
    </row>
    <row r="596" spans="1:42" ht="1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 t="str">
        <f t="shared" si="81"/>
        <v/>
      </c>
      <c r="AG596" s="7" t="str">
        <f t="shared" si="89"/>
        <v/>
      </c>
      <c r="AH596" s="7" t="str">
        <f t="shared" si="82"/>
        <v/>
      </c>
      <c r="AI596" s="7" t="str">
        <f t="shared" si="83"/>
        <v/>
      </c>
      <c r="AJ596" s="7" t="str">
        <f t="shared" si="84"/>
        <v/>
      </c>
      <c r="AK596" s="7" t="str">
        <f t="shared" si="85"/>
        <v/>
      </c>
      <c r="AL596" s="7" t="str">
        <f t="shared" si="86"/>
        <v/>
      </c>
      <c r="AM596" s="7" t="str">
        <f t="shared" si="87"/>
        <v/>
      </c>
      <c r="AN596" s="8" t="str">
        <f>IF(C596="","",COUNTIF($C$2:C596,C596))</f>
        <v/>
      </c>
      <c r="AO596" s="8" t="str">
        <f t="shared" si="88"/>
        <v/>
      </c>
      <c r="AP596" s="8" t="str">
        <f>IF(C596="","",IF(AND(OR([1]Consulta!$C$29="",A596=[1]Consulta!$C$29),OR([1]Consulta!$E$29="",B596=[1]Consulta!$E$29),OR([1]Consulta!$G$29="",D596=[1]Consulta!$G$29,R596=[1]Consulta!$G$29)),ROW()-1,""))</f>
        <v/>
      </c>
    </row>
    <row r="597" spans="1:42" ht="1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 t="str">
        <f t="shared" si="81"/>
        <v/>
      </c>
      <c r="AG597" s="7" t="str">
        <f t="shared" si="89"/>
        <v/>
      </c>
      <c r="AH597" s="7" t="str">
        <f t="shared" si="82"/>
        <v/>
      </c>
      <c r="AI597" s="7" t="str">
        <f t="shared" si="83"/>
        <v/>
      </c>
      <c r="AJ597" s="7" t="str">
        <f t="shared" si="84"/>
        <v/>
      </c>
      <c r="AK597" s="7" t="str">
        <f t="shared" si="85"/>
        <v/>
      </c>
      <c r="AL597" s="7" t="str">
        <f t="shared" si="86"/>
        <v/>
      </c>
      <c r="AM597" s="7" t="str">
        <f t="shared" si="87"/>
        <v/>
      </c>
      <c r="AN597" s="8" t="str">
        <f>IF(C597="","",COUNTIF($C$2:C597,C597))</f>
        <v/>
      </c>
      <c r="AO597" s="8" t="str">
        <f t="shared" si="88"/>
        <v/>
      </c>
      <c r="AP597" s="8" t="str">
        <f>IF(C597="","",IF(AND(OR([1]Consulta!$C$29="",A597=[1]Consulta!$C$29),OR([1]Consulta!$E$29="",B597=[1]Consulta!$E$29),OR([1]Consulta!$G$29="",D597=[1]Consulta!$G$29,R597=[1]Consulta!$G$29)),ROW()-1,""))</f>
        <v/>
      </c>
    </row>
    <row r="598" spans="1:42" ht="1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 t="str">
        <f t="shared" si="81"/>
        <v/>
      </c>
      <c r="AG598" s="7" t="str">
        <f t="shared" si="89"/>
        <v/>
      </c>
      <c r="AH598" s="7" t="str">
        <f t="shared" si="82"/>
        <v/>
      </c>
      <c r="AI598" s="7" t="str">
        <f t="shared" si="83"/>
        <v/>
      </c>
      <c r="AJ598" s="7" t="str">
        <f t="shared" si="84"/>
        <v/>
      </c>
      <c r="AK598" s="7" t="str">
        <f t="shared" si="85"/>
        <v/>
      </c>
      <c r="AL598" s="7" t="str">
        <f t="shared" si="86"/>
        <v/>
      </c>
      <c r="AM598" s="7" t="str">
        <f t="shared" si="87"/>
        <v/>
      </c>
      <c r="AN598" s="8" t="str">
        <f>IF(C598="","",COUNTIF($C$2:C598,C598))</f>
        <v/>
      </c>
      <c r="AO598" s="8" t="str">
        <f t="shared" si="88"/>
        <v/>
      </c>
      <c r="AP598" s="8" t="str">
        <f>IF(C598="","",IF(AND(OR([1]Consulta!$C$29="",A598=[1]Consulta!$C$29),OR([1]Consulta!$E$29="",B598=[1]Consulta!$E$29),OR([1]Consulta!$G$29="",D598=[1]Consulta!$G$29,R598=[1]Consulta!$G$29)),ROW()-1,""))</f>
        <v/>
      </c>
    </row>
    <row r="599" spans="1:42" ht="1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 t="str">
        <f t="shared" si="81"/>
        <v/>
      </c>
      <c r="AG599" s="7" t="str">
        <f t="shared" si="89"/>
        <v/>
      </c>
      <c r="AH599" s="7" t="str">
        <f t="shared" si="82"/>
        <v/>
      </c>
      <c r="AI599" s="7" t="str">
        <f t="shared" si="83"/>
        <v/>
      </c>
      <c r="AJ599" s="7" t="str">
        <f t="shared" si="84"/>
        <v/>
      </c>
      <c r="AK599" s="7" t="str">
        <f t="shared" si="85"/>
        <v/>
      </c>
      <c r="AL599" s="7" t="str">
        <f t="shared" si="86"/>
        <v/>
      </c>
      <c r="AM599" s="7" t="str">
        <f t="shared" si="87"/>
        <v/>
      </c>
      <c r="AN599" s="8" t="str">
        <f>IF(C599="","",COUNTIF($C$2:C599,C599))</f>
        <v/>
      </c>
      <c r="AO599" s="8" t="str">
        <f t="shared" si="88"/>
        <v/>
      </c>
      <c r="AP599" s="8" t="str">
        <f>IF(C599="","",IF(AND(OR([1]Consulta!$C$29="",A599=[1]Consulta!$C$29),OR([1]Consulta!$E$29="",B599=[1]Consulta!$E$29),OR([1]Consulta!$G$29="",D599=[1]Consulta!$G$29,R599=[1]Consulta!$G$29)),ROW()-1,""))</f>
        <v/>
      </c>
    </row>
    <row r="600" spans="1:42" ht="1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 t="str">
        <f t="shared" si="81"/>
        <v/>
      </c>
      <c r="AG600" s="7" t="str">
        <f t="shared" si="89"/>
        <v/>
      </c>
      <c r="AH600" s="7" t="str">
        <f t="shared" si="82"/>
        <v/>
      </c>
      <c r="AI600" s="7" t="str">
        <f t="shared" si="83"/>
        <v/>
      </c>
      <c r="AJ600" s="7" t="str">
        <f t="shared" si="84"/>
        <v/>
      </c>
      <c r="AK600" s="7" t="str">
        <f t="shared" si="85"/>
        <v/>
      </c>
      <c r="AL600" s="7" t="str">
        <f t="shared" si="86"/>
        <v/>
      </c>
      <c r="AM600" s="7" t="str">
        <f t="shared" si="87"/>
        <v/>
      </c>
      <c r="AN600" s="8" t="str">
        <f>IF(C600="","",COUNTIF($C$2:C600,C600))</f>
        <v/>
      </c>
      <c r="AO600" s="8" t="str">
        <f t="shared" si="88"/>
        <v/>
      </c>
      <c r="AP600" s="8" t="str">
        <f>IF(C600="","",IF(AND(OR([1]Consulta!$C$29="",A600=[1]Consulta!$C$29),OR([1]Consulta!$E$29="",B600=[1]Consulta!$E$29),OR([1]Consulta!$G$29="",D600=[1]Consulta!$G$29,R600=[1]Consulta!$G$29)),ROW()-1,""))</f>
        <v/>
      </c>
    </row>
    <row r="601" spans="1:42" ht="1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 t="str">
        <f t="shared" si="81"/>
        <v/>
      </c>
      <c r="AG601" s="7" t="str">
        <f t="shared" si="89"/>
        <v/>
      </c>
      <c r="AH601" s="7" t="str">
        <f t="shared" si="82"/>
        <v/>
      </c>
      <c r="AI601" s="7" t="str">
        <f t="shared" si="83"/>
        <v/>
      </c>
      <c r="AJ601" s="7" t="str">
        <f t="shared" si="84"/>
        <v/>
      </c>
      <c r="AK601" s="7" t="str">
        <f t="shared" si="85"/>
        <v/>
      </c>
      <c r="AL601" s="7" t="str">
        <f t="shared" si="86"/>
        <v/>
      </c>
      <c r="AM601" s="7" t="str">
        <f t="shared" si="87"/>
        <v/>
      </c>
      <c r="AN601" s="8" t="str">
        <f>IF(C601="","",COUNTIF($C$2:C601,C601))</f>
        <v/>
      </c>
      <c r="AO601" s="8" t="str">
        <f t="shared" si="88"/>
        <v/>
      </c>
      <c r="AP601" s="8" t="str">
        <f>IF(C601="","",IF(AND(OR([1]Consulta!$C$29="",A601=[1]Consulta!$C$29),OR([1]Consulta!$E$29="",B601=[1]Consulta!$E$29),OR([1]Consulta!$G$29="",D601=[1]Consulta!$G$29,R601=[1]Consulta!$G$29)),ROW()-1,""))</f>
        <v/>
      </c>
    </row>
    <row r="602" spans="1:42" ht="1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 t="str">
        <f t="shared" si="81"/>
        <v/>
      </c>
      <c r="AG602" s="7" t="str">
        <f t="shared" si="89"/>
        <v/>
      </c>
      <c r="AH602" s="7" t="str">
        <f t="shared" si="82"/>
        <v/>
      </c>
      <c r="AI602" s="7" t="str">
        <f t="shared" si="83"/>
        <v/>
      </c>
      <c r="AJ602" s="7" t="str">
        <f t="shared" si="84"/>
        <v/>
      </c>
      <c r="AK602" s="7" t="str">
        <f t="shared" si="85"/>
        <v/>
      </c>
      <c r="AL602" s="7" t="str">
        <f t="shared" si="86"/>
        <v/>
      </c>
      <c r="AM602" s="7" t="str">
        <f t="shared" si="87"/>
        <v/>
      </c>
      <c r="AN602" s="8" t="str">
        <f>IF(C602="","",COUNTIF($C$2:C602,C602))</f>
        <v/>
      </c>
      <c r="AO602" s="8" t="str">
        <f t="shared" si="88"/>
        <v/>
      </c>
      <c r="AP602" s="8" t="str">
        <f>IF(C602="","",IF(AND(OR([1]Consulta!$C$29="",A602=[1]Consulta!$C$29),OR([1]Consulta!$E$29="",B602=[1]Consulta!$E$29),OR([1]Consulta!$G$29="",D602=[1]Consulta!$G$29,R602=[1]Consulta!$G$29)),ROW()-1,""))</f>
        <v/>
      </c>
    </row>
    <row r="603" spans="1:42" ht="1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 t="str">
        <f t="shared" si="81"/>
        <v/>
      </c>
      <c r="AG603" s="7" t="str">
        <f t="shared" si="89"/>
        <v/>
      </c>
      <c r="AH603" s="7" t="str">
        <f t="shared" si="82"/>
        <v/>
      </c>
      <c r="AI603" s="7" t="str">
        <f t="shared" si="83"/>
        <v/>
      </c>
      <c r="AJ603" s="7" t="str">
        <f t="shared" si="84"/>
        <v/>
      </c>
      <c r="AK603" s="7" t="str">
        <f t="shared" si="85"/>
        <v/>
      </c>
      <c r="AL603" s="7" t="str">
        <f t="shared" si="86"/>
        <v/>
      </c>
      <c r="AM603" s="7" t="str">
        <f t="shared" si="87"/>
        <v/>
      </c>
      <c r="AN603" s="8" t="str">
        <f>IF(C603="","",COUNTIF($C$2:C603,C603))</f>
        <v/>
      </c>
      <c r="AO603" s="8" t="str">
        <f t="shared" si="88"/>
        <v/>
      </c>
      <c r="AP603" s="8" t="str">
        <f>IF(C603="","",IF(AND(OR([1]Consulta!$C$29="",A603=[1]Consulta!$C$29),OR([1]Consulta!$E$29="",B603=[1]Consulta!$E$29),OR([1]Consulta!$G$29="",D603=[1]Consulta!$G$29,R603=[1]Consulta!$G$29)),ROW()-1,""))</f>
        <v/>
      </c>
    </row>
    <row r="604" spans="1:42" ht="1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 t="str">
        <f t="shared" si="81"/>
        <v/>
      </c>
      <c r="AG604" s="7" t="str">
        <f t="shared" si="89"/>
        <v/>
      </c>
      <c r="AH604" s="7" t="str">
        <f t="shared" si="82"/>
        <v/>
      </c>
      <c r="AI604" s="7" t="str">
        <f t="shared" si="83"/>
        <v/>
      </c>
      <c r="AJ604" s="7" t="str">
        <f t="shared" si="84"/>
        <v/>
      </c>
      <c r="AK604" s="7" t="str">
        <f t="shared" si="85"/>
        <v/>
      </c>
      <c r="AL604" s="7" t="str">
        <f t="shared" si="86"/>
        <v/>
      </c>
      <c r="AM604" s="7" t="str">
        <f t="shared" si="87"/>
        <v/>
      </c>
      <c r="AN604" s="8" t="str">
        <f>IF(C604="","",COUNTIF($C$2:C604,C604))</f>
        <v/>
      </c>
      <c r="AO604" s="8" t="str">
        <f t="shared" si="88"/>
        <v/>
      </c>
      <c r="AP604" s="8" t="str">
        <f>IF(C604="","",IF(AND(OR([1]Consulta!$C$29="",A604=[1]Consulta!$C$29),OR([1]Consulta!$E$29="",B604=[1]Consulta!$E$29),OR([1]Consulta!$G$29="",D604=[1]Consulta!$G$29,R604=[1]Consulta!$G$29)),ROW()-1,""))</f>
        <v/>
      </c>
    </row>
    <row r="605" spans="1:42" ht="1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 t="str">
        <f t="shared" si="81"/>
        <v/>
      </c>
      <c r="AG605" s="7" t="str">
        <f t="shared" si="89"/>
        <v/>
      </c>
      <c r="AH605" s="7" t="str">
        <f t="shared" si="82"/>
        <v/>
      </c>
      <c r="AI605" s="7" t="str">
        <f t="shared" si="83"/>
        <v/>
      </c>
      <c r="AJ605" s="7" t="str">
        <f t="shared" si="84"/>
        <v/>
      </c>
      <c r="AK605" s="7" t="str">
        <f t="shared" si="85"/>
        <v/>
      </c>
      <c r="AL605" s="7" t="str">
        <f t="shared" si="86"/>
        <v/>
      </c>
      <c r="AM605" s="7" t="str">
        <f t="shared" si="87"/>
        <v/>
      </c>
      <c r="AN605" s="8" t="str">
        <f>IF(C605="","",COUNTIF($C$2:C605,C605))</f>
        <v/>
      </c>
      <c r="AO605" s="8" t="str">
        <f t="shared" si="88"/>
        <v/>
      </c>
      <c r="AP605" s="8" t="str">
        <f>IF(C605="","",IF(AND(OR([1]Consulta!$C$29="",A605=[1]Consulta!$C$29),OR([1]Consulta!$E$29="",B605=[1]Consulta!$E$29),OR([1]Consulta!$G$29="",D605=[1]Consulta!$G$29,R605=[1]Consulta!$G$29)),ROW()-1,""))</f>
        <v/>
      </c>
    </row>
    <row r="606" spans="1:42" ht="1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 t="str">
        <f t="shared" si="81"/>
        <v/>
      </c>
      <c r="AG606" s="7" t="str">
        <f t="shared" si="89"/>
        <v/>
      </c>
      <c r="AH606" s="7" t="str">
        <f t="shared" si="82"/>
        <v/>
      </c>
      <c r="AI606" s="7" t="str">
        <f t="shared" si="83"/>
        <v/>
      </c>
      <c r="AJ606" s="7" t="str">
        <f t="shared" si="84"/>
        <v/>
      </c>
      <c r="AK606" s="7" t="str">
        <f t="shared" si="85"/>
        <v/>
      </c>
      <c r="AL606" s="7" t="str">
        <f t="shared" si="86"/>
        <v/>
      </c>
      <c r="AM606" s="7" t="str">
        <f t="shared" si="87"/>
        <v/>
      </c>
      <c r="AN606" s="8" t="str">
        <f>IF(C606="","",COUNTIF($C$2:C606,C606))</f>
        <v/>
      </c>
      <c r="AO606" s="8" t="str">
        <f t="shared" si="88"/>
        <v/>
      </c>
      <c r="AP606" s="8" t="str">
        <f>IF(C606="","",IF(AND(OR([1]Consulta!$C$29="",A606=[1]Consulta!$C$29),OR([1]Consulta!$E$29="",B606=[1]Consulta!$E$29),OR([1]Consulta!$G$29="",D606=[1]Consulta!$G$29,R606=[1]Consulta!$G$29)),ROW()-1,""))</f>
        <v/>
      </c>
    </row>
    <row r="607" spans="1:42" ht="1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 t="str">
        <f t="shared" si="81"/>
        <v/>
      </c>
      <c r="AG607" s="7" t="str">
        <f t="shared" si="89"/>
        <v/>
      </c>
      <c r="AH607" s="7" t="str">
        <f t="shared" si="82"/>
        <v/>
      </c>
      <c r="AI607" s="7" t="str">
        <f t="shared" si="83"/>
        <v/>
      </c>
      <c r="AJ607" s="7" t="str">
        <f t="shared" si="84"/>
        <v/>
      </c>
      <c r="AK607" s="7" t="str">
        <f t="shared" si="85"/>
        <v/>
      </c>
      <c r="AL607" s="7" t="str">
        <f t="shared" si="86"/>
        <v/>
      </c>
      <c r="AM607" s="7" t="str">
        <f t="shared" si="87"/>
        <v/>
      </c>
      <c r="AN607" s="8" t="str">
        <f>IF(C607="","",COUNTIF($C$2:C607,C607))</f>
        <v/>
      </c>
      <c r="AO607" s="8" t="str">
        <f t="shared" si="88"/>
        <v/>
      </c>
      <c r="AP607" s="8" t="str">
        <f>IF(C607="","",IF(AND(OR([1]Consulta!$C$29="",A607=[1]Consulta!$C$29),OR([1]Consulta!$E$29="",B607=[1]Consulta!$E$29),OR([1]Consulta!$G$29="",D607=[1]Consulta!$G$29,R607=[1]Consulta!$G$29)),ROW()-1,""))</f>
        <v/>
      </c>
    </row>
    <row r="608" spans="1:42" ht="1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 t="str">
        <f t="shared" si="81"/>
        <v/>
      </c>
      <c r="AG608" s="7" t="str">
        <f t="shared" si="89"/>
        <v/>
      </c>
      <c r="AH608" s="7" t="str">
        <f t="shared" si="82"/>
        <v/>
      </c>
      <c r="AI608" s="7" t="str">
        <f t="shared" si="83"/>
        <v/>
      </c>
      <c r="AJ608" s="7" t="str">
        <f t="shared" si="84"/>
        <v/>
      </c>
      <c r="AK608" s="7" t="str">
        <f t="shared" si="85"/>
        <v/>
      </c>
      <c r="AL608" s="7" t="str">
        <f t="shared" si="86"/>
        <v/>
      </c>
      <c r="AM608" s="7" t="str">
        <f t="shared" si="87"/>
        <v/>
      </c>
      <c r="AN608" s="8" t="str">
        <f>IF(C608="","",COUNTIF($C$2:C608,C608))</f>
        <v/>
      </c>
      <c r="AO608" s="8" t="str">
        <f t="shared" si="88"/>
        <v/>
      </c>
      <c r="AP608" s="8" t="str">
        <f>IF(C608="","",IF(AND(OR([1]Consulta!$C$29="",A608=[1]Consulta!$C$29),OR([1]Consulta!$E$29="",B608=[1]Consulta!$E$29),OR([1]Consulta!$G$29="",D608=[1]Consulta!$G$29,R608=[1]Consulta!$G$29)),ROW()-1,""))</f>
        <v/>
      </c>
    </row>
    <row r="609" spans="1:42" ht="1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 t="str">
        <f t="shared" si="81"/>
        <v/>
      </c>
      <c r="AG609" s="7" t="str">
        <f t="shared" si="89"/>
        <v/>
      </c>
      <c r="AH609" s="7" t="str">
        <f t="shared" si="82"/>
        <v/>
      </c>
      <c r="AI609" s="7" t="str">
        <f t="shared" si="83"/>
        <v/>
      </c>
      <c r="AJ609" s="7" t="str">
        <f t="shared" si="84"/>
        <v/>
      </c>
      <c r="AK609" s="7" t="str">
        <f t="shared" si="85"/>
        <v/>
      </c>
      <c r="AL609" s="7" t="str">
        <f t="shared" si="86"/>
        <v/>
      </c>
      <c r="AM609" s="7" t="str">
        <f t="shared" si="87"/>
        <v/>
      </c>
      <c r="AN609" s="8" t="str">
        <f>IF(C609="","",COUNTIF($C$2:C609,C609))</f>
        <v/>
      </c>
      <c r="AO609" s="8" t="str">
        <f t="shared" si="88"/>
        <v/>
      </c>
      <c r="AP609" s="8" t="str">
        <f>IF(C609="","",IF(AND(OR([1]Consulta!$C$29="",A609=[1]Consulta!$C$29),OR([1]Consulta!$E$29="",B609=[1]Consulta!$E$29),OR([1]Consulta!$G$29="",D609=[1]Consulta!$G$29,R609=[1]Consulta!$G$29)),ROW()-1,""))</f>
        <v/>
      </c>
    </row>
    <row r="610" spans="1:42" ht="1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 t="str">
        <f t="shared" si="81"/>
        <v/>
      </c>
      <c r="AG610" s="7" t="str">
        <f t="shared" si="89"/>
        <v/>
      </c>
      <c r="AH610" s="7" t="str">
        <f t="shared" si="82"/>
        <v/>
      </c>
      <c r="AI610" s="7" t="str">
        <f t="shared" si="83"/>
        <v/>
      </c>
      <c r="AJ610" s="7" t="str">
        <f t="shared" si="84"/>
        <v/>
      </c>
      <c r="AK610" s="7" t="str">
        <f t="shared" si="85"/>
        <v/>
      </c>
      <c r="AL610" s="7" t="str">
        <f t="shared" si="86"/>
        <v/>
      </c>
      <c r="AM610" s="7" t="str">
        <f t="shared" si="87"/>
        <v/>
      </c>
      <c r="AN610" s="8" t="str">
        <f>IF(C610="","",COUNTIF($C$2:C610,C610))</f>
        <v/>
      </c>
      <c r="AO610" s="8" t="str">
        <f t="shared" si="88"/>
        <v/>
      </c>
      <c r="AP610" s="8" t="str">
        <f>IF(C610="","",IF(AND(OR([1]Consulta!$C$29="",A610=[1]Consulta!$C$29),OR([1]Consulta!$E$29="",B610=[1]Consulta!$E$29),OR([1]Consulta!$G$29="",D610=[1]Consulta!$G$29,R610=[1]Consulta!$G$29)),ROW()-1,""))</f>
        <v/>
      </c>
    </row>
    <row r="611" spans="1:42" ht="1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 t="str">
        <f t="shared" si="81"/>
        <v/>
      </c>
      <c r="AG611" s="7" t="str">
        <f t="shared" si="89"/>
        <v/>
      </c>
      <c r="AH611" s="7" t="str">
        <f t="shared" si="82"/>
        <v/>
      </c>
      <c r="AI611" s="7" t="str">
        <f t="shared" si="83"/>
        <v/>
      </c>
      <c r="AJ611" s="7" t="str">
        <f t="shared" si="84"/>
        <v/>
      </c>
      <c r="AK611" s="7" t="str">
        <f t="shared" si="85"/>
        <v/>
      </c>
      <c r="AL611" s="7" t="str">
        <f t="shared" si="86"/>
        <v/>
      </c>
      <c r="AM611" s="7" t="str">
        <f t="shared" si="87"/>
        <v/>
      </c>
      <c r="AN611" s="8" t="str">
        <f>IF(C611="","",COUNTIF($C$2:C611,C611))</f>
        <v/>
      </c>
      <c r="AO611" s="8" t="str">
        <f t="shared" si="88"/>
        <v/>
      </c>
      <c r="AP611" s="8" t="str">
        <f>IF(C611="","",IF(AND(OR([1]Consulta!$C$29="",A611=[1]Consulta!$C$29),OR([1]Consulta!$E$29="",B611=[1]Consulta!$E$29),OR([1]Consulta!$G$29="",D611=[1]Consulta!$G$29,R611=[1]Consulta!$G$29)),ROW()-1,""))</f>
        <v/>
      </c>
    </row>
    <row r="612" spans="1:42" ht="1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 t="str">
        <f t="shared" si="81"/>
        <v/>
      </c>
      <c r="AG612" s="7" t="str">
        <f t="shared" si="89"/>
        <v/>
      </c>
      <c r="AH612" s="7" t="str">
        <f t="shared" si="82"/>
        <v/>
      </c>
      <c r="AI612" s="7" t="str">
        <f t="shared" si="83"/>
        <v/>
      </c>
      <c r="AJ612" s="7" t="str">
        <f t="shared" si="84"/>
        <v/>
      </c>
      <c r="AK612" s="7" t="str">
        <f t="shared" si="85"/>
        <v/>
      </c>
      <c r="AL612" s="7" t="str">
        <f t="shared" si="86"/>
        <v/>
      </c>
      <c r="AM612" s="7" t="str">
        <f t="shared" si="87"/>
        <v/>
      </c>
      <c r="AN612" s="8" t="str">
        <f>IF(C612="","",COUNTIF($C$2:C612,C612))</f>
        <v/>
      </c>
      <c r="AO612" s="8" t="str">
        <f t="shared" si="88"/>
        <v/>
      </c>
      <c r="AP612" s="8" t="str">
        <f>IF(C612="","",IF(AND(OR([1]Consulta!$C$29="",A612=[1]Consulta!$C$29),OR([1]Consulta!$E$29="",B612=[1]Consulta!$E$29),OR([1]Consulta!$G$29="",D612=[1]Consulta!$G$29,R612=[1]Consulta!$G$29)),ROW()-1,""))</f>
        <v/>
      </c>
    </row>
    <row r="613" spans="1:42" ht="1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 t="str">
        <f t="shared" si="81"/>
        <v/>
      </c>
      <c r="AG613" s="7" t="str">
        <f t="shared" si="89"/>
        <v/>
      </c>
      <c r="AH613" s="7" t="str">
        <f t="shared" si="82"/>
        <v/>
      </c>
      <c r="AI613" s="7" t="str">
        <f t="shared" si="83"/>
        <v/>
      </c>
      <c r="AJ613" s="7" t="str">
        <f t="shared" si="84"/>
        <v/>
      </c>
      <c r="AK613" s="7" t="str">
        <f t="shared" si="85"/>
        <v/>
      </c>
      <c r="AL613" s="7" t="str">
        <f t="shared" si="86"/>
        <v/>
      </c>
      <c r="AM613" s="7" t="str">
        <f t="shared" si="87"/>
        <v/>
      </c>
      <c r="AN613" s="8" t="str">
        <f>IF(C613="","",COUNTIF($C$2:C613,C613))</f>
        <v/>
      </c>
      <c r="AO613" s="8" t="str">
        <f t="shared" si="88"/>
        <v/>
      </c>
      <c r="AP613" s="8" t="str">
        <f>IF(C613="","",IF(AND(OR([1]Consulta!$C$29="",A613=[1]Consulta!$C$29),OR([1]Consulta!$E$29="",B613=[1]Consulta!$E$29),OR([1]Consulta!$G$29="",D613=[1]Consulta!$G$29,R613=[1]Consulta!$G$29)),ROW()-1,""))</f>
        <v/>
      </c>
    </row>
    <row r="614" spans="1:42" ht="1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 t="str">
        <f t="shared" si="81"/>
        <v/>
      </c>
      <c r="AG614" s="7" t="str">
        <f t="shared" si="89"/>
        <v/>
      </c>
      <c r="AH614" s="7" t="str">
        <f t="shared" si="82"/>
        <v/>
      </c>
      <c r="AI614" s="7" t="str">
        <f t="shared" si="83"/>
        <v/>
      </c>
      <c r="AJ614" s="7" t="str">
        <f t="shared" si="84"/>
        <v/>
      </c>
      <c r="AK614" s="7" t="str">
        <f t="shared" si="85"/>
        <v/>
      </c>
      <c r="AL614" s="7" t="str">
        <f t="shared" si="86"/>
        <v/>
      </c>
      <c r="AM614" s="7" t="str">
        <f t="shared" si="87"/>
        <v/>
      </c>
      <c r="AN614" s="8" t="str">
        <f>IF(C614="","",COUNTIF($C$2:C614,C614))</f>
        <v/>
      </c>
      <c r="AO614" s="8" t="str">
        <f t="shared" si="88"/>
        <v/>
      </c>
      <c r="AP614" s="8" t="str">
        <f>IF(C614="","",IF(AND(OR([1]Consulta!$C$29="",A614=[1]Consulta!$C$29),OR([1]Consulta!$E$29="",B614=[1]Consulta!$E$29),OR([1]Consulta!$G$29="",D614=[1]Consulta!$G$29,R614=[1]Consulta!$G$29)),ROW()-1,""))</f>
        <v/>
      </c>
    </row>
    <row r="615" spans="1:42" ht="1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 t="str">
        <f t="shared" si="81"/>
        <v/>
      </c>
      <c r="AG615" s="7" t="str">
        <f t="shared" si="89"/>
        <v/>
      </c>
      <c r="AH615" s="7" t="str">
        <f t="shared" si="82"/>
        <v/>
      </c>
      <c r="AI615" s="7" t="str">
        <f t="shared" si="83"/>
        <v/>
      </c>
      <c r="AJ615" s="7" t="str">
        <f t="shared" si="84"/>
        <v/>
      </c>
      <c r="AK615" s="7" t="str">
        <f t="shared" si="85"/>
        <v/>
      </c>
      <c r="AL615" s="7" t="str">
        <f t="shared" si="86"/>
        <v/>
      </c>
      <c r="AM615" s="7" t="str">
        <f t="shared" si="87"/>
        <v/>
      </c>
      <c r="AN615" s="8" t="str">
        <f>IF(C615="","",COUNTIF($C$2:C615,C615))</f>
        <v/>
      </c>
      <c r="AO615" s="8" t="str">
        <f t="shared" si="88"/>
        <v/>
      </c>
      <c r="AP615" s="8" t="str">
        <f>IF(C615="","",IF(AND(OR([1]Consulta!$C$29="",A615=[1]Consulta!$C$29),OR([1]Consulta!$E$29="",B615=[1]Consulta!$E$29),OR([1]Consulta!$G$29="",D615=[1]Consulta!$G$29,R615=[1]Consulta!$G$29)),ROW()-1,""))</f>
        <v/>
      </c>
    </row>
    <row r="616" spans="1:42" ht="1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 t="str">
        <f t="shared" si="81"/>
        <v/>
      </c>
      <c r="AG616" s="7" t="str">
        <f t="shared" si="89"/>
        <v/>
      </c>
      <c r="AH616" s="7" t="str">
        <f t="shared" si="82"/>
        <v/>
      </c>
      <c r="AI616" s="7" t="str">
        <f t="shared" si="83"/>
        <v/>
      </c>
      <c r="AJ616" s="7" t="str">
        <f t="shared" si="84"/>
        <v/>
      </c>
      <c r="AK616" s="7" t="str">
        <f t="shared" si="85"/>
        <v/>
      </c>
      <c r="AL616" s="7" t="str">
        <f t="shared" si="86"/>
        <v/>
      </c>
      <c r="AM616" s="7" t="str">
        <f t="shared" si="87"/>
        <v/>
      </c>
      <c r="AN616" s="8" t="str">
        <f>IF(C616="","",COUNTIF($C$2:C616,C616))</f>
        <v/>
      </c>
      <c r="AO616" s="8" t="str">
        <f t="shared" si="88"/>
        <v/>
      </c>
      <c r="AP616" s="8" t="str">
        <f>IF(C616="","",IF(AND(OR([1]Consulta!$C$29="",A616=[1]Consulta!$C$29),OR([1]Consulta!$E$29="",B616=[1]Consulta!$E$29),OR([1]Consulta!$G$29="",D616=[1]Consulta!$G$29,R616=[1]Consulta!$G$29)),ROW()-1,""))</f>
        <v/>
      </c>
    </row>
    <row r="617" spans="1:42" ht="1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 t="str">
        <f t="shared" si="81"/>
        <v/>
      </c>
      <c r="AG617" s="7" t="str">
        <f t="shared" si="89"/>
        <v/>
      </c>
      <c r="AH617" s="7" t="str">
        <f t="shared" si="82"/>
        <v/>
      </c>
      <c r="AI617" s="7" t="str">
        <f t="shared" si="83"/>
        <v/>
      </c>
      <c r="AJ617" s="7" t="str">
        <f t="shared" si="84"/>
        <v/>
      </c>
      <c r="AK617" s="7" t="str">
        <f t="shared" si="85"/>
        <v/>
      </c>
      <c r="AL617" s="7" t="str">
        <f t="shared" si="86"/>
        <v/>
      </c>
      <c r="AM617" s="7" t="str">
        <f t="shared" si="87"/>
        <v/>
      </c>
      <c r="AN617" s="8" t="str">
        <f>IF(C617="","",COUNTIF($C$2:C617,C617))</f>
        <v/>
      </c>
      <c r="AO617" s="8" t="str">
        <f t="shared" si="88"/>
        <v/>
      </c>
      <c r="AP617" s="8" t="str">
        <f>IF(C617="","",IF(AND(OR([1]Consulta!$C$29="",A617=[1]Consulta!$C$29),OR([1]Consulta!$E$29="",B617=[1]Consulta!$E$29),OR([1]Consulta!$G$29="",D617=[1]Consulta!$G$29,R617=[1]Consulta!$G$29)),ROW()-1,""))</f>
        <v/>
      </c>
    </row>
    <row r="618" spans="1:42" ht="1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 t="str">
        <f t="shared" si="81"/>
        <v/>
      </c>
      <c r="AG618" s="7" t="str">
        <f t="shared" si="89"/>
        <v/>
      </c>
      <c r="AH618" s="7" t="str">
        <f t="shared" si="82"/>
        <v/>
      </c>
      <c r="AI618" s="7" t="str">
        <f t="shared" si="83"/>
        <v/>
      </c>
      <c r="AJ618" s="7" t="str">
        <f t="shared" si="84"/>
        <v/>
      </c>
      <c r="AK618" s="7" t="str">
        <f t="shared" si="85"/>
        <v/>
      </c>
      <c r="AL618" s="7" t="str">
        <f t="shared" si="86"/>
        <v/>
      </c>
      <c r="AM618" s="7" t="str">
        <f t="shared" si="87"/>
        <v/>
      </c>
      <c r="AN618" s="8" t="str">
        <f>IF(C618="","",COUNTIF($C$2:C618,C618))</f>
        <v/>
      </c>
      <c r="AO618" s="8" t="str">
        <f t="shared" si="88"/>
        <v/>
      </c>
      <c r="AP618" s="8" t="str">
        <f>IF(C618="","",IF(AND(OR([1]Consulta!$C$29="",A618=[1]Consulta!$C$29),OR([1]Consulta!$E$29="",B618=[1]Consulta!$E$29),OR([1]Consulta!$G$29="",D618=[1]Consulta!$G$29,R618=[1]Consulta!$G$29)),ROW()-1,""))</f>
        <v/>
      </c>
    </row>
    <row r="619" spans="1:42" ht="1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 t="str">
        <f t="shared" si="81"/>
        <v/>
      </c>
      <c r="AG619" s="7" t="str">
        <f t="shared" si="89"/>
        <v/>
      </c>
      <c r="AH619" s="7" t="str">
        <f t="shared" si="82"/>
        <v/>
      </c>
      <c r="AI619" s="7" t="str">
        <f t="shared" si="83"/>
        <v/>
      </c>
      <c r="AJ619" s="7" t="str">
        <f t="shared" si="84"/>
        <v/>
      </c>
      <c r="AK619" s="7" t="str">
        <f t="shared" si="85"/>
        <v/>
      </c>
      <c r="AL619" s="7" t="str">
        <f t="shared" si="86"/>
        <v/>
      </c>
      <c r="AM619" s="7" t="str">
        <f t="shared" si="87"/>
        <v/>
      </c>
      <c r="AN619" s="8" t="str">
        <f>IF(C619="","",COUNTIF($C$2:C619,C619))</f>
        <v/>
      </c>
      <c r="AO619" s="8" t="str">
        <f t="shared" si="88"/>
        <v/>
      </c>
      <c r="AP619" s="8" t="str">
        <f>IF(C619="","",IF(AND(OR([1]Consulta!$C$29="",A619=[1]Consulta!$C$29),OR([1]Consulta!$E$29="",B619=[1]Consulta!$E$29),OR([1]Consulta!$G$29="",D619=[1]Consulta!$G$29,R619=[1]Consulta!$G$29)),ROW()-1,""))</f>
        <v/>
      </c>
    </row>
    <row r="620" spans="1:42" ht="1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 t="str">
        <f t="shared" si="81"/>
        <v/>
      </c>
      <c r="AG620" s="7" t="str">
        <f t="shared" si="89"/>
        <v/>
      </c>
      <c r="AH620" s="7" t="str">
        <f t="shared" si="82"/>
        <v/>
      </c>
      <c r="AI620" s="7" t="str">
        <f t="shared" si="83"/>
        <v/>
      </c>
      <c r="AJ620" s="7" t="str">
        <f t="shared" si="84"/>
        <v/>
      </c>
      <c r="AK620" s="7" t="str">
        <f t="shared" si="85"/>
        <v/>
      </c>
      <c r="AL620" s="7" t="str">
        <f t="shared" si="86"/>
        <v/>
      </c>
      <c r="AM620" s="7" t="str">
        <f t="shared" si="87"/>
        <v/>
      </c>
      <c r="AN620" s="8" t="str">
        <f>IF(C620="","",COUNTIF($C$2:C620,C620))</f>
        <v/>
      </c>
      <c r="AO620" s="8" t="str">
        <f t="shared" si="88"/>
        <v/>
      </c>
      <c r="AP620" s="8" t="str">
        <f>IF(C620="","",IF(AND(OR([1]Consulta!$C$29="",A620=[1]Consulta!$C$29),OR([1]Consulta!$E$29="",B620=[1]Consulta!$E$29),OR([1]Consulta!$G$29="",D620=[1]Consulta!$G$29,R620=[1]Consulta!$G$29)),ROW()-1,""))</f>
        <v/>
      </c>
    </row>
    <row r="621" spans="1:42" ht="1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 t="str">
        <f t="shared" si="81"/>
        <v/>
      </c>
      <c r="AG621" s="7" t="str">
        <f t="shared" si="89"/>
        <v/>
      </c>
      <c r="AH621" s="7" t="str">
        <f t="shared" si="82"/>
        <v/>
      </c>
      <c r="AI621" s="7" t="str">
        <f t="shared" si="83"/>
        <v/>
      </c>
      <c r="AJ621" s="7" t="str">
        <f t="shared" si="84"/>
        <v/>
      </c>
      <c r="AK621" s="7" t="str">
        <f t="shared" si="85"/>
        <v/>
      </c>
      <c r="AL621" s="7" t="str">
        <f t="shared" si="86"/>
        <v/>
      </c>
      <c r="AM621" s="7" t="str">
        <f t="shared" si="87"/>
        <v/>
      </c>
      <c r="AN621" s="8" t="str">
        <f>IF(C621="","",COUNTIF($C$2:C621,C621))</f>
        <v/>
      </c>
      <c r="AO621" s="8" t="str">
        <f t="shared" si="88"/>
        <v/>
      </c>
      <c r="AP621" s="8" t="str">
        <f>IF(C621="","",IF(AND(OR([1]Consulta!$C$29="",A621=[1]Consulta!$C$29),OR([1]Consulta!$E$29="",B621=[1]Consulta!$E$29),OR([1]Consulta!$G$29="",D621=[1]Consulta!$G$29,R621=[1]Consulta!$G$29)),ROW()-1,""))</f>
        <v/>
      </c>
    </row>
    <row r="622" spans="1:42" ht="1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 t="str">
        <f t="shared" si="81"/>
        <v/>
      </c>
      <c r="AG622" s="7" t="str">
        <f t="shared" si="89"/>
        <v/>
      </c>
      <c r="AH622" s="7" t="str">
        <f t="shared" si="82"/>
        <v/>
      </c>
      <c r="AI622" s="7" t="str">
        <f t="shared" si="83"/>
        <v/>
      </c>
      <c r="AJ622" s="7" t="str">
        <f t="shared" si="84"/>
        <v/>
      </c>
      <c r="AK622" s="7" t="str">
        <f t="shared" si="85"/>
        <v/>
      </c>
      <c r="AL622" s="7" t="str">
        <f t="shared" si="86"/>
        <v/>
      </c>
      <c r="AM622" s="7" t="str">
        <f t="shared" si="87"/>
        <v/>
      </c>
      <c r="AN622" s="8" t="str">
        <f>IF(C622="","",COUNTIF($C$2:C622,C622))</f>
        <v/>
      </c>
      <c r="AO622" s="8" t="str">
        <f t="shared" si="88"/>
        <v/>
      </c>
      <c r="AP622" s="8" t="str">
        <f>IF(C622="","",IF(AND(OR([1]Consulta!$C$29="",A622=[1]Consulta!$C$29),OR([1]Consulta!$E$29="",B622=[1]Consulta!$E$29),OR([1]Consulta!$G$29="",D622=[1]Consulta!$G$29,R622=[1]Consulta!$G$29)),ROW()-1,""))</f>
        <v/>
      </c>
    </row>
    <row r="623" spans="1:42" ht="1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 t="str">
        <f t="shared" si="81"/>
        <v/>
      </c>
      <c r="AG623" s="7" t="str">
        <f t="shared" si="89"/>
        <v/>
      </c>
      <c r="AH623" s="7" t="str">
        <f t="shared" si="82"/>
        <v/>
      </c>
      <c r="AI623" s="7" t="str">
        <f t="shared" si="83"/>
        <v/>
      </c>
      <c r="AJ623" s="7" t="str">
        <f t="shared" si="84"/>
        <v/>
      </c>
      <c r="AK623" s="7" t="str">
        <f t="shared" si="85"/>
        <v/>
      </c>
      <c r="AL623" s="7" t="str">
        <f t="shared" si="86"/>
        <v/>
      </c>
      <c r="AM623" s="7" t="str">
        <f t="shared" si="87"/>
        <v/>
      </c>
      <c r="AN623" s="8" t="str">
        <f>IF(C623="","",COUNTIF($C$2:C623,C623))</f>
        <v/>
      </c>
      <c r="AO623" s="8" t="str">
        <f t="shared" si="88"/>
        <v/>
      </c>
      <c r="AP623" s="8" t="str">
        <f>IF(C623="","",IF(AND(OR([1]Consulta!$C$29="",A623=[1]Consulta!$C$29),OR([1]Consulta!$E$29="",B623=[1]Consulta!$E$29),OR([1]Consulta!$G$29="",D623=[1]Consulta!$G$29,R623=[1]Consulta!$G$29)),ROW()-1,""))</f>
        <v/>
      </c>
    </row>
    <row r="624" spans="1:42" ht="1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 t="str">
        <f t="shared" si="81"/>
        <v/>
      </c>
      <c r="AG624" s="7" t="str">
        <f t="shared" si="89"/>
        <v/>
      </c>
      <c r="AH624" s="7" t="str">
        <f t="shared" si="82"/>
        <v/>
      </c>
      <c r="AI624" s="7" t="str">
        <f t="shared" si="83"/>
        <v/>
      </c>
      <c r="AJ624" s="7" t="str">
        <f t="shared" si="84"/>
        <v/>
      </c>
      <c r="AK624" s="7" t="str">
        <f t="shared" si="85"/>
        <v/>
      </c>
      <c r="AL624" s="7" t="str">
        <f t="shared" si="86"/>
        <v/>
      </c>
      <c r="AM624" s="7" t="str">
        <f t="shared" si="87"/>
        <v/>
      </c>
      <c r="AN624" s="8" t="str">
        <f>IF(C624="","",COUNTIF($C$2:C624,C624))</f>
        <v/>
      </c>
      <c r="AO624" s="8" t="str">
        <f t="shared" si="88"/>
        <v/>
      </c>
      <c r="AP624" s="8" t="str">
        <f>IF(C624="","",IF(AND(OR([1]Consulta!$C$29="",A624=[1]Consulta!$C$29),OR([1]Consulta!$E$29="",B624=[1]Consulta!$E$29),OR([1]Consulta!$G$29="",D624=[1]Consulta!$G$29,R624=[1]Consulta!$G$29)),ROW()-1,""))</f>
        <v/>
      </c>
    </row>
    <row r="625" spans="1:42" ht="1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 t="str">
        <f t="shared" si="81"/>
        <v/>
      </c>
      <c r="AG625" s="7" t="str">
        <f t="shared" si="89"/>
        <v/>
      </c>
      <c r="AH625" s="7" t="str">
        <f t="shared" si="82"/>
        <v/>
      </c>
      <c r="AI625" s="7" t="str">
        <f t="shared" si="83"/>
        <v/>
      </c>
      <c r="AJ625" s="7" t="str">
        <f t="shared" si="84"/>
        <v/>
      </c>
      <c r="AK625" s="7" t="str">
        <f t="shared" si="85"/>
        <v/>
      </c>
      <c r="AL625" s="7" t="str">
        <f t="shared" si="86"/>
        <v/>
      </c>
      <c r="AM625" s="7" t="str">
        <f t="shared" si="87"/>
        <v/>
      </c>
      <c r="AN625" s="8" t="str">
        <f>IF(C625="","",COUNTIF($C$2:C625,C625))</f>
        <v/>
      </c>
      <c r="AO625" s="8" t="str">
        <f t="shared" si="88"/>
        <v/>
      </c>
      <c r="AP625" s="8" t="str">
        <f>IF(C625="","",IF(AND(OR([1]Consulta!$C$29="",A625=[1]Consulta!$C$29),OR([1]Consulta!$E$29="",B625=[1]Consulta!$E$29),OR([1]Consulta!$G$29="",D625=[1]Consulta!$G$29,R625=[1]Consulta!$G$29)),ROW()-1,""))</f>
        <v/>
      </c>
    </row>
    <row r="626" spans="1:42" ht="1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 t="str">
        <f t="shared" si="81"/>
        <v/>
      </c>
      <c r="AG626" s="7" t="str">
        <f t="shared" si="89"/>
        <v/>
      </c>
      <c r="AH626" s="7" t="str">
        <f t="shared" si="82"/>
        <v/>
      </c>
      <c r="AI626" s="7" t="str">
        <f t="shared" si="83"/>
        <v/>
      </c>
      <c r="AJ626" s="7" t="str">
        <f t="shared" si="84"/>
        <v/>
      </c>
      <c r="AK626" s="7" t="str">
        <f t="shared" si="85"/>
        <v/>
      </c>
      <c r="AL626" s="7" t="str">
        <f t="shared" si="86"/>
        <v/>
      </c>
      <c r="AM626" s="7" t="str">
        <f t="shared" si="87"/>
        <v/>
      </c>
      <c r="AN626" s="8" t="str">
        <f>IF(C626="","",COUNTIF($C$2:C626,C626))</f>
        <v/>
      </c>
      <c r="AO626" s="8" t="str">
        <f t="shared" si="88"/>
        <v/>
      </c>
      <c r="AP626" s="8" t="str">
        <f>IF(C626="","",IF(AND(OR([1]Consulta!$C$29="",A626=[1]Consulta!$C$29),OR([1]Consulta!$E$29="",B626=[1]Consulta!$E$29),OR([1]Consulta!$G$29="",D626=[1]Consulta!$G$29,R626=[1]Consulta!$G$29)),ROW()-1,""))</f>
        <v/>
      </c>
    </row>
    <row r="627" spans="1:42" ht="1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 t="str">
        <f t="shared" si="81"/>
        <v/>
      </c>
      <c r="AG627" s="7" t="str">
        <f t="shared" si="89"/>
        <v/>
      </c>
      <c r="AH627" s="7" t="str">
        <f t="shared" si="82"/>
        <v/>
      </c>
      <c r="AI627" s="7" t="str">
        <f t="shared" si="83"/>
        <v/>
      </c>
      <c r="AJ627" s="7" t="str">
        <f t="shared" si="84"/>
        <v/>
      </c>
      <c r="AK627" s="7" t="str">
        <f t="shared" si="85"/>
        <v/>
      </c>
      <c r="AL627" s="7" t="str">
        <f t="shared" si="86"/>
        <v/>
      </c>
      <c r="AM627" s="7" t="str">
        <f t="shared" si="87"/>
        <v/>
      </c>
      <c r="AN627" s="8" t="str">
        <f>IF(C627="","",COUNTIF($C$2:C627,C627))</f>
        <v/>
      </c>
      <c r="AO627" s="8" t="str">
        <f t="shared" si="88"/>
        <v/>
      </c>
      <c r="AP627" s="8" t="str">
        <f>IF(C627="","",IF(AND(OR([1]Consulta!$C$29="",A627=[1]Consulta!$C$29),OR([1]Consulta!$E$29="",B627=[1]Consulta!$E$29),OR([1]Consulta!$G$29="",D627=[1]Consulta!$G$29,R627=[1]Consulta!$G$29)),ROW()-1,""))</f>
        <v/>
      </c>
    </row>
    <row r="628" spans="1:42" ht="1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 t="str">
        <f t="shared" si="81"/>
        <v/>
      </c>
      <c r="AG628" s="7" t="str">
        <f t="shared" si="89"/>
        <v/>
      </c>
      <c r="AH628" s="7" t="str">
        <f t="shared" si="82"/>
        <v/>
      </c>
      <c r="AI628" s="7" t="str">
        <f t="shared" si="83"/>
        <v/>
      </c>
      <c r="AJ628" s="7" t="str">
        <f t="shared" si="84"/>
        <v/>
      </c>
      <c r="AK628" s="7" t="str">
        <f t="shared" si="85"/>
        <v/>
      </c>
      <c r="AL628" s="7" t="str">
        <f t="shared" si="86"/>
        <v/>
      </c>
      <c r="AM628" s="7" t="str">
        <f t="shared" si="87"/>
        <v/>
      </c>
      <c r="AN628" s="8" t="str">
        <f>IF(C628="","",COUNTIF($C$2:C628,C628))</f>
        <v/>
      </c>
      <c r="AO628" s="8" t="str">
        <f t="shared" si="88"/>
        <v/>
      </c>
      <c r="AP628" s="8" t="str">
        <f>IF(C628="","",IF(AND(OR([1]Consulta!$C$29="",A628=[1]Consulta!$C$29),OR([1]Consulta!$E$29="",B628=[1]Consulta!$E$29),OR([1]Consulta!$G$29="",D628=[1]Consulta!$G$29,R628=[1]Consulta!$G$29)),ROW()-1,""))</f>
        <v/>
      </c>
    </row>
    <row r="629" spans="1:42" ht="1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 t="str">
        <f t="shared" si="81"/>
        <v/>
      </c>
      <c r="AG629" s="7" t="str">
        <f t="shared" si="89"/>
        <v/>
      </c>
      <c r="AH629" s="7" t="str">
        <f t="shared" si="82"/>
        <v/>
      </c>
      <c r="AI629" s="7" t="str">
        <f t="shared" si="83"/>
        <v/>
      </c>
      <c r="AJ629" s="7" t="str">
        <f t="shared" si="84"/>
        <v/>
      </c>
      <c r="AK629" s="7" t="str">
        <f t="shared" si="85"/>
        <v/>
      </c>
      <c r="AL629" s="7" t="str">
        <f t="shared" si="86"/>
        <v/>
      </c>
      <c r="AM629" s="7" t="str">
        <f t="shared" si="87"/>
        <v/>
      </c>
      <c r="AN629" s="8" t="str">
        <f>IF(C629="","",COUNTIF($C$2:C629,C629))</f>
        <v/>
      </c>
      <c r="AO629" s="8" t="str">
        <f t="shared" si="88"/>
        <v/>
      </c>
      <c r="AP629" s="8" t="str">
        <f>IF(C629="","",IF(AND(OR([1]Consulta!$C$29="",A629=[1]Consulta!$C$29),OR([1]Consulta!$E$29="",B629=[1]Consulta!$E$29),OR([1]Consulta!$G$29="",D629=[1]Consulta!$G$29,R629=[1]Consulta!$G$29)),ROW()-1,""))</f>
        <v/>
      </c>
    </row>
    <row r="630" spans="1:42" ht="1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 t="str">
        <f t="shared" si="81"/>
        <v/>
      </c>
      <c r="AG630" s="7" t="str">
        <f t="shared" si="89"/>
        <v/>
      </c>
      <c r="AH630" s="7" t="str">
        <f t="shared" si="82"/>
        <v/>
      </c>
      <c r="AI630" s="7" t="str">
        <f t="shared" si="83"/>
        <v/>
      </c>
      <c r="AJ630" s="7" t="str">
        <f t="shared" si="84"/>
        <v/>
      </c>
      <c r="AK630" s="7" t="str">
        <f t="shared" si="85"/>
        <v/>
      </c>
      <c r="AL630" s="7" t="str">
        <f t="shared" si="86"/>
        <v/>
      </c>
      <c r="AM630" s="7" t="str">
        <f t="shared" si="87"/>
        <v/>
      </c>
      <c r="AN630" s="8" t="str">
        <f>IF(C630="","",COUNTIF($C$2:C630,C630))</f>
        <v/>
      </c>
      <c r="AO630" s="8" t="str">
        <f t="shared" si="88"/>
        <v/>
      </c>
      <c r="AP630" s="8" t="str">
        <f>IF(C630="","",IF(AND(OR([1]Consulta!$C$29="",A630=[1]Consulta!$C$29),OR([1]Consulta!$E$29="",B630=[1]Consulta!$E$29),OR([1]Consulta!$G$29="",D630=[1]Consulta!$G$29,R630=[1]Consulta!$G$29)),ROW()-1,""))</f>
        <v/>
      </c>
    </row>
    <row r="631" spans="1:42" ht="1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 t="str">
        <f t="shared" si="81"/>
        <v/>
      </c>
      <c r="AG631" s="7" t="str">
        <f t="shared" si="89"/>
        <v/>
      </c>
      <c r="AH631" s="7" t="str">
        <f t="shared" si="82"/>
        <v/>
      </c>
      <c r="AI631" s="7" t="str">
        <f t="shared" si="83"/>
        <v/>
      </c>
      <c r="AJ631" s="7" t="str">
        <f t="shared" si="84"/>
        <v/>
      </c>
      <c r="AK631" s="7" t="str">
        <f t="shared" si="85"/>
        <v/>
      </c>
      <c r="AL631" s="7" t="str">
        <f t="shared" si="86"/>
        <v/>
      </c>
      <c r="AM631" s="7" t="str">
        <f t="shared" si="87"/>
        <v/>
      </c>
      <c r="AN631" s="8" t="str">
        <f>IF(C631="","",COUNTIF($C$2:C631,C631))</f>
        <v/>
      </c>
      <c r="AO631" s="8" t="str">
        <f t="shared" si="88"/>
        <v/>
      </c>
      <c r="AP631" s="8" t="str">
        <f>IF(C631="","",IF(AND(OR([1]Consulta!$C$29="",A631=[1]Consulta!$C$29),OR([1]Consulta!$E$29="",B631=[1]Consulta!$E$29),OR([1]Consulta!$G$29="",D631=[1]Consulta!$G$29,R631=[1]Consulta!$G$29)),ROW()-1,""))</f>
        <v/>
      </c>
    </row>
    <row r="632" spans="1:42" ht="1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 t="str">
        <f t="shared" si="81"/>
        <v/>
      </c>
      <c r="AG632" s="7" t="str">
        <f t="shared" si="89"/>
        <v/>
      </c>
      <c r="AH632" s="7" t="str">
        <f t="shared" si="82"/>
        <v/>
      </c>
      <c r="AI632" s="7" t="str">
        <f t="shared" si="83"/>
        <v/>
      </c>
      <c r="AJ632" s="7" t="str">
        <f t="shared" si="84"/>
        <v/>
      </c>
      <c r="AK632" s="7" t="str">
        <f t="shared" si="85"/>
        <v/>
      </c>
      <c r="AL632" s="7" t="str">
        <f t="shared" si="86"/>
        <v/>
      </c>
      <c r="AM632" s="7" t="str">
        <f t="shared" si="87"/>
        <v/>
      </c>
      <c r="AN632" s="8" t="str">
        <f>IF(C632="","",COUNTIF($C$2:C632,C632))</f>
        <v/>
      </c>
      <c r="AO632" s="8" t="str">
        <f t="shared" si="88"/>
        <v/>
      </c>
      <c r="AP632" s="8" t="str">
        <f>IF(C632="","",IF(AND(OR([1]Consulta!$C$29="",A632=[1]Consulta!$C$29),OR([1]Consulta!$E$29="",B632=[1]Consulta!$E$29),OR([1]Consulta!$G$29="",D632=[1]Consulta!$G$29,R632=[1]Consulta!$G$29)),ROW()-1,""))</f>
        <v/>
      </c>
    </row>
    <row r="633" spans="1:42" ht="1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 t="str">
        <f t="shared" si="81"/>
        <v/>
      </c>
      <c r="AG633" s="7" t="str">
        <f t="shared" si="89"/>
        <v/>
      </c>
      <c r="AH633" s="7" t="str">
        <f t="shared" si="82"/>
        <v/>
      </c>
      <c r="AI633" s="7" t="str">
        <f t="shared" si="83"/>
        <v/>
      </c>
      <c r="AJ633" s="7" t="str">
        <f t="shared" si="84"/>
        <v/>
      </c>
      <c r="AK633" s="7" t="str">
        <f t="shared" si="85"/>
        <v/>
      </c>
      <c r="AL633" s="7" t="str">
        <f t="shared" si="86"/>
        <v/>
      </c>
      <c r="AM633" s="7" t="str">
        <f t="shared" si="87"/>
        <v/>
      </c>
      <c r="AN633" s="8" t="str">
        <f>IF(C633="","",COUNTIF($C$2:C633,C633))</f>
        <v/>
      </c>
      <c r="AO633" s="8" t="str">
        <f t="shared" si="88"/>
        <v/>
      </c>
      <c r="AP633" s="8" t="str">
        <f>IF(C633="","",IF(AND(OR([1]Consulta!$C$29="",A633=[1]Consulta!$C$29),OR([1]Consulta!$E$29="",B633=[1]Consulta!$E$29),OR([1]Consulta!$G$29="",D633=[1]Consulta!$G$29,R633=[1]Consulta!$G$29)),ROW()-1,""))</f>
        <v/>
      </c>
    </row>
    <row r="634" spans="1:42" ht="1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 t="str">
        <f t="shared" si="81"/>
        <v/>
      </c>
      <c r="AG634" s="7" t="str">
        <f t="shared" si="89"/>
        <v/>
      </c>
      <c r="AH634" s="7" t="str">
        <f t="shared" si="82"/>
        <v/>
      </c>
      <c r="AI634" s="7" t="str">
        <f t="shared" si="83"/>
        <v/>
      </c>
      <c r="AJ634" s="7" t="str">
        <f t="shared" si="84"/>
        <v/>
      </c>
      <c r="AK634" s="7" t="str">
        <f t="shared" si="85"/>
        <v/>
      </c>
      <c r="AL634" s="7" t="str">
        <f t="shared" si="86"/>
        <v/>
      </c>
      <c r="AM634" s="7" t="str">
        <f t="shared" si="87"/>
        <v/>
      </c>
      <c r="AN634" s="8" t="str">
        <f>IF(C634="","",COUNTIF($C$2:C634,C634))</f>
        <v/>
      </c>
      <c r="AO634" s="8" t="str">
        <f t="shared" si="88"/>
        <v/>
      </c>
      <c r="AP634" s="8" t="str">
        <f>IF(C634="","",IF(AND(OR([1]Consulta!$C$29="",A634=[1]Consulta!$C$29),OR([1]Consulta!$E$29="",B634=[1]Consulta!$E$29),OR([1]Consulta!$G$29="",D634=[1]Consulta!$G$29,R634=[1]Consulta!$G$29)),ROW()-1,""))</f>
        <v/>
      </c>
    </row>
    <row r="635" spans="1:42" ht="1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 t="str">
        <f t="shared" si="81"/>
        <v/>
      </c>
      <c r="AG635" s="7" t="str">
        <f t="shared" si="89"/>
        <v/>
      </c>
      <c r="AH635" s="7" t="str">
        <f t="shared" si="82"/>
        <v/>
      </c>
      <c r="AI635" s="7" t="str">
        <f t="shared" si="83"/>
        <v/>
      </c>
      <c r="AJ635" s="7" t="str">
        <f t="shared" si="84"/>
        <v/>
      </c>
      <c r="AK635" s="7" t="str">
        <f t="shared" si="85"/>
        <v/>
      </c>
      <c r="AL635" s="7" t="str">
        <f t="shared" si="86"/>
        <v/>
      </c>
      <c r="AM635" s="7" t="str">
        <f t="shared" si="87"/>
        <v/>
      </c>
      <c r="AN635" s="8" t="str">
        <f>IF(C635="","",COUNTIF($C$2:C635,C635))</f>
        <v/>
      </c>
      <c r="AO635" s="8" t="str">
        <f t="shared" si="88"/>
        <v/>
      </c>
      <c r="AP635" s="8" t="str">
        <f>IF(C635="","",IF(AND(OR([1]Consulta!$C$29="",A635=[1]Consulta!$C$29),OR([1]Consulta!$E$29="",B635=[1]Consulta!$E$29),OR([1]Consulta!$G$29="",D635=[1]Consulta!$G$29,R635=[1]Consulta!$G$29)),ROW()-1,""))</f>
        <v/>
      </c>
    </row>
    <row r="636" spans="1:42" ht="1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 t="str">
        <f t="shared" si="81"/>
        <v/>
      </c>
      <c r="AG636" s="7" t="str">
        <f t="shared" si="89"/>
        <v/>
      </c>
      <c r="AH636" s="7" t="str">
        <f t="shared" si="82"/>
        <v/>
      </c>
      <c r="AI636" s="7" t="str">
        <f t="shared" si="83"/>
        <v/>
      </c>
      <c r="AJ636" s="7" t="str">
        <f t="shared" si="84"/>
        <v/>
      </c>
      <c r="AK636" s="7" t="str">
        <f t="shared" si="85"/>
        <v/>
      </c>
      <c r="AL636" s="7" t="str">
        <f t="shared" si="86"/>
        <v/>
      </c>
      <c r="AM636" s="7" t="str">
        <f t="shared" si="87"/>
        <v/>
      </c>
      <c r="AN636" s="8" t="str">
        <f>IF(C636="","",COUNTIF($C$2:C636,C636))</f>
        <v/>
      </c>
      <c r="AO636" s="8" t="str">
        <f t="shared" si="88"/>
        <v/>
      </c>
      <c r="AP636" s="8" t="str">
        <f>IF(C636="","",IF(AND(OR([1]Consulta!$C$29="",A636=[1]Consulta!$C$29),OR([1]Consulta!$E$29="",B636=[1]Consulta!$E$29),OR([1]Consulta!$G$29="",D636=[1]Consulta!$G$29,R636=[1]Consulta!$G$29)),ROW()-1,""))</f>
        <v/>
      </c>
    </row>
    <row r="637" spans="1:42" ht="1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 t="str">
        <f t="shared" si="81"/>
        <v/>
      </c>
      <c r="AG637" s="7" t="str">
        <f t="shared" si="89"/>
        <v/>
      </c>
      <c r="AH637" s="7" t="str">
        <f t="shared" si="82"/>
        <v/>
      </c>
      <c r="AI637" s="7" t="str">
        <f t="shared" si="83"/>
        <v/>
      </c>
      <c r="AJ637" s="7" t="str">
        <f t="shared" si="84"/>
        <v/>
      </c>
      <c r="AK637" s="7" t="str">
        <f t="shared" si="85"/>
        <v/>
      </c>
      <c r="AL637" s="7" t="str">
        <f t="shared" si="86"/>
        <v/>
      </c>
      <c r="AM637" s="7" t="str">
        <f t="shared" si="87"/>
        <v/>
      </c>
      <c r="AN637" s="8" t="str">
        <f>IF(C637="","",COUNTIF($C$2:C637,C637))</f>
        <v/>
      </c>
      <c r="AO637" s="8" t="str">
        <f t="shared" si="88"/>
        <v/>
      </c>
      <c r="AP637" s="8" t="str">
        <f>IF(C637="","",IF(AND(OR([1]Consulta!$C$29="",A637=[1]Consulta!$C$29),OR([1]Consulta!$E$29="",B637=[1]Consulta!$E$29),OR([1]Consulta!$G$29="",D637=[1]Consulta!$G$29,R637=[1]Consulta!$G$29)),ROW()-1,""))</f>
        <v/>
      </c>
    </row>
    <row r="638" spans="1:42" ht="1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 t="str">
        <f t="shared" si="81"/>
        <v/>
      </c>
      <c r="AG638" s="7" t="str">
        <f t="shared" si="89"/>
        <v/>
      </c>
      <c r="AH638" s="7" t="str">
        <f t="shared" si="82"/>
        <v/>
      </c>
      <c r="AI638" s="7" t="str">
        <f t="shared" si="83"/>
        <v/>
      </c>
      <c r="AJ638" s="7" t="str">
        <f t="shared" si="84"/>
        <v/>
      </c>
      <c r="AK638" s="7" t="str">
        <f t="shared" si="85"/>
        <v/>
      </c>
      <c r="AL638" s="7" t="str">
        <f t="shared" si="86"/>
        <v/>
      </c>
      <c r="AM638" s="7" t="str">
        <f t="shared" si="87"/>
        <v/>
      </c>
      <c r="AN638" s="8" t="str">
        <f>IF(C638="","",COUNTIF($C$2:C638,C638))</f>
        <v/>
      </c>
      <c r="AO638" s="8" t="str">
        <f t="shared" si="88"/>
        <v/>
      </c>
      <c r="AP638" s="8" t="str">
        <f>IF(C638="","",IF(AND(OR([1]Consulta!$C$29="",A638=[1]Consulta!$C$29),OR([1]Consulta!$E$29="",B638=[1]Consulta!$E$29),OR([1]Consulta!$G$29="",D638=[1]Consulta!$G$29,R638=[1]Consulta!$G$29)),ROW()-1,""))</f>
        <v/>
      </c>
    </row>
    <row r="639" spans="1:42" ht="1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 t="str">
        <f t="shared" si="81"/>
        <v/>
      </c>
      <c r="AG639" s="7" t="str">
        <f t="shared" si="89"/>
        <v/>
      </c>
      <c r="AH639" s="7" t="str">
        <f t="shared" si="82"/>
        <v/>
      </c>
      <c r="AI639" s="7" t="str">
        <f t="shared" si="83"/>
        <v/>
      </c>
      <c r="AJ639" s="7" t="str">
        <f t="shared" si="84"/>
        <v/>
      </c>
      <c r="AK639" s="7" t="str">
        <f t="shared" si="85"/>
        <v/>
      </c>
      <c r="AL639" s="7" t="str">
        <f t="shared" si="86"/>
        <v/>
      </c>
      <c r="AM639" s="7" t="str">
        <f t="shared" si="87"/>
        <v/>
      </c>
      <c r="AN639" s="8" t="str">
        <f>IF(C639="","",COUNTIF($C$2:C639,C639))</f>
        <v/>
      </c>
      <c r="AO639" s="8" t="str">
        <f t="shared" si="88"/>
        <v/>
      </c>
      <c r="AP639" s="8" t="str">
        <f>IF(C639="","",IF(AND(OR([1]Consulta!$C$29="",A639=[1]Consulta!$C$29),OR([1]Consulta!$E$29="",B639=[1]Consulta!$E$29),OR([1]Consulta!$G$29="",D639=[1]Consulta!$G$29,R639=[1]Consulta!$G$29)),ROW()-1,""))</f>
        <v/>
      </c>
    </row>
    <row r="640" spans="1:42" ht="1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 t="str">
        <f t="shared" si="81"/>
        <v/>
      </c>
      <c r="AG640" s="7" t="str">
        <f t="shared" si="89"/>
        <v/>
      </c>
      <c r="AH640" s="7" t="str">
        <f t="shared" si="82"/>
        <v/>
      </c>
      <c r="AI640" s="7" t="str">
        <f t="shared" si="83"/>
        <v/>
      </c>
      <c r="AJ640" s="7" t="str">
        <f t="shared" si="84"/>
        <v/>
      </c>
      <c r="AK640" s="7" t="str">
        <f t="shared" si="85"/>
        <v/>
      </c>
      <c r="AL640" s="7" t="str">
        <f t="shared" si="86"/>
        <v/>
      </c>
      <c r="AM640" s="7" t="str">
        <f t="shared" si="87"/>
        <v/>
      </c>
      <c r="AN640" s="8" t="str">
        <f>IF(C640="","",COUNTIF($C$2:C640,C640))</f>
        <v/>
      </c>
      <c r="AO640" s="8" t="str">
        <f t="shared" si="88"/>
        <v/>
      </c>
      <c r="AP640" s="8" t="str">
        <f>IF(C640="","",IF(AND(OR([1]Consulta!$C$29="",A640=[1]Consulta!$C$29),OR([1]Consulta!$E$29="",B640=[1]Consulta!$E$29),OR([1]Consulta!$G$29="",D640=[1]Consulta!$G$29,R640=[1]Consulta!$G$29)),ROW()-1,""))</f>
        <v/>
      </c>
    </row>
    <row r="641" spans="1:42" ht="1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 t="str">
        <f t="shared" si="81"/>
        <v/>
      </c>
      <c r="AG641" s="7" t="str">
        <f t="shared" si="89"/>
        <v/>
      </c>
      <c r="AH641" s="7" t="str">
        <f t="shared" si="82"/>
        <v/>
      </c>
      <c r="AI641" s="7" t="str">
        <f t="shared" si="83"/>
        <v/>
      </c>
      <c r="AJ641" s="7" t="str">
        <f t="shared" si="84"/>
        <v/>
      </c>
      <c r="AK641" s="7" t="str">
        <f t="shared" si="85"/>
        <v/>
      </c>
      <c r="AL641" s="7" t="str">
        <f t="shared" si="86"/>
        <v/>
      </c>
      <c r="AM641" s="7" t="str">
        <f t="shared" si="87"/>
        <v/>
      </c>
      <c r="AN641" s="8" t="str">
        <f>IF(C641="","",COUNTIF($C$2:C641,C641))</f>
        <v/>
      </c>
      <c r="AO641" s="8" t="str">
        <f t="shared" si="88"/>
        <v/>
      </c>
      <c r="AP641" s="8" t="str">
        <f>IF(C641="","",IF(AND(OR([1]Consulta!$C$29="",A641=[1]Consulta!$C$29),OR([1]Consulta!$E$29="",B641=[1]Consulta!$E$29),OR([1]Consulta!$G$29="",D641=[1]Consulta!$G$29,R641=[1]Consulta!$G$29)),ROW()-1,""))</f>
        <v/>
      </c>
    </row>
    <row r="642" spans="1:42" ht="1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 t="str">
        <f t="shared" ref="AF642:AF705" si="90">IF(C642="","",IF(AND(ISNUMBER(K642),ISNUMBER(L642)),K642-L642,""))</f>
        <v/>
      </c>
      <c r="AG642" s="7" t="str">
        <f t="shared" si="89"/>
        <v/>
      </c>
      <c r="AH642" s="7" t="str">
        <f t="shared" ref="AH642:AH705" si="91">IF(C642="","",IF(AND(ISNUMBER(Y642),ISNUMBER(Z642)),Y642-Z642,""))</f>
        <v/>
      </c>
      <c r="AI642" s="7" t="str">
        <f t="shared" ref="AI642:AI705" si="92">IF(C642="","",IF(AH642="","N/A",IF(AH642&lt;0,"ALARMA","OK")))</f>
        <v/>
      </c>
      <c r="AJ642" s="7" t="str">
        <f t="shared" ref="AJ642:AJ705" si="93">IF(C642="","",IF(ISNUMBER(M642),IF(M642&gt;0,"CON ERRORES","OK"),"N/A"))</f>
        <v/>
      </c>
      <c r="AK642" s="7" t="str">
        <f t="shared" ref="AK642:AK705" si="94">IF(C642="","",IF(ISNUMBER(AA642),IF(AA642&gt;0,"CON ERRORES","OK"),"N/A"))</f>
        <v/>
      </c>
      <c r="AL642" s="7" t="str">
        <f t="shared" ref="AL642:AL705" si="95">IF(C642="","",IF(OR(AG642="ALARMA",AI642="ALARMA",AJ642="CON ERRORES",AK642="CON ERRORES"),"REVISAR","OK"))</f>
        <v/>
      </c>
      <c r="AM642" s="7" t="str">
        <f t="shared" ref="AM642:AM705" si="96">IF(C642="","",IF(ISNUMBER(Q642),Q642,IF(ISNUMBER(AE642),AE642,"Ver detalle")))</f>
        <v/>
      </c>
      <c r="AN642" s="8" t="str">
        <f>IF(C642="","",COUNTIF($C$2:C642,C642))</f>
        <v/>
      </c>
      <c r="AO642" s="8" t="str">
        <f t="shared" ref="AO642:AO705" si="97">IF(C642="","",C642&amp;"|"&amp;AN642)</f>
        <v/>
      </c>
      <c r="AP642" s="8" t="str">
        <f>IF(C642="","",IF(AND(OR([1]Consulta!$C$29="",A642=[1]Consulta!$C$29),OR([1]Consulta!$E$29="",B642=[1]Consulta!$E$29),OR([1]Consulta!$G$29="",D642=[1]Consulta!$G$29,R642=[1]Consulta!$G$29)),ROW()-1,""))</f>
        <v/>
      </c>
    </row>
    <row r="643" spans="1:42" ht="1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 t="str">
        <f t="shared" si="90"/>
        <v/>
      </c>
      <c r="AG643" s="7" t="str">
        <f t="shared" ref="AG643:AG706" si="98">IF(C643="","",IF(AF643="","N/A",IF(AF643&lt;0,"ALARMA","OK")))</f>
        <v/>
      </c>
      <c r="AH643" s="7" t="str">
        <f t="shared" si="91"/>
        <v/>
      </c>
      <c r="AI643" s="7" t="str">
        <f t="shared" si="92"/>
        <v/>
      </c>
      <c r="AJ643" s="7" t="str">
        <f t="shared" si="93"/>
        <v/>
      </c>
      <c r="AK643" s="7" t="str">
        <f t="shared" si="94"/>
        <v/>
      </c>
      <c r="AL643" s="7" t="str">
        <f t="shared" si="95"/>
        <v/>
      </c>
      <c r="AM643" s="7" t="str">
        <f t="shared" si="96"/>
        <v/>
      </c>
      <c r="AN643" s="8" t="str">
        <f>IF(C643="","",COUNTIF($C$2:C643,C643))</f>
        <v/>
      </c>
      <c r="AO643" s="8" t="str">
        <f t="shared" si="97"/>
        <v/>
      </c>
      <c r="AP643" s="8" t="str">
        <f>IF(C643="","",IF(AND(OR([1]Consulta!$C$29="",A643=[1]Consulta!$C$29),OR([1]Consulta!$E$29="",B643=[1]Consulta!$E$29),OR([1]Consulta!$G$29="",D643=[1]Consulta!$G$29,R643=[1]Consulta!$G$29)),ROW()-1,""))</f>
        <v/>
      </c>
    </row>
    <row r="644" spans="1:42" ht="1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 t="str">
        <f t="shared" si="90"/>
        <v/>
      </c>
      <c r="AG644" s="7" t="str">
        <f t="shared" si="98"/>
        <v/>
      </c>
      <c r="AH644" s="7" t="str">
        <f t="shared" si="91"/>
        <v/>
      </c>
      <c r="AI644" s="7" t="str">
        <f t="shared" si="92"/>
        <v/>
      </c>
      <c r="AJ644" s="7" t="str">
        <f t="shared" si="93"/>
        <v/>
      </c>
      <c r="AK644" s="7" t="str">
        <f t="shared" si="94"/>
        <v/>
      </c>
      <c r="AL644" s="7" t="str">
        <f t="shared" si="95"/>
        <v/>
      </c>
      <c r="AM644" s="7" t="str">
        <f t="shared" si="96"/>
        <v/>
      </c>
      <c r="AN644" s="8" t="str">
        <f>IF(C644="","",COUNTIF($C$2:C644,C644))</f>
        <v/>
      </c>
      <c r="AO644" s="8" t="str">
        <f t="shared" si="97"/>
        <v/>
      </c>
      <c r="AP644" s="8" t="str">
        <f>IF(C644="","",IF(AND(OR([1]Consulta!$C$29="",A644=[1]Consulta!$C$29),OR([1]Consulta!$E$29="",B644=[1]Consulta!$E$29),OR([1]Consulta!$G$29="",D644=[1]Consulta!$G$29,R644=[1]Consulta!$G$29)),ROW()-1,""))</f>
        <v/>
      </c>
    </row>
    <row r="645" spans="1:42" ht="1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 t="str">
        <f t="shared" si="90"/>
        <v/>
      </c>
      <c r="AG645" s="7" t="str">
        <f t="shared" si="98"/>
        <v/>
      </c>
      <c r="AH645" s="7" t="str">
        <f t="shared" si="91"/>
        <v/>
      </c>
      <c r="AI645" s="7" t="str">
        <f t="shared" si="92"/>
        <v/>
      </c>
      <c r="AJ645" s="7" t="str">
        <f t="shared" si="93"/>
        <v/>
      </c>
      <c r="AK645" s="7" t="str">
        <f t="shared" si="94"/>
        <v/>
      </c>
      <c r="AL645" s="7" t="str">
        <f t="shared" si="95"/>
        <v/>
      </c>
      <c r="AM645" s="7" t="str">
        <f t="shared" si="96"/>
        <v/>
      </c>
      <c r="AN645" s="8" t="str">
        <f>IF(C645="","",COUNTIF($C$2:C645,C645))</f>
        <v/>
      </c>
      <c r="AO645" s="8" t="str">
        <f t="shared" si="97"/>
        <v/>
      </c>
      <c r="AP645" s="8" t="str">
        <f>IF(C645="","",IF(AND(OR([1]Consulta!$C$29="",A645=[1]Consulta!$C$29),OR([1]Consulta!$E$29="",B645=[1]Consulta!$E$29),OR([1]Consulta!$G$29="",D645=[1]Consulta!$G$29,R645=[1]Consulta!$G$29)),ROW()-1,""))</f>
        <v/>
      </c>
    </row>
    <row r="646" spans="1:42" ht="1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 t="str">
        <f t="shared" si="90"/>
        <v/>
      </c>
      <c r="AG646" s="7" t="str">
        <f t="shared" si="98"/>
        <v/>
      </c>
      <c r="AH646" s="7" t="str">
        <f t="shared" si="91"/>
        <v/>
      </c>
      <c r="AI646" s="7" t="str">
        <f t="shared" si="92"/>
        <v/>
      </c>
      <c r="AJ646" s="7" t="str">
        <f t="shared" si="93"/>
        <v/>
      </c>
      <c r="AK646" s="7" t="str">
        <f t="shared" si="94"/>
        <v/>
      </c>
      <c r="AL646" s="7" t="str">
        <f t="shared" si="95"/>
        <v/>
      </c>
      <c r="AM646" s="7" t="str">
        <f t="shared" si="96"/>
        <v/>
      </c>
      <c r="AN646" s="8" t="str">
        <f>IF(C646="","",COUNTIF($C$2:C646,C646))</f>
        <v/>
      </c>
      <c r="AO646" s="8" t="str">
        <f t="shared" si="97"/>
        <v/>
      </c>
      <c r="AP646" s="8" t="str">
        <f>IF(C646="","",IF(AND(OR([1]Consulta!$C$29="",A646=[1]Consulta!$C$29),OR([1]Consulta!$E$29="",B646=[1]Consulta!$E$29),OR([1]Consulta!$G$29="",D646=[1]Consulta!$G$29,R646=[1]Consulta!$G$29)),ROW()-1,""))</f>
        <v/>
      </c>
    </row>
    <row r="647" spans="1:42" ht="1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 t="str">
        <f t="shared" si="90"/>
        <v/>
      </c>
      <c r="AG647" s="7" t="str">
        <f t="shared" si="98"/>
        <v/>
      </c>
      <c r="AH647" s="7" t="str">
        <f t="shared" si="91"/>
        <v/>
      </c>
      <c r="AI647" s="7" t="str">
        <f t="shared" si="92"/>
        <v/>
      </c>
      <c r="AJ647" s="7" t="str">
        <f t="shared" si="93"/>
        <v/>
      </c>
      <c r="AK647" s="7" t="str">
        <f t="shared" si="94"/>
        <v/>
      </c>
      <c r="AL647" s="7" t="str">
        <f t="shared" si="95"/>
        <v/>
      </c>
      <c r="AM647" s="7" t="str">
        <f t="shared" si="96"/>
        <v/>
      </c>
      <c r="AN647" s="8" t="str">
        <f>IF(C647="","",COUNTIF($C$2:C647,C647))</f>
        <v/>
      </c>
      <c r="AO647" s="8" t="str">
        <f t="shared" si="97"/>
        <v/>
      </c>
      <c r="AP647" s="8" t="str">
        <f>IF(C647="","",IF(AND(OR([1]Consulta!$C$29="",A647=[1]Consulta!$C$29),OR([1]Consulta!$E$29="",B647=[1]Consulta!$E$29),OR([1]Consulta!$G$29="",D647=[1]Consulta!$G$29,R647=[1]Consulta!$G$29)),ROW()-1,""))</f>
        <v/>
      </c>
    </row>
    <row r="648" spans="1:42" ht="1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 t="str">
        <f t="shared" si="90"/>
        <v/>
      </c>
      <c r="AG648" s="7" t="str">
        <f t="shared" si="98"/>
        <v/>
      </c>
      <c r="AH648" s="7" t="str">
        <f t="shared" si="91"/>
        <v/>
      </c>
      <c r="AI648" s="7" t="str">
        <f t="shared" si="92"/>
        <v/>
      </c>
      <c r="AJ648" s="7" t="str">
        <f t="shared" si="93"/>
        <v/>
      </c>
      <c r="AK648" s="7" t="str">
        <f t="shared" si="94"/>
        <v/>
      </c>
      <c r="AL648" s="7" t="str">
        <f t="shared" si="95"/>
        <v/>
      </c>
      <c r="AM648" s="7" t="str">
        <f t="shared" si="96"/>
        <v/>
      </c>
      <c r="AN648" s="8" t="str">
        <f>IF(C648="","",COUNTIF($C$2:C648,C648))</f>
        <v/>
      </c>
      <c r="AO648" s="8" t="str">
        <f t="shared" si="97"/>
        <v/>
      </c>
      <c r="AP648" s="8" t="str">
        <f>IF(C648="","",IF(AND(OR([1]Consulta!$C$29="",A648=[1]Consulta!$C$29),OR([1]Consulta!$E$29="",B648=[1]Consulta!$E$29),OR([1]Consulta!$G$29="",D648=[1]Consulta!$G$29,R648=[1]Consulta!$G$29)),ROW()-1,""))</f>
        <v/>
      </c>
    </row>
    <row r="649" spans="1:42" ht="1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 t="str">
        <f t="shared" si="90"/>
        <v/>
      </c>
      <c r="AG649" s="7" t="str">
        <f t="shared" si="98"/>
        <v/>
      </c>
      <c r="AH649" s="7" t="str">
        <f t="shared" si="91"/>
        <v/>
      </c>
      <c r="AI649" s="7" t="str">
        <f t="shared" si="92"/>
        <v/>
      </c>
      <c r="AJ649" s="7" t="str">
        <f t="shared" si="93"/>
        <v/>
      </c>
      <c r="AK649" s="7" t="str">
        <f t="shared" si="94"/>
        <v/>
      </c>
      <c r="AL649" s="7" t="str">
        <f t="shared" si="95"/>
        <v/>
      </c>
      <c r="AM649" s="7" t="str">
        <f t="shared" si="96"/>
        <v/>
      </c>
      <c r="AN649" s="8" t="str">
        <f>IF(C649="","",COUNTIF($C$2:C649,C649))</f>
        <v/>
      </c>
      <c r="AO649" s="8" t="str">
        <f t="shared" si="97"/>
        <v/>
      </c>
      <c r="AP649" s="8" t="str">
        <f>IF(C649="","",IF(AND(OR([1]Consulta!$C$29="",A649=[1]Consulta!$C$29),OR([1]Consulta!$E$29="",B649=[1]Consulta!$E$29),OR([1]Consulta!$G$29="",D649=[1]Consulta!$G$29,R649=[1]Consulta!$G$29)),ROW()-1,""))</f>
        <v/>
      </c>
    </row>
    <row r="650" spans="1:42" ht="1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 t="str">
        <f t="shared" si="90"/>
        <v/>
      </c>
      <c r="AG650" s="7" t="str">
        <f t="shared" si="98"/>
        <v/>
      </c>
      <c r="AH650" s="7" t="str">
        <f t="shared" si="91"/>
        <v/>
      </c>
      <c r="AI650" s="7" t="str">
        <f t="shared" si="92"/>
        <v/>
      </c>
      <c r="AJ650" s="7" t="str">
        <f t="shared" si="93"/>
        <v/>
      </c>
      <c r="AK650" s="7" t="str">
        <f t="shared" si="94"/>
        <v/>
      </c>
      <c r="AL650" s="7" t="str">
        <f t="shared" si="95"/>
        <v/>
      </c>
      <c r="AM650" s="7" t="str">
        <f t="shared" si="96"/>
        <v/>
      </c>
      <c r="AN650" s="8" t="str">
        <f>IF(C650="","",COUNTIF($C$2:C650,C650))</f>
        <v/>
      </c>
      <c r="AO650" s="8" t="str">
        <f t="shared" si="97"/>
        <v/>
      </c>
      <c r="AP650" s="8" t="str">
        <f>IF(C650="","",IF(AND(OR([1]Consulta!$C$29="",A650=[1]Consulta!$C$29),OR([1]Consulta!$E$29="",B650=[1]Consulta!$E$29),OR([1]Consulta!$G$29="",D650=[1]Consulta!$G$29,R650=[1]Consulta!$G$29)),ROW()-1,""))</f>
        <v/>
      </c>
    </row>
    <row r="651" spans="1:42" ht="1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 t="str">
        <f t="shared" si="90"/>
        <v/>
      </c>
      <c r="AG651" s="7" t="str">
        <f t="shared" si="98"/>
        <v/>
      </c>
      <c r="AH651" s="7" t="str">
        <f t="shared" si="91"/>
        <v/>
      </c>
      <c r="AI651" s="7" t="str">
        <f t="shared" si="92"/>
        <v/>
      </c>
      <c r="AJ651" s="7" t="str">
        <f t="shared" si="93"/>
        <v/>
      </c>
      <c r="AK651" s="7" t="str">
        <f t="shared" si="94"/>
        <v/>
      </c>
      <c r="AL651" s="7" t="str">
        <f t="shared" si="95"/>
        <v/>
      </c>
      <c r="AM651" s="7" t="str">
        <f t="shared" si="96"/>
        <v/>
      </c>
      <c r="AN651" s="8" t="str">
        <f>IF(C651="","",COUNTIF($C$2:C651,C651))</f>
        <v/>
      </c>
      <c r="AO651" s="8" t="str">
        <f t="shared" si="97"/>
        <v/>
      </c>
      <c r="AP651" s="8" t="str">
        <f>IF(C651="","",IF(AND(OR([1]Consulta!$C$29="",A651=[1]Consulta!$C$29),OR([1]Consulta!$E$29="",B651=[1]Consulta!$E$29),OR([1]Consulta!$G$29="",D651=[1]Consulta!$G$29,R651=[1]Consulta!$G$29)),ROW()-1,""))</f>
        <v/>
      </c>
    </row>
    <row r="652" spans="1:42" ht="1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 t="str">
        <f t="shared" si="90"/>
        <v/>
      </c>
      <c r="AG652" s="7" t="str">
        <f t="shared" si="98"/>
        <v/>
      </c>
      <c r="AH652" s="7" t="str">
        <f t="shared" si="91"/>
        <v/>
      </c>
      <c r="AI652" s="7" t="str">
        <f t="shared" si="92"/>
        <v/>
      </c>
      <c r="AJ652" s="7" t="str">
        <f t="shared" si="93"/>
        <v/>
      </c>
      <c r="AK652" s="7" t="str">
        <f t="shared" si="94"/>
        <v/>
      </c>
      <c r="AL652" s="7" t="str">
        <f t="shared" si="95"/>
        <v/>
      </c>
      <c r="AM652" s="7" t="str">
        <f t="shared" si="96"/>
        <v/>
      </c>
      <c r="AN652" s="8" t="str">
        <f>IF(C652="","",COUNTIF($C$2:C652,C652))</f>
        <v/>
      </c>
      <c r="AO652" s="8" t="str">
        <f t="shared" si="97"/>
        <v/>
      </c>
      <c r="AP652" s="8" t="str">
        <f>IF(C652="","",IF(AND(OR([1]Consulta!$C$29="",A652=[1]Consulta!$C$29),OR([1]Consulta!$E$29="",B652=[1]Consulta!$E$29),OR([1]Consulta!$G$29="",D652=[1]Consulta!$G$29,R652=[1]Consulta!$G$29)),ROW()-1,""))</f>
        <v/>
      </c>
    </row>
    <row r="653" spans="1:42" ht="1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 t="str">
        <f t="shared" si="90"/>
        <v/>
      </c>
      <c r="AG653" s="7" t="str">
        <f t="shared" si="98"/>
        <v/>
      </c>
      <c r="AH653" s="7" t="str">
        <f t="shared" si="91"/>
        <v/>
      </c>
      <c r="AI653" s="7" t="str">
        <f t="shared" si="92"/>
        <v/>
      </c>
      <c r="AJ653" s="7" t="str">
        <f t="shared" si="93"/>
        <v/>
      </c>
      <c r="AK653" s="7" t="str">
        <f t="shared" si="94"/>
        <v/>
      </c>
      <c r="AL653" s="7" t="str">
        <f t="shared" si="95"/>
        <v/>
      </c>
      <c r="AM653" s="7" t="str">
        <f t="shared" si="96"/>
        <v/>
      </c>
      <c r="AN653" s="8" t="str">
        <f>IF(C653="","",COUNTIF($C$2:C653,C653))</f>
        <v/>
      </c>
      <c r="AO653" s="8" t="str">
        <f t="shared" si="97"/>
        <v/>
      </c>
      <c r="AP653" s="8" t="str">
        <f>IF(C653="","",IF(AND(OR([1]Consulta!$C$29="",A653=[1]Consulta!$C$29),OR([1]Consulta!$E$29="",B653=[1]Consulta!$E$29),OR([1]Consulta!$G$29="",D653=[1]Consulta!$G$29,R653=[1]Consulta!$G$29)),ROW()-1,""))</f>
        <v/>
      </c>
    </row>
    <row r="654" spans="1:42" ht="1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 t="str">
        <f t="shared" si="90"/>
        <v/>
      </c>
      <c r="AG654" s="7" t="str">
        <f t="shared" si="98"/>
        <v/>
      </c>
      <c r="AH654" s="7" t="str">
        <f t="shared" si="91"/>
        <v/>
      </c>
      <c r="AI654" s="7" t="str">
        <f t="shared" si="92"/>
        <v/>
      </c>
      <c r="AJ654" s="7" t="str">
        <f t="shared" si="93"/>
        <v/>
      </c>
      <c r="AK654" s="7" t="str">
        <f t="shared" si="94"/>
        <v/>
      </c>
      <c r="AL654" s="7" t="str">
        <f t="shared" si="95"/>
        <v/>
      </c>
      <c r="AM654" s="7" t="str">
        <f t="shared" si="96"/>
        <v/>
      </c>
      <c r="AN654" s="8" t="str">
        <f>IF(C654="","",COUNTIF($C$2:C654,C654))</f>
        <v/>
      </c>
      <c r="AO654" s="8" t="str">
        <f t="shared" si="97"/>
        <v/>
      </c>
      <c r="AP654" s="8" t="str">
        <f>IF(C654="","",IF(AND(OR([1]Consulta!$C$29="",A654=[1]Consulta!$C$29),OR([1]Consulta!$E$29="",B654=[1]Consulta!$E$29),OR([1]Consulta!$G$29="",D654=[1]Consulta!$G$29,R654=[1]Consulta!$G$29)),ROW()-1,""))</f>
        <v/>
      </c>
    </row>
    <row r="655" spans="1:42" ht="1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 t="str">
        <f t="shared" si="90"/>
        <v/>
      </c>
      <c r="AG655" s="7" t="str">
        <f t="shared" si="98"/>
        <v/>
      </c>
      <c r="AH655" s="7" t="str">
        <f t="shared" si="91"/>
        <v/>
      </c>
      <c r="AI655" s="7" t="str">
        <f t="shared" si="92"/>
        <v/>
      </c>
      <c r="AJ655" s="7" t="str">
        <f t="shared" si="93"/>
        <v/>
      </c>
      <c r="AK655" s="7" t="str">
        <f t="shared" si="94"/>
        <v/>
      </c>
      <c r="AL655" s="7" t="str">
        <f t="shared" si="95"/>
        <v/>
      </c>
      <c r="AM655" s="7" t="str">
        <f t="shared" si="96"/>
        <v/>
      </c>
      <c r="AN655" s="8" t="str">
        <f>IF(C655="","",COUNTIF($C$2:C655,C655))</f>
        <v/>
      </c>
      <c r="AO655" s="8" t="str">
        <f t="shared" si="97"/>
        <v/>
      </c>
      <c r="AP655" s="8" t="str">
        <f>IF(C655="","",IF(AND(OR([1]Consulta!$C$29="",A655=[1]Consulta!$C$29),OR([1]Consulta!$E$29="",B655=[1]Consulta!$E$29),OR([1]Consulta!$G$29="",D655=[1]Consulta!$G$29,R655=[1]Consulta!$G$29)),ROW()-1,""))</f>
        <v/>
      </c>
    </row>
    <row r="656" spans="1:42" ht="1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 t="str">
        <f t="shared" si="90"/>
        <v/>
      </c>
      <c r="AG656" s="7" t="str">
        <f t="shared" si="98"/>
        <v/>
      </c>
      <c r="AH656" s="7" t="str">
        <f t="shared" si="91"/>
        <v/>
      </c>
      <c r="AI656" s="7" t="str">
        <f t="shared" si="92"/>
        <v/>
      </c>
      <c r="AJ656" s="7" t="str">
        <f t="shared" si="93"/>
        <v/>
      </c>
      <c r="AK656" s="7" t="str">
        <f t="shared" si="94"/>
        <v/>
      </c>
      <c r="AL656" s="7" t="str">
        <f t="shared" si="95"/>
        <v/>
      </c>
      <c r="AM656" s="7" t="str">
        <f t="shared" si="96"/>
        <v/>
      </c>
      <c r="AN656" s="8" t="str">
        <f>IF(C656="","",COUNTIF($C$2:C656,C656))</f>
        <v/>
      </c>
      <c r="AO656" s="8" t="str">
        <f t="shared" si="97"/>
        <v/>
      </c>
      <c r="AP656" s="8" t="str">
        <f>IF(C656="","",IF(AND(OR([1]Consulta!$C$29="",A656=[1]Consulta!$C$29),OR([1]Consulta!$E$29="",B656=[1]Consulta!$E$29),OR([1]Consulta!$G$29="",D656=[1]Consulta!$G$29,R656=[1]Consulta!$G$29)),ROW()-1,""))</f>
        <v/>
      </c>
    </row>
    <row r="657" spans="1:42" ht="1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 t="str">
        <f t="shared" si="90"/>
        <v/>
      </c>
      <c r="AG657" s="7" t="str">
        <f t="shared" si="98"/>
        <v/>
      </c>
      <c r="AH657" s="7" t="str">
        <f t="shared" si="91"/>
        <v/>
      </c>
      <c r="AI657" s="7" t="str">
        <f t="shared" si="92"/>
        <v/>
      </c>
      <c r="AJ657" s="7" t="str">
        <f t="shared" si="93"/>
        <v/>
      </c>
      <c r="AK657" s="7" t="str">
        <f t="shared" si="94"/>
        <v/>
      </c>
      <c r="AL657" s="7" t="str">
        <f t="shared" si="95"/>
        <v/>
      </c>
      <c r="AM657" s="7" t="str">
        <f t="shared" si="96"/>
        <v/>
      </c>
      <c r="AN657" s="8" t="str">
        <f>IF(C657="","",COUNTIF($C$2:C657,C657))</f>
        <v/>
      </c>
      <c r="AO657" s="8" t="str">
        <f t="shared" si="97"/>
        <v/>
      </c>
      <c r="AP657" s="8" t="str">
        <f>IF(C657="","",IF(AND(OR([1]Consulta!$C$29="",A657=[1]Consulta!$C$29),OR([1]Consulta!$E$29="",B657=[1]Consulta!$E$29),OR([1]Consulta!$G$29="",D657=[1]Consulta!$G$29,R657=[1]Consulta!$G$29)),ROW()-1,""))</f>
        <v/>
      </c>
    </row>
    <row r="658" spans="1:42" ht="1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 t="str">
        <f t="shared" si="90"/>
        <v/>
      </c>
      <c r="AG658" s="7" t="str">
        <f t="shared" si="98"/>
        <v/>
      </c>
      <c r="AH658" s="7" t="str">
        <f t="shared" si="91"/>
        <v/>
      </c>
      <c r="AI658" s="7" t="str">
        <f t="shared" si="92"/>
        <v/>
      </c>
      <c r="AJ658" s="7" t="str">
        <f t="shared" si="93"/>
        <v/>
      </c>
      <c r="AK658" s="7" t="str">
        <f t="shared" si="94"/>
        <v/>
      </c>
      <c r="AL658" s="7" t="str">
        <f t="shared" si="95"/>
        <v/>
      </c>
      <c r="AM658" s="7" t="str">
        <f t="shared" si="96"/>
        <v/>
      </c>
      <c r="AN658" s="8" t="str">
        <f>IF(C658="","",COUNTIF($C$2:C658,C658))</f>
        <v/>
      </c>
      <c r="AO658" s="8" t="str">
        <f t="shared" si="97"/>
        <v/>
      </c>
      <c r="AP658" s="8" t="str">
        <f>IF(C658="","",IF(AND(OR([1]Consulta!$C$29="",A658=[1]Consulta!$C$29),OR([1]Consulta!$E$29="",B658=[1]Consulta!$E$29),OR([1]Consulta!$G$29="",D658=[1]Consulta!$G$29,R658=[1]Consulta!$G$29)),ROW()-1,""))</f>
        <v/>
      </c>
    </row>
    <row r="659" spans="1:42" ht="1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 t="str">
        <f t="shared" si="90"/>
        <v/>
      </c>
      <c r="AG659" s="7" t="str">
        <f t="shared" si="98"/>
        <v/>
      </c>
      <c r="AH659" s="7" t="str">
        <f t="shared" si="91"/>
        <v/>
      </c>
      <c r="AI659" s="7" t="str">
        <f t="shared" si="92"/>
        <v/>
      </c>
      <c r="AJ659" s="7" t="str">
        <f t="shared" si="93"/>
        <v/>
      </c>
      <c r="AK659" s="7" t="str">
        <f t="shared" si="94"/>
        <v/>
      </c>
      <c r="AL659" s="7" t="str">
        <f t="shared" si="95"/>
        <v/>
      </c>
      <c r="AM659" s="7" t="str">
        <f t="shared" si="96"/>
        <v/>
      </c>
      <c r="AN659" s="8" t="str">
        <f>IF(C659="","",COUNTIF($C$2:C659,C659))</f>
        <v/>
      </c>
      <c r="AO659" s="8" t="str">
        <f t="shared" si="97"/>
        <v/>
      </c>
      <c r="AP659" s="8" t="str">
        <f>IF(C659="","",IF(AND(OR([1]Consulta!$C$29="",A659=[1]Consulta!$C$29),OR([1]Consulta!$E$29="",B659=[1]Consulta!$E$29),OR([1]Consulta!$G$29="",D659=[1]Consulta!$G$29,R659=[1]Consulta!$G$29)),ROW()-1,""))</f>
        <v/>
      </c>
    </row>
    <row r="660" spans="1:42" ht="1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 t="str">
        <f t="shared" si="90"/>
        <v/>
      </c>
      <c r="AG660" s="7" t="str">
        <f t="shared" si="98"/>
        <v/>
      </c>
      <c r="AH660" s="7" t="str">
        <f t="shared" si="91"/>
        <v/>
      </c>
      <c r="AI660" s="7" t="str">
        <f t="shared" si="92"/>
        <v/>
      </c>
      <c r="AJ660" s="7" t="str">
        <f t="shared" si="93"/>
        <v/>
      </c>
      <c r="AK660" s="7" t="str">
        <f t="shared" si="94"/>
        <v/>
      </c>
      <c r="AL660" s="7" t="str">
        <f t="shared" si="95"/>
        <v/>
      </c>
      <c r="AM660" s="7" t="str">
        <f t="shared" si="96"/>
        <v/>
      </c>
      <c r="AN660" s="8" t="str">
        <f>IF(C660="","",COUNTIF($C$2:C660,C660))</f>
        <v/>
      </c>
      <c r="AO660" s="8" t="str">
        <f t="shared" si="97"/>
        <v/>
      </c>
      <c r="AP660" s="8" t="str">
        <f>IF(C660="","",IF(AND(OR([1]Consulta!$C$29="",A660=[1]Consulta!$C$29),OR([1]Consulta!$E$29="",B660=[1]Consulta!$E$29),OR([1]Consulta!$G$29="",D660=[1]Consulta!$G$29,R660=[1]Consulta!$G$29)),ROW()-1,""))</f>
        <v/>
      </c>
    </row>
    <row r="661" spans="1:42" ht="1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 t="str">
        <f t="shared" si="90"/>
        <v/>
      </c>
      <c r="AG661" s="7" t="str">
        <f t="shared" si="98"/>
        <v/>
      </c>
      <c r="AH661" s="7" t="str">
        <f t="shared" si="91"/>
        <v/>
      </c>
      <c r="AI661" s="7" t="str">
        <f t="shared" si="92"/>
        <v/>
      </c>
      <c r="AJ661" s="7" t="str">
        <f t="shared" si="93"/>
        <v/>
      </c>
      <c r="AK661" s="7" t="str">
        <f t="shared" si="94"/>
        <v/>
      </c>
      <c r="AL661" s="7" t="str">
        <f t="shared" si="95"/>
        <v/>
      </c>
      <c r="AM661" s="7" t="str">
        <f t="shared" si="96"/>
        <v/>
      </c>
      <c r="AN661" s="8" t="str">
        <f>IF(C661="","",COUNTIF($C$2:C661,C661))</f>
        <v/>
      </c>
      <c r="AO661" s="8" t="str">
        <f t="shared" si="97"/>
        <v/>
      </c>
      <c r="AP661" s="8" t="str">
        <f>IF(C661="","",IF(AND(OR([1]Consulta!$C$29="",A661=[1]Consulta!$C$29),OR([1]Consulta!$E$29="",B661=[1]Consulta!$E$29),OR([1]Consulta!$G$29="",D661=[1]Consulta!$G$29,R661=[1]Consulta!$G$29)),ROW()-1,""))</f>
        <v/>
      </c>
    </row>
    <row r="662" spans="1:42" ht="1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 t="str">
        <f t="shared" si="90"/>
        <v/>
      </c>
      <c r="AG662" s="7" t="str">
        <f t="shared" si="98"/>
        <v/>
      </c>
      <c r="AH662" s="7" t="str">
        <f t="shared" si="91"/>
        <v/>
      </c>
      <c r="AI662" s="7" t="str">
        <f t="shared" si="92"/>
        <v/>
      </c>
      <c r="AJ662" s="7" t="str">
        <f t="shared" si="93"/>
        <v/>
      </c>
      <c r="AK662" s="7" t="str">
        <f t="shared" si="94"/>
        <v/>
      </c>
      <c r="AL662" s="7" t="str">
        <f t="shared" si="95"/>
        <v/>
      </c>
      <c r="AM662" s="7" t="str">
        <f t="shared" si="96"/>
        <v/>
      </c>
      <c r="AN662" s="8" t="str">
        <f>IF(C662="","",COUNTIF($C$2:C662,C662))</f>
        <v/>
      </c>
      <c r="AO662" s="8" t="str">
        <f t="shared" si="97"/>
        <v/>
      </c>
      <c r="AP662" s="8" t="str">
        <f>IF(C662="","",IF(AND(OR([1]Consulta!$C$29="",A662=[1]Consulta!$C$29),OR([1]Consulta!$E$29="",B662=[1]Consulta!$E$29),OR([1]Consulta!$G$29="",D662=[1]Consulta!$G$29,R662=[1]Consulta!$G$29)),ROW()-1,""))</f>
        <v/>
      </c>
    </row>
    <row r="663" spans="1:42" ht="1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 t="str">
        <f t="shared" si="90"/>
        <v/>
      </c>
      <c r="AG663" s="7" t="str">
        <f t="shared" si="98"/>
        <v/>
      </c>
      <c r="AH663" s="7" t="str">
        <f t="shared" si="91"/>
        <v/>
      </c>
      <c r="AI663" s="7" t="str">
        <f t="shared" si="92"/>
        <v/>
      </c>
      <c r="AJ663" s="7" t="str">
        <f t="shared" si="93"/>
        <v/>
      </c>
      <c r="AK663" s="7" t="str">
        <f t="shared" si="94"/>
        <v/>
      </c>
      <c r="AL663" s="7" t="str">
        <f t="shared" si="95"/>
        <v/>
      </c>
      <c r="AM663" s="7" t="str">
        <f t="shared" si="96"/>
        <v/>
      </c>
      <c r="AN663" s="8" t="str">
        <f>IF(C663="","",COUNTIF($C$2:C663,C663))</f>
        <v/>
      </c>
      <c r="AO663" s="8" t="str">
        <f t="shared" si="97"/>
        <v/>
      </c>
      <c r="AP663" s="8" t="str">
        <f>IF(C663="","",IF(AND(OR([1]Consulta!$C$29="",A663=[1]Consulta!$C$29),OR([1]Consulta!$E$29="",B663=[1]Consulta!$E$29),OR([1]Consulta!$G$29="",D663=[1]Consulta!$G$29,R663=[1]Consulta!$G$29)),ROW()-1,""))</f>
        <v/>
      </c>
    </row>
    <row r="664" spans="1:42" ht="1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 t="str">
        <f t="shared" si="90"/>
        <v/>
      </c>
      <c r="AG664" s="7" t="str">
        <f t="shared" si="98"/>
        <v/>
      </c>
      <c r="AH664" s="7" t="str">
        <f t="shared" si="91"/>
        <v/>
      </c>
      <c r="AI664" s="7" t="str">
        <f t="shared" si="92"/>
        <v/>
      </c>
      <c r="AJ664" s="7" t="str">
        <f t="shared" si="93"/>
        <v/>
      </c>
      <c r="AK664" s="7" t="str">
        <f t="shared" si="94"/>
        <v/>
      </c>
      <c r="AL664" s="7" t="str">
        <f t="shared" si="95"/>
        <v/>
      </c>
      <c r="AM664" s="7" t="str">
        <f t="shared" si="96"/>
        <v/>
      </c>
      <c r="AN664" s="8" t="str">
        <f>IF(C664="","",COUNTIF($C$2:C664,C664))</f>
        <v/>
      </c>
      <c r="AO664" s="8" t="str">
        <f t="shared" si="97"/>
        <v/>
      </c>
      <c r="AP664" s="8" t="str">
        <f>IF(C664="","",IF(AND(OR([1]Consulta!$C$29="",A664=[1]Consulta!$C$29),OR([1]Consulta!$E$29="",B664=[1]Consulta!$E$29),OR([1]Consulta!$G$29="",D664=[1]Consulta!$G$29,R664=[1]Consulta!$G$29)),ROW()-1,""))</f>
        <v/>
      </c>
    </row>
    <row r="665" spans="1:42" ht="1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 t="str">
        <f t="shared" si="90"/>
        <v/>
      </c>
      <c r="AG665" s="7" t="str">
        <f t="shared" si="98"/>
        <v/>
      </c>
      <c r="AH665" s="7" t="str">
        <f t="shared" si="91"/>
        <v/>
      </c>
      <c r="AI665" s="7" t="str">
        <f t="shared" si="92"/>
        <v/>
      </c>
      <c r="AJ665" s="7" t="str">
        <f t="shared" si="93"/>
        <v/>
      </c>
      <c r="AK665" s="7" t="str">
        <f t="shared" si="94"/>
        <v/>
      </c>
      <c r="AL665" s="7" t="str">
        <f t="shared" si="95"/>
        <v/>
      </c>
      <c r="AM665" s="7" t="str">
        <f t="shared" si="96"/>
        <v/>
      </c>
      <c r="AN665" s="8" t="str">
        <f>IF(C665="","",COUNTIF($C$2:C665,C665))</f>
        <v/>
      </c>
      <c r="AO665" s="8" t="str">
        <f t="shared" si="97"/>
        <v/>
      </c>
      <c r="AP665" s="8" t="str">
        <f>IF(C665="","",IF(AND(OR([1]Consulta!$C$29="",A665=[1]Consulta!$C$29),OR([1]Consulta!$E$29="",B665=[1]Consulta!$E$29),OR([1]Consulta!$G$29="",D665=[1]Consulta!$G$29,R665=[1]Consulta!$G$29)),ROW()-1,""))</f>
        <v/>
      </c>
    </row>
    <row r="666" spans="1:42" ht="1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 t="str">
        <f t="shared" si="90"/>
        <v/>
      </c>
      <c r="AG666" s="7" t="str">
        <f t="shared" si="98"/>
        <v/>
      </c>
      <c r="AH666" s="7" t="str">
        <f t="shared" si="91"/>
        <v/>
      </c>
      <c r="AI666" s="7" t="str">
        <f t="shared" si="92"/>
        <v/>
      </c>
      <c r="AJ666" s="7" t="str">
        <f t="shared" si="93"/>
        <v/>
      </c>
      <c r="AK666" s="7" t="str">
        <f t="shared" si="94"/>
        <v/>
      </c>
      <c r="AL666" s="7" t="str">
        <f t="shared" si="95"/>
        <v/>
      </c>
      <c r="AM666" s="7" t="str">
        <f t="shared" si="96"/>
        <v/>
      </c>
      <c r="AN666" s="8" t="str">
        <f>IF(C666="","",COUNTIF($C$2:C666,C666))</f>
        <v/>
      </c>
      <c r="AO666" s="8" t="str">
        <f t="shared" si="97"/>
        <v/>
      </c>
      <c r="AP666" s="8" t="str">
        <f>IF(C666="","",IF(AND(OR([1]Consulta!$C$29="",A666=[1]Consulta!$C$29),OR([1]Consulta!$E$29="",B666=[1]Consulta!$E$29),OR([1]Consulta!$G$29="",D666=[1]Consulta!$G$29,R666=[1]Consulta!$G$29)),ROW()-1,""))</f>
        <v/>
      </c>
    </row>
    <row r="667" spans="1:42" ht="1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 t="str">
        <f t="shared" si="90"/>
        <v/>
      </c>
      <c r="AG667" s="7" t="str">
        <f t="shared" si="98"/>
        <v/>
      </c>
      <c r="AH667" s="7" t="str">
        <f t="shared" si="91"/>
        <v/>
      </c>
      <c r="AI667" s="7" t="str">
        <f t="shared" si="92"/>
        <v/>
      </c>
      <c r="AJ667" s="7" t="str">
        <f t="shared" si="93"/>
        <v/>
      </c>
      <c r="AK667" s="7" t="str">
        <f t="shared" si="94"/>
        <v/>
      </c>
      <c r="AL667" s="7" t="str">
        <f t="shared" si="95"/>
        <v/>
      </c>
      <c r="AM667" s="7" t="str">
        <f t="shared" si="96"/>
        <v/>
      </c>
      <c r="AN667" s="8" t="str">
        <f>IF(C667="","",COUNTIF($C$2:C667,C667))</f>
        <v/>
      </c>
      <c r="AO667" s="8" t="str">
        <f t="shared" si="97"/>
        <v/>
      </c>
      <c r="AP667" s="8" t="str">
        <f>IF(C667="","",IF(AND(OR([1]Consulta!$C$29="",A667=[1]Consulta!$C$29),OR([1]Consulta!$E$29="",B667=[1]Consulta!$E$29),OR([1]Consulta!$G$29="",D667=[1]Consulta!$G$29,R667=[1]Consulta!$G$29)),ROW()-1,""))</f>
        <v/>
      </c>
    </row>
    <row r="668" spans="1:42" ht="1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 t="str">
        <f t="shared" si="90"/>
        <v/>
      </c>
      <c r="AG668" s="7" t="str">
        <f t="shared" si="98"/>
        <v/>
      </c>
      <c r="AH668" s="7" t="str">
        <f t="shared" si="91"/>
        <v/>
      </c>
      <c r="AI668" s="7" t="str">
        <f t="shared" si="92"/>
        <v/>
      </c>
      <c r="AJ668" s="7" t="str">
        <f t="shared" si="93"/>
        <v/>
      </c>
      <c r="AK668" s="7" t="str">
        <f t="shared" si="94"/>
        <v/>
      </c>
      <c r="AL668" s="7" t="str">
        <f t="shared" si="95"/>
        <v/>
      </c>
      <c r="AM668" s="7" t="str">
        <f t="shared" si="96"/>
        <v/>
      </c>
      <c r="AN668" s="8" t="str">
        <f>IF(C668="","",COUNTIF($C$2:C668,C668))</f>
        <v/>
      </c>
      <c r="AO668" s="8" t="str">
        <f t="shared" si="97"/>
        <v/>
      </c>
      <c r="AP668" s="8" t="str">
        <f>IF(C668="","",IF(AND(OR([1]Consulta!$C$29="",A668=[1]Consulta!$C$29),OR([1]Consulta!$E$29="",B668=[1]Consulta!$E$29),OR([1]Consulta!$G$29="",D668=[1]Consulta!$G$29,R668=[1]Consulta!$G$29)),ROW()-1,""))</f>
        <v/>
      </c>
    </row>
    <row r="669" spans="1:42" ht="1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 t="str">
        <f t="shared" si="90"/>
        <v/>
      </c>
      <c r="AG669" s="7" t="str">
        <f t="shared" si="98"/>
        <v/>
      </c>
      <c r="AH669" s="7" t="str">
        <f t="shared" si="91"/>
        <v/>
      </c>
      <c r="AI669" s="7" t="str">
        <f t="shared" si="92"/>
        <v/>
      </c>
      <c r="AJ669" s="7" t="str">
        <f t="shared" si="93"/>
        <v/>
      </c>
      <c r="AK669" s="7" t="str">
        <f t="shared" si="94"/>
        <v/>
      </c>
      <c r="AL669" s="7" t="str">
        <f t="shared" si="95"/>
        <v/>
      </c>
      <c r="AM669" s="7" t="str">
        <f t="shared" si="96"/>
        <v/>
      </c>
      <c r="AN669" s="8" t="str">
        <f>IF(C669="","",COUNTIF($C$2:C669,C669))</f>
        <v/>
      </c>
      <c r="AO669" s="8" t="str">
        <f t="shared" si="97"/>
        <v/>
      </c>
      <c r="AP669" s="8" t="str">
        <f>IF(C669="","",IF(AND(OR([1]Consulta!$C$29="",A669=[1]Consulta!$C$29),OR([1]Consulta!$E$29="",B669=[1]Consulta!$E$29),OR([1]Consulta!$G$29="",D669=[1]Consulta!$G$29,R669=[1]Consulta!$G$29)),ROW()-1,""))</f>
        <v/>
      </c>
    </row>
    <row r="670" spans="1:42" ht="1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 t="str">
        <f t="shared" si="90"/>
        <v/>
      </c>
      <c r="AG670" s="7" t="str">
        <f t="shared" si="98"/>
        <v/>
      </c>
      <c r="AH670" s="7" t="str">
        <f t="shared" si="91"/>
        <v/>
      </c>
      <c r="AI670" s="7" t="str">
        <f t="shared" si="92"/>
        <v/>
      </c>
      <c r="AJ670" s="7" t="str">
        <f t="shared" si="93"/>
        <v/>
      </c>
      <c r="AK670" s="7" t="str">
        <f t="shared" si="94"/>
        <v/>
      </c>
      <c r="AL670" s="7" t="str">
        <f t="shared" si="95"/>
        <v/>
      </c>
      <c r="AM670" s="7" t="str">
        <f t="shared" si="96"/>
        <v/>
      </c>
      <c r="AN670" s="8" t="str">
        <f>IF(C670="","",COUNTIF($C$2:C670,C670))</f>
        <v/>
      </c>
      <c r="AO670" s="8" t="str">
        <f t="shared" si="97"/>
        <v/>
      </c>
      <c r="AP670" s="8" t="str">
        <f>IF(C670="","",IF(AND(OR([1]Consulta!$C$29="",A670=[1]Consulta!$C$29),OR([1]Consulta!$E$29="",B670=[1]Consulta!$E$29),OR([1]Consulta!$G$29="",D670=[1]Consulta!$G$29,R670=[1]Consulta!$G$29)),ROW()-1,""))</f>
        <v/>
      </c>
    </row>
    <row r="671" spans="1:42" ht="1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 t="str">
        <f t="shared" si="90"/>
        <v/>
      </c>
      <c r="AG671" s="7" t="str">
        <f t="shared" si="98"/>
        <v/>
      </c>
      <c r="AH671" s="7" t="str">
        <f t="shared" si="91"/>
        <v/>
      </c>
      <c r="AI671" s="7" t="str">
        <f t="shared" si="92"/>
        <v/>
      </c>
      <c r="AJ671" s="7" t="str">
        <f t="shared" si="93"/>
        <v/>
      </c>
      <c r="AK671" s="7" t="str">
        <f t="shared" si="94"/>
        <v/>
      </c>
      <c r="AL671" s="7" t="str">
        <f t="shared" si="95"/>
        <v/>
      </c>
      <c r="AM671" s="7" t="str">
        <f t="shared" si="96"/>
        <v/>
      </c>
      <c r="AN671" s="8" t="str">
        <f>IF(C671="","",COUNTIF($C$2:C671,C671))</f>
        <v/>
      </c>
      <c r="AO671" s="8" t="str">
        <f t="shared" si="97"/>
        <v/>
      </c>
      <c r="AP671" s="8" t="str">
        <f>IF(C671="","",IF(AND(OR([1]Consulta!$C$29="",A671=[1]Consulta!$C$29),OR([1]Consulta!$E$29="",B671=[1]Consulta!$E$29),OR([1]Consulta!$G$29="",D671=[1]Consulta!$G$29,R671=[1]Consulta!$G$29)),ROW()-1,""))</f>
        <v/>
      </c>
    </row>
    <row r="672" spans="1:42" ht="1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 t="str">
        <f t="shared" si="90"/>
        <v/>
      </c>
      <c r="AG672" s="7" t="str">
        <f t="shared" si="98"/>
        <v/>
      </c>
      <c r="AH672" s="7" t="str">
        <f t="shared" si="91"/>
        <v/>
      </c>
      <c r="AI672" s="7" t="str">
        <f t="shared" si="92"/>
        <v/>
      </c>
      <c r="AJ672" s="7" t="str">
        <f t="shared" si="93"/>
        <v/>
      </c>
      <c r="AK672" s="7" t="str">
        <f t="shared" si="94"/>
        <v/>
      </c>
      <c r="AL672" s="7" t="str">
        <f t="shared" si="95"/>
        <v/>
      </c>
      <c r="AM672" s="7" t="str">
        <f t="shared" si="96"/>
        <v/>
      </c>
      <c r="AN672" s="8" t="str">
        <f>IF(C672="","",COUNTIF($C$2:C672,C672))</f>
        <v/>
      </c>
      <c r="AO672" s="8" t="str">
        <f t="shared" si="97"/>
        <v/>
      </c>
      <c r="AP672" s="8" t="str">
        <f>IF(C672="","",IF(AND(OR([1]Consulta!$C$29="",A672=[1]Consulta!$C$29),OR([1]Consulta!$E$29="",B672=[1]Consulta!$E$29),OR([1]Consulta!$G$29="",D672=[1]Consulta!$G$29,R672=[1]Consulta!$G$29)),ROW()-1,""))</f>
        <v/>
      </c>
    </row>
    <row r="673" spans="1:42" ht="1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 t="str">
        <f t="shared" si="90"/>
        <v/>
      </c>
      <c r="AG673" s="7" t="str">
        <f t="shared" si="98"/>
        <v/>
      </c>
      <c r="AH673" s="7" t="str">
        <f t="shared" si="91"/>
        <v/>
      </c>
      <c r="AI673" s="7" t="str">
        <f t="shared" si="92"/>
        <v/>
      </c>
      <c r="AJ673" s="7" t="str">
        <f t="shared" si="93"/>
        <v/>
      </c>
      <c r="AK673" s="7" t="str">
        <f t="shared" si="94"/>
        <v/>
      </c>
      <c r="AL673" s="7" t="str">
        <f t="shared" si="95"/>
        <v/>
      </c>
      <c r="AM673" s="7" t="str">
        <f t="shared" si="96"/>
        <v/>
      </c>
      <c r="AN673" s="8" t="str">
        <f>IF(C673="","",COUNTIF($C$2:C673,C673))</f>
        <v/>
      </c>
      <c r="AO673" s="8" t="str">
        <f t="shared" si="97"/>
        <v/>
      </c>
      <c r="AP673" s="8" t="str">
        <f>IF(C673="","",IF(AND(OR([1]Consulta!$C$29="",A673=[1]Consulta!$C$29),OR([1]Consulta!$E$29="",B673=[1]Consulta!$E$29),OR([1]Consulta!$G$29="",D673=[1]Consulta!$G$29,R673=[1]Consulta!$G$29)),ROW()-1,""))</f>
        <v/>
      </c>
    </row>
    <row r="674" spans="1:42" ht="1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 t="str">
        <f t="shared" si="90"/>
        <v/>
      </c>
      <c r="AG674" s="7" t="str">
        <f t="shared" si="98"/>
        <v/>
      </c>
      <c r="AH674" s="7" t="str">
        <f t="shared" si="91"/>
        <v/>
      </c>
      <c r="AI674" s="7" t="str">
        <f t="shared" si="92"/>
        <v/>
      </c>
      <c r="AJ674" s="7" t="str">
        <f t="shared" si="93"/>
        <v/>
      </c>
      <c r="AK674" s="7" t="str">
        <f t="shared" si="94"/>
        <v/>
      </c>
      <c r="AL674" s="7" t="str">
        <f t="shared" si="95"/>
        <v/>
      </c>
      <c r="AM674" s="7" t="str">
        <f t="shared" si="96"/>
        <v/>
      </c>
      <c r="AN674" s="8" t="str">
        <f>IF(C674="","",COUNTIF($C$2:C674,C674))</f>
        <v/>
      </c>
      <c r="AO674" s="8" t="str">
        <f t="shared" si="97"/>
        <v/>
      </c>
      <c r="AP674" s="8" t="str">
        <f>IF(C674="","",IF(AND(OR([1]Consulta!$C$29="",A674=[1]Consulta!$C$29),OR([1]Consulta!$E$29="",B674=[1]Consulta!$E$29),OR([1]Consulta!$G$29="",D674=[1]Consulta!$G$29,R674=[1]Consulta!$G$29)),ROW()-1,""))</f>
        <v/>
      </c>
    </row>
    <row r="675" spans="1:42" ht="1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 t="str">
        <f t="shared" si="90"/>
        <v/>
      </c>
      <c r="AG675" s="7" t="str">
        <f t="shared" si="98"/>
        <v/>
      </c>
      <c r="AH675" s="7" t="str">
        <f t="shared" si="91"/>
        <v/>
      </c>
      <c r="AI675" s="7" t="str">
        <f t="shared" si="92"/>
        <v/>
      </c>
      <c r="AJ675" s="7" t="str">
        <f t="shared" si="93"/>
        <v/>
      </c>
      <c r="AK675" s="7" t="str">
        <f t="shared" si="94"/>
        <v/>
      </c>
      <c r="AL675" s="7" t="str">
        <f t="shared" si="95"/>
        <v/>
      </c>
      <c r="AM675" s="7" t="str">
        <f t="shared" si="96"/>
        <v/>
      </c>
      <c r="AN675" s="8" t="str">
        <f>IF(C675="","",COUNTIF($C$2:C675,C675))</f>
        <v/>
      </c>
      <c r="AO675" s="8" t="str">
        <f t="shared" si="97"/>
        <v/>
      </c>
      <c r="AP675" s="8" t="str">
        <f>IF(C675="","",IF(AND(OR([1]Consulta!$C$29="",A675=[1]Consulta!$C$29),OR([1]Consulta!$E$29="",B675=[1]Consulta!$E$29),OR([1]Consulta!$G$29="",D675=[1]Consulta!$G$29,R675=[1]Consulta!$G$29)),ROW()-1,""))</f>
        <v/>
      </c>
    </row>
    <row r="676" spans="1:42" ht="1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 t="str">
        <f t="shared" si="90"/>
        <v/>
      </c>
      <c r="AG676" s="7" t="str">
        <f t="shared" si="98"/>
        <v/>
      </c>
      <c r="AH676" s="7" t="str">
        <f t="shared" si="91"/>
        <v/>
      </c>
      <c r="AI676" s="7" t="str">
        <f t="shared" si="92"/>
        <v/>
      </c>
      <c r="AJ676" s="7" t="str">
        <f t="shared" si="93"/>
        <v/>
      </c>
      <c r="AK676" s="7" t="str">
        <f t="shared" si="94"/>
        <v/>
      </c>
      <c r="AL676" s="7" t="str">
        <f t="shared" si="95"/>
        <v/>
      </c>
      <c r="AM676" s="7" t="str">
        <f t="shared" si="96"/>
        <v/>
      </c>
      <c r="AN676" s="8" t="str">
        <f>IF(C676="","",COUNTIF($C$2:C676,C676))</f>
        <v/>
      </c>
      <c r="AO676" s="8" t="str">
        <f t="shared" si="97"/>
        <v/>
      </c>
      <c r="AP676" s="8" t="str">
        <f>IF(C676="","",IF(AND(OR([1]Consulta!$C$29="",A676=[1]Consulta!$C$29),OR([1]Consulta!$E$29="",B676=[1]Consulta!$E$29),OR([1]Consulta!$G$29="",D676=[1]Consulta!$G$29,R676=[1]Consulta!$G$29)),ROW()-1,""))</f>
        <v/>
      </c>
    </row>
    <row r="677" spans="1:42" ht="1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 t="str">
        <f t="shared" si="90"/>
        <v/>
      </c>
      <c r="AG677" s="7" t="str">
        <f t="shared" si="98"/>
        <v/>
      </c>
      <c r="AH677" s="7" t="str">
        <f t="shared" si="91"/>
        <v/>
      </c>
      <c r="AI677" s="7" t="str">
        <f t="shared" si="92"/>
        <v/>
      </c>
      <c r="AJ677" s="7" t="str">
        <f t="shared" si="93"/>
        <v/>
      </c>
      <c r="AK677" s="7" t="str">
        <f t="shared" si="94"/>
        <v/>
      </c>
      <c r="AL677" s="7" t="str">
        <f t="shared" si="95"/>
        <v/>
      </c>
      <c r="AM677" s="7" t="str">
        <f t="shared" si="96"/>
        <v/>
      </c>
      <c r="AN677" s="8" t="str">
        <f>IF(C677="","",COUNTIF($C$2:C677,C677))</f>
        <v/>
      </c>
      <c r="AO677" s="8" t="str">
        <f t="shared" si="97"/>
        <v/>
      </c>
      <c r="AP677" s="8" t="str">
        <f>IF(C677="","",IF(AND(OR([1]Consulta!$C$29="",A677=[1]Consulta!$C$29),OR([1]Consulta!$E$29="",B677=[1]Consulta!$E$29),OR([1]Consulta!$G$29="",D677=[1]Consulta!$G$29,R677=[1]Consulta!$G$29)),ROW()-1,""))</f>
        <v/>
      </c>
    </row>
    <row r="678" spans="1:42" ht="1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 t="str">
        <f t="shared" si="90"/>
        <v/>
      </c>
      <c r="AG678" s="7" t="str">
        <f t="shared" si="98"/>
        <v/>
      </c>
      <c r="AH678" s="7" t="str">
        <f t="shared" si="91"/>
        <v/>
      </c>
      <c r="AI678" s="7" t="str">
        <f t="shared" si="92"/>
        <v/>
      </c>
      <c r="AJ678" s="7" t="str">
        <f t="shared" si="93"/>
        <v/>
      </c>
      <c r="AK678" s="7" t="str">
        <f t="shared" si="94"/>
        <v/>
      </c>
      <c r="AL678" s="7" t="str">
        <f t="shared" si="95"/>
        <v/>
      </c>
      <c r="AM678" s="7" t="str">
        <f t="shared" si="96"/>
        <v/>
      </c>
      <c r="AN678" s="8" t="str">
        <f>IF(C678="","",COUNTIF($C$2:C678,C678))</f>
        <v/>
      </c>
      <c r="AO678" s="8" t="str">
        <f t="shared" si="97"/>
        <v/>
      </c>
      <c r="AP678" s="8" t="str">
        <f>IF(C678="","",IF(AND(OR([1]Consulta!$C$29="",A678=[1]Consulta!$C$29),OR([1]Consulta!$E$29="",B678=[1]Consulta!$E$29),OR([1]Consulta!$G$29="",D678=[1]Consulta!$G$29,R678=[1]Consulta!$G$29)),ROW()-1,""))</f>
        <v/>
      </c>
    </row>
    <row r="679" spans="1:42" ht="1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 t="str">
        <f t="shared" si="90"/>
        <v/>
      </c>
      <c r="AG679" s="7" t="str">
        <f t="shared" si="98"/>
        <v/>
      </c>
      <c r="AH679" s="7" t="str">
        <f t="shared" si="91"/>
        <v/>
      </c>
      <c r="AI679" s="7" t="str">
        <f t="shared" si="92"/>
        <v/>
      </c>
      <c r="AJ679" s="7" t="str">
        <f t="shared" si="93"/>
        <v/>
      </c>
      <c r="AK679" s="7" t="str">
        <f t="shared" si="94"/>
        <v/>
      </c>
      <c r="AL679" s="7" t="str">
        <f t="shared" si="95"/>
        <v/>
      </c>
      <c r="AM679" s="7" t="str">
        <f t="shared" si="96"/>
        <v/>
      </c>
      <c r="AN679" s="8" t="str">
        <f>IF(C679="","",COUNTIF($C$2:C679,C679))</f>
        <v/>
      </c>
      <c r="AO679" s="8" t="str">
        <f t="shared" si="97"/>
        <v/>
      </c>
      <c r="AP679" s="8" t="str">
        <f>IF(C679="","",IF(AND(OR([1]Consulta!$C$29="",A679=[1]Consulta!$C$29),OR([1]Consulta!$E$29="",B679=[1]Consulta!$E$29),OR([1]Consulta!$G$29="",D679=[1]Consulta!$G$29,R679=[1]Consulta!$G$29)),ROW()-1,""))</f>
        <v/>
      </c>
    </row>
    <row r="680" spans="1:42" ht="1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 t="str">
        <f t="shared" si="90"/>
        <v/>
      </c>
      <c r="AG680" s="7" t="str">
        <f t="shared" si="98"/>
        <v/>
      </c>
      <c r="AH680" s="7" t="str">
        <f t="shared" si="91"/>
        <v/>
      </c>
      <c r="AI680" s="7" t="str">
        <f t="shared" si="92"/>
        <v/>
      </c>
      <c r="AJ680" s="7" t="str">
        <f t="shared" si="93"/>
        <v/>
      </c>
      <c r="AK680" s="7" t="str">
        <f t="shared" si="94"/>
        <v/>
      </c>
      <c r="AL680" s="7" t="str">
        <f t="shared" si="95"/>
        <v/>
      </c>
      <c r="AM680" s="7" t="str">
        <f t="shared" si="96"/>
        <v/>
      </c>
      <c r="AN680" s="8" t="str">
        <f>IF(C680="","",COUNTIF($C$2:C680,C680))</f>
        <v/>
      </c>
      <c r="AO680" s="8" t="str">
        <f t="shared" si="97"/>
        <v/>
      </c>
      <c r="AP680" s="8" t="str">
        <f>IF(C680="","",IF(AND(OR([1]Consulta!$C$29="",A680=[1]Consulta!$C$29),OR([1]Consulta!$E$29="",B680=[1]Consulta!$E$29),OR([1]Consulta!$G$29="",D680=[1]Consulta!$G$29,R680=[1]Consulta!$G$29)),ROW()-1,""))</f>
        <v/>
      </c>
    </row>
    <row r="681" spans="1:42" ht="1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 t="str">
        <f t="shared" si="90"/>
        <v/>
      </c>
      <c r="AG681" s="7" t="str">
        <f t="shared" si="98"/>
        <v/>
      </c>
      <c r="AH681" s="7" t="str">
        <f t="shared" si="91"/>
        <v/>
      </c>
      <c r="AI681" s="7" t="str">
        <f t="shared" si="92"/>
        <v/>
      </c>
      <c r="AJ681" s="7" t="str">
        <f t="shared" si="93"/>
        <v/>
      </c>
      <c r="AK681" s="7" t="str">
        <f t="shared" si="94"/>
        <v/>
      </c>
      <c r="AL681" s="7" t="str">
        <f t="shared" si="95"/>
        <v/>
      </c>
      <c r="AM681" s="7" t="str">
        <f t="shared" si="96"/>
        <v/>
      </c>
      <c r="AN681" s="8" t="str">
        <f>IF(C681="","",COUNTIF($C$2:C681,C681))</f>
        <v/>
      </c>
      <c r="AO681" s="8" t="str">
        <f t="shared" si="97"/>
        <v/>
      </c>
      <c r="AP681" s="8" t="str">
        <f>IF(C681="","",IF(AND(OR([1]Consulta!$C$29="",A681=[1]Consulta!$C$29),OR([1]Consulta!$E$29="",B681=[1]Consulta!$E$29),OR([1]Consulta!$G$29="",D681=[1]Consulta!$G$29,R681=[1]Consulta!$G$29)),ROW()-1,""))</f>
        <v/>
      </c>
    </row>
    <row r="682" spans="1:42" ht="1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 t="str">
        <f t="shared" si="90"/>
        <v/>
      </c>
      <c r="AG682" s="7" t="str">
        <f t="shared" si="98"/>
        <v/>
      </c>
      <c r="AH682" s="7" t="str">
        <f t="shared" si="91"/>
        <v/>
      </c>
      <c r="AI682" s="7" t="str">
        <f t="shared" si="92"/>
        <v/>
      </c>
      <c r="AJ682" s="7" t="str">
        <f t="shared" si="93"/>
        <v/>
      </c>
      <c r="AK682" s="7" t="str">
        <f t="shared" si="94"/>
        <v/>
      </c>
      <c r="AL682" s="7" t="str">
        <f t="shared" si="95"/>
        <v/>
      </c>
      <c r="AM682" s="7" t="str">
        <f t="shared" si="96"/>
        <v/>
      </c>
      <c r="AN682" s="8" t="str">
        <f>IF(C682="","",COUNTIF($C$2:C682,C682))</f>
        <v/>
      </c>
      <c r="AO682" s="8" t="str">
        <f t="shared" si="97"/>
        <v/>
      </c>
      <c r="AP682" s="8" t="str">
        <f>IF(C682="","",IF(AND(OR([1]Consulta!$C$29="",A682=[1]Consulta!$C$29),OR([1]Consulta!$E$29="",B682=[1]Consulta!$E$29),OR([1]Consulta!$G$29="",D682=[1]Consulta!$G$29,R682=[1]Consulta!$G$29)),ROW()-1,""))</f>
        <v/>
      </c>
    </row>
    <row r="683" spans="1:42" ht="1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 t="str">
        <f t="shared" si="90"/>
        <v/>
      </c>
      <c r="AG683" s="7" t="str">
        <f t="shared" si="98"/>
        <v/>
      </c>
      <c r="AH683" s="7" t="str">
        <f t="shared" si="91"/>
        <v/>
      </c>
      <c r="AI683" s="7" t="str">
        <f t="shared" si="92"/>
        <v/>
      </c>
      <c r="AJ683" s="7" t="str">
        <f t="shared" si="93"/>
        <v/>
      </c>
      <c r="AK683" s="7" t="str">
        <f t="shared" si="94"/>
        <v/>
      </c>
      <c r="AL683" s="7" t="str">
        <f t="shared" si="95"/>
        <v/>
      </c>
      <c r="AM683" s="7" t="str">
        <f t="shared" si="96"/>
        <v/>
      </c>
      <c r="AN683" s="8" t="str">
        <f>IF(C683="","",COUNTIF($C$2:C683,C683))</f>
        <v/>
      </c>
      <c r="AO683" s="8" t="str">
        <f t="shared" si="97"/>
        <v/>
      </c>
      <c r="AP683" s="8" t="str">
        <f>IF(C683="","",IF(AND(OR([1]Consulta!$C$29="",A683=[1]Consulta!$C$29),OR([1]Consulta!$E$29="",B683=[1]Consulta!$E$29),OR([1]Consulta!$G$29="",D683=[1]Consulta!$G$29,R683=[1]Consulta!$G$29)),ROW()-1,""))</f>
        <v/>
      </c>
    </row>
    <row r="684" spans="1:42" ht="1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 t="str">
        <f t="shared" si="90"/>
        <v/>
      </c>
      <c r="AG684" s="7" t="str">
        <f t="shared" si="98"/>
        <v/>
      </c>
      <c r="AH684" s="7" t="str">
        <f t="shared" si="91"/>
        <v/>
      </c>
      <c r="AI684" s="7" t="str">
        <f t="shared" si="92"/>
        <v/>
      </c>
      <c r="AJ684" s="7" t="str">
        <f t="shared" si="93"/>
        <v/>
      </c>
      <c r="AK684" s="7" t="str">
        <f t="shared" si="94"/>
        <v/>
      </c>
      <c r="AL684" s="7" t="str">
        <f t="shared" si="95"/>
        <v/>
      </c>
      <c r="AM684" s="7" t="str">
        <f t="shared" si="96"/>
        <v/>
      </c>
      <c r="AN684" s="8" t="str">
        <f>IF(C684="","",COUNTIF($C$2:C684,C684))</f>
        <v/>
      </c>
      <c r="AO684" s="8" t="str">
        <f t="shared" si="97"/>
        <v/>
      </c>
      <c r="AP684" s="8" t="str">
        <f>IF(C684="","",IF(AND(OR([1]Consulta!$C$29="",A684=[1]Consulta!$C$29),OR([1]Consulta!$E$29="",B684=[1]Consulta!$E$29),OR([1]Consulta!$G$29="",D684=[1]Consulta!$G$29,R684=[1]Consulta!$G$29)),ROW()-1,""))</f>
        <v/>
      </c>
    </row>
    <row r="685" spans="1:42" ht="1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 t="str">
        <f t="shared" si="90"/>
        <v/>
      </c>
      <c r="AG685" s="7" t="str">
        <f t="shared" si="98"/>
        <v/>
      </c>
      <c r="AH685" s="7" t="str">
        <f t="shared" si="91"/>
        <v/>
      </c>
      <c r="AI685" s="7" t="str">
        <f t="shared" si="92"/>
        <v/>
      </c>
      <c r="AJ685" s="7" t="str">
        <f t="shared" si="93"/>
        <v/>
      </c>
      <c r="AK685" s="7" t="str">
        <f t="shared" si="94"/>
        <v/>
      </c>
      <c r="AL685" s="7" t="str">
        <f t="shared" si="95"/>
        <v/>
      </c>
      <c r="AM685" s="7" t="str">
        <f t="shared" si="96"/>
        <v/>
      </c>
      <c r="AN685" s="8" t="str">
        <f>IF(C685="","",COUNTIF($C$2:C685,C685))</f>
        <v/>
      </c>
      <c r="AO685" s="8" t="str">
        <f t="shared" si="97"/>
        <v/>
      </c>
      <c r="AP685" s="8" t="str">
        <f>IF(C685="","",IF(AND(OR([1]Consulta!$C$29="",A685=[1]Consulta!$C$29),OR([1]Consulta!$E$29="",B685=[1]Consulta!$E$29),OR([1]Consulta!$G$29="",D685=[1]Consulta!$G$29,R685=[1]Consulta!$G$29)),ROW()-1,""))</f>
        <v/>
      </c>
    </row>
    <row r="686" spans="1:42" ht="1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 t="str">
        <f t="shared" si="90"/>
        <v/>
      </c>
      <c r="AG686" s="7" t="str">
        <f t="shared" si="98"/>
        <v/>
      </c>
      <c r="AH686" s="7" t="str">
        <f t="shared" si="91"/>
        <v/>
      </c>
      <c r="AI686" s="7" t="str">
        <f t="shared" si="92"/>
        <v/>
      </c>
      <c r="AJ686" s="7" t="str">
        <f t="shared" si="93"/>
        <v/>
      </c>
      <c r="AK686" s="7" t="str">
        <f t="shared" si="94"/>
        <v/>
      </c>
      <c r="AL686" s="7" t="str">
        <f t="shared" si="95"/>
        <v/>
      </c>
      <c r="AM686" s="7" t="str">
        <f t="shared" si="96"/>
        <v/>
      </c>
      <c r="AN686" s="8" t="str">
        <f>IF(C686="","",COUNTIF($C$2:C686,C686))</f>
        <v/>
      </c>
      <c r="AO686" s="8" t="str">
        <f t="shared" si="97"/>
        <v/>
      </c>
      <c r="AP686" s="8" t="str">
        <f>IF(C686="","",IF(AND(OR([1]Consulta!$C$29="",A686=[1]Consulta!$C$29),OR([1]Consulta!$E$29="",B686=[1]Consulta!$E$29),OR([1]Consulta!$G$29="",D686=[1]Consulta!$G$29,R686=[1]Consulta!$G$29)),ROW()-1,""))</f>
        <v/>
      </c>
    </row>
    <row r="687" spans="1:42" ht="1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 t="str">
        <f t="shared" si="90"/>
        <v/>
      </c>
      <c r="AG687" s="7" t="str">
        <f t="shared" si="98"/>
        <v/>
      </c>
      <c r="AH687" s="7" t="str">
        <f t="shared" si="91"/>
        <v/>
      </c>
      <c r="AI687" s="7" t="str">
        <f t="shared" si="92"/>
        <v/>
      </c>
      <c r="AJ687" s="7" t="str">
        <f t="shared" si="93"/>
        <v/>
      </c>
      <c r="AK687" s="7" t="str">
        <f t="shared" si="94"/>
        <v/>
      </c>
      <c r="AL687" s="7" t="str">
        <f t="shared" si="95"/>
        <v/>
      </c>
      <c r="AM687" s="7" t="str">
        <f t="shared" si="96"/>
        <v/>
      </c>
      <c r="AN687" s="8" t="str">
        <f>IF(C687="","",COUNTIF($C$2:C687,C687))</f>
        <v/>
      </c>
      <c r="AO687" s="8" t="str">
        <f t="shared" si="97"/>
        <v/>
      </c>
      <c r="AP687" s="8" t="str">
        <f>IF(C687="","",IF(AND(OR([1]Consulta!$C$29="",A687=[1]Consulta!$C$29),OR([1]Consulta!$E$29="",B687=[1]Consulta!$E$29),OR([1]Consulta!$G$29="",D687=[1]Consulta!$G$29,R687=[1]Consulta!$G$29)),ROW()-1,""))</f>
        <v/>
      </c>
    </row>
    <row r="688" spans="1:42" ht="1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 t="str">
        <f t="shared" si="90"/>
        <v/>
      </c>
      <c r="AG688" s="7" t="str">
        <f t="shared" si="98"/>
        <v/>
      </c>
      <c r="AH688" s="7" t="str">
        <f t="shared" si="91"/>
        <v/>
      </c>
      <c r="AI688" s="7" t="str">
        <f t="shared" si="92"/>
        <v/>
      </c>
      <c r="AJ688" s="7" t="str">
        <f t="shared" si="93"/>
        <v/>
      </c>
      <c r="AK688" s="7" t="str">
        <f t="shared" si="94"/>
        <v/>
      </c>
      <c r="AL688" s="7" t="str">
        <f t="shared" si="95"/>
        <v/>
      </c>
      <c r="AM688" s="7" t="str">
        <f t="shared" si="96"/>
        <v/>
      </c>
      <c r="AN688" s="8" t="str">
        <f>IF(C688="","",COUNTIF($C$2:C688,C688))</f>
        <v/>
      </c>
      <c r="AO688" s="8" t="str">
        <f t="shared" si="97"/>
        <v/>
      </c>
      <c r="AP688" s="8" t="str">
        <f>IF(C688="","",IF(AND(OR([1]Consulta!$C$29="",A688=[1]Consulta!$C$29),OR([1]Consulta!$E$29="",B688=[1]Consulta!$E$29),OR([1]Consulta!$G$29="",D688=[1]Consulta!$G$29,R688=[1]Consulta!$G$29)),ROW()-1,""))</f>
        <v/>
      </c>
    </row>
    <row r="689" spans="1:42" ht="1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 t="str">
        <f t="shared" si="90"/>
        <v/>
      </c>
      <c r="AG689" s="7" t="str">
        <f t="shared" si="98"/>
        <v/>
      </c>
      <c r="AH689" s="7" t="str">
        <f t="shared" si="91"/>
        <v/>
      </c>
      <c r="AI689" s="7" t="str">
        <f t="shared" si="92"/>
        <v/>
      </c>
      <c r="AJ689" s="7" t="str">
        <f t="shared" si="93"/>
        <v/>
      </c>
      <c r="AK689" s="7" t="str">
        <f t="shared" si="94"/>
        <v/>
      </c>
      <c r="AL689" s="7" t="str">
        <f t="shared" si="95"/>
        <v/>
      </c>
      <c r="AM689" s="7" t="str">
        <f t="shared" si="96"/>
        <v/>
      </c>
      <c r="AN689" s="8" t="str">
        <f>IF(C689="","",COUNTIF($C$2:C689,C689))</f>
        <v/>
      </c>
      <c r="AO689" s="8" t="str">
        <f t="shared" si="97"/>
        <v/>
      </c>
      <c r="AP689" s="8" t="str">
        <f>IF(C689="","",IF(AND(OR([1]Consulta!$C$29="",A689=[1]Consulta!$C$29),OR([1]Consulta!$E$29="",B689=[1]Consulta!$E$29),OR([1]Consulta!$G$29="",D689=[1]Consulta!$G$29,R689=[1]Consulta!$G$29)),ROW()-1,""))</f>
        <v/>
      </c>
    </row>
    <row r="690" spans="1:42" ht="1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 t="str">
        <f t="shared" si="90"/>
        <v/>
      </c>
      <c r="AG690" s="7" t="str">
        <f t="shared" si="98"/>
        <v/>
      </c>
      <c r="AH690" s="7" t="str">
        <f t="shared" si="91"/>
        <v/>
      </c>
      <c r="AI690" s="7" t="str">
        <f t="shared" si="92"/>
        <v/>
      </c>
      <c r="AJ690" s="7" t="str">
        <f t="shared" si="93"/>
        <v/>
      </c>
      <c r="AK690" s="7" t="str">
        <f t="shared" si="94"/>
        <v/>
      </c>
      <c r="AL690" s="7" t="str">
        <f t="shared" si="95"/>
        <v/>
      </c>
      <c r="AM690" s="7" t="str">
        <f t="shared" si="96"/>
        <v/>
      </c>
      <c r="AN690" s="8" t="str">
        <f>IF(C690="","",COUNTIF($C$2:C690,C690))</f>
        <v/>
      </c>
      <c r="AO690" s="8" t="str">
        <f t="shared" si="97"/>
        <v/>
      </c>
      <c r="AP690" s="8" t="str">
        <f>IF(C690="","",IF(AND(OR([1]Consulta!$C$29="",A690=[1]Consulta!$C$29),OR([1]Consulta!$E$29="",B690=[1]Consulta!$E$29),OR([1]Consulta!$G$29="",D690=[1]Consulta!$G$29,R690=[1]Consulta!$G$29)),ROW()-1,""))</f>
        <v/>
      </c>
    </row>
    <row r="691" spans="1:42" ht="1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 t="str">
        <f t="shared" si="90"/>
        <v/>
      </c>
      <c r="AG691" s="7" t="str">
        <f t="shared" si="98"/>
        <v/>
      </c>
      <c r="AH691" s="7" t="str">
        <f t="shared" si="91"/>
        <v/>
      </c>
      <c r="AI691" s="7" t="str">
        <f t="shared" si="92"/>
        <v/>
      </c>
      <c r="AJ691" s="7" t="str">
        <f t="shared" si="93"/>
        <v/>
      </c>
      <c r="AK691" s="7" t="str">
        <f t="shared" si="94"/>
        <v/>
      </c>
      <c r="AL691" s="7" t="str">
        <f t="shared" si="95"/>
        <v/>
      </c>
      <c r="AM691" s="7" t="str">
        <f t="shared" si="96"/>
        <v/>
      </c>
      <c r="AN691" s="8" t="str">
        <f>IF(C691="","",COUNTIF($C$2:C691,C691))</f>
        <v/>
      </c>
      <c r="AO691" s="8" t="str">
        <f t="shared" si="97"/>
        <v/>
      </c>
      <c r="AP691" s="8" t="str">
        <f>IF(C691="","",IF(AND(OR([1]Consulta!$C$29="",A691=[1]Consulta!$C$29),OR([1]Consulta!$E$29="",B691=[1]Consulta!$E$29),OR([1]Consulta!$G$29="",D691=[1]Consulta!$G$29,R691=[1]Consulta!$G$29)),ROW()-1,""))</f>
        <v/>
      </c>
    </row>
    <row r="692" spans="1:42" ht="1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 t="str">
        <f t="shared" si="90"/>
        <v/>
      </c>
      <c r="AG692" s="7" t="str">
        <f t="shared" si="98"/>
        <v/>
      </c>
      <c r="AH692" s="7" t="str">
        <f t="shared" si="91"/>
        <v/>
      </c>
      <c r="AI692" s="7" t="str">
        <f t="shared" si="92"/>
        <v/>
      </c>
      <c r="AJ692" s="7" t="str">
        <f t="shared" si="93"/>
        <v/>
      </c>
      <c r="AK692" s="7" t="str">
        <f t="shared" si="94"/>
        <v/>
      </c>
      <c r="AL692" s="7" t="str">
        <f t="shared" si="95"/>
        <v/>
      </c>
      <c r="AM692" s="7" t="str">
        <f t="shared" si="96"/>
        <v/>
      </c>
      <c r="AN692" s="8" t="str">
        <f>IF(C692="","",COUNTIF($C$2:C692,C692))</f>
        <v/>
      </c>
      <c r="AO692" s="8" t="str">
        <f t="shared" si="97"/>
        <v/>
      </c>
      <c r="AP692" s="8" t="str">
        <f>IF(C692="","",IF(AND(OR([1]Consulta!$C$29="",A692=[1]Consulta!$C$29),OR([1]Consulta!$E$29="",B692=[1]Consulta!$E$29),OR([1]Consulta!$G$29="",D692=[1]Consulta!$G$29,R692=[1]Consulta!$G$29)),ROW()-1,""))</f>
        <v/>
      </c>
    </row>
    <row r="693" spans="1:42" ht="1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 t="str">
        <f t="shared" si="90"/>
        <v/>
      </c>
      <c r="AG693" s="7" t="str">
        <f t="shared" si="98"/>
        <v/>
      </c>
      <c r="AH693" s="7" t="str">
        <f t="shared" si="91"/>
        <v/>
      </c>
      <c r="AI693" s="7" t="str">
        <f t="shared" si="92"/>
        <v/>
      </c>
      <c r="AJ693" s="7" t="str">
        <f t="shared" si="93"/>
        <v/>
      </c>
      <c r="AK693" s="7" t="str">
        <f t="shared" si="94"/>
        <v/>
      </c>
      <c r="AL693" s="7" t="str">
        <f t="shared" si="95"/>
        <v/>
      </c>
      <c r="AM693" s="7" t="str">
        <f t="shared" si="96"/>
        <v/>
      </c>
      <c r="AN693" s="8" t="str">
        <f>IF(C693="","",COUNTIF($C$2:C693,C693))</f>
        <v/>
      </c>
      <c r="AO693" s="8" t="str">
        <f t="shared" si="97"/>
        <v/>
      </c>
      <c r="AP693" s="8" t="str">
        <f>IF(C693="","",IF(AND(OR([1]Consulta!$C$29="",A693=[1]Consulta!$C$29),OR([1]Consulta!$E$29="",B693=[1]Consulta!$E$29),OR([1]Consulta!$G$29="",D693=[1]Consulta!$G$29,R693=[1]Consulta!$G$29)),ROW()-1,""))</f>
        <v/>
      </c>
    </row>
    <row r="694" spans="1:42" ht="1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 t="str">
        <f t="shared" si="90"/>
        <v/>
      </c>
      <c r="AG694" s="7" t="str">
        <f t="shared" si="98"/>
        <v/>
      </c>
      <c r="AH694" s="7" t="str">
        <f t="shared" si="91"/>
        <v/>
      </c>
      <c r="AI694" s="7" t="str">
        <f t="shared" si="92"/>
        <v/>
      </c>
      <c r="AJ694" s="7" t="str">
        <f t="shared" si="93"/>
        <v/>
      </c>
      <c r="AK694" s="7" t="str">
        <f t="shared" si="94"/>
        <v/>
      </c>
      <c r="AL694" s="7" t="str">
        <f t="shared" si="95"/>
        <v/>
      </c>
      <c r="AM694" s="7" t="str">
        <f t="shared" si="96"/>
        <v/>
      </c>
      <c r="AN694" s="8" t="str">
        <f>IF(C694="","",COUNTIF($C$2:C694,C694))</f>
        <v/>
      </c>
      <c r="AO694" s="8" t="str">
        <f t="shared" si="97"/>
        <v/>
      </c>
      <c r="AP694" s="8" t="str">
        <f>IF(C694="","",IF(AND(OR([1]Consulta!$C$29="",A694=[1]Consulta!$C$29),OR([1]Consulta!$E$29="",B694=[1]Consulta!$E$29),OR([1]Consulta!$G$29="",D694=[1]Consulta!$G$29,R694=[1]Consulta!$G$29)),ROW()-1,""))</f>
        <v/>
      </c>
    </row>
    <row r="695" spans="1:42" ht="1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 t="str">
        <f t="shared" si="90"/>
        <v/>
      </c>
      <c r="AG695" s="7" t="str">
        <f t="shared" si="98"/>
        <v/>
      </c>
      <c r="AH695" s="7" t="str">
        <f t="shared" si="91"/>
        <v/>
      </c>
      <c r="AI695" s="7" t="str">
        <f t="shared" si="92"/>
        <v/>
      </c>
      <c r="AJ695" s="7" t="str">
        <f t="shared" si="93"/>
        <v/>
      </c>
      <c r="AK695" s="7" t="str">
        <f t="shared" si="94"/>
        <v/>
      </c>
      <c r="AL695" s="7" t="str">
        <f t="shared" si="95"/>
        <v/>
      </c>
      <c r="AM695" s="7" t="str">
        <f t="shared" si="96"/>
        <v/>
      </c>
      <c r="AN695" s="8" t="str">
        <f>IF(C695="","",COUNTIF($C$2:C695,C695))</f>
        <v/>
      </c>
      <c r="AO695" s="8" t="str">
        <f t="shared" si="97"/>
        <v/>
      </c>
      <c r="AP695" s="8" t="str">
        <f>IF(C695="","",IF(AND(OR([1]Consulta!$C$29="",A695=[1]Consulta!$C$29),OR([1]Consulta!$E$29="",B695=[1]Consulta!$E$29),OR([1]Consulta!$G$29="",D695=[1]Consulta!$G$29,R695=[1]Consulta!$G$29)),ROW()-1,""))</f>
        <v/>
      </c>
    </row>
    <row r="696" spans="1:42" ht="1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 t="str">
        <f t="shared" si="90"/>
        <v/>
      </c>
      <c r="AG696" s="7" t="str">
        <f t="shared" si="98"/>
        <v/>
      </c>
      <c r="AH696" s="7" t="str">
        <f t="shared" si="91"/>
        <v/>
      </c>
      <c r="AI696" s="7" t="str">
        <f t="shared" si="92"/>
        <v/>
      </c>
      <c r="AJ696" s="7" t="str">
        <f t="shared" si="93"/>
        <v/>
      </c>
      <c r="AK696" s="7" t="str">
        <f t="shared" si="94"/>
        <v/>
      </c>
      <c r="AL696" s="7" t="str">
        <f t="shared" si="95"/>
        <v/>
      </c>
      <c r="AM696" s="7" t="str">
        <f t="shared" si="96"/>
        <v/>
      </c>
      <c r="AN696" s="8" t="str">
        <f>IF(C696="","",COUNTIF($C$2:C696,C696))</f>
        <v/>
      </c>
      <c r="AO696" s="8" t="str">
        <f t="shared" si="97"/>
        <v/>
      </c>
      <c r="AP696" s="8" t="str">
        <f>IF(C696="","",IF(AND(OR([1]Consulta!$C$29="",A696=[1]Consulta!$C$29),OR([1]Consulta!$E$29="",B696=[1]Consulta!$E$29),OR([1]Consulta!$G$29="",D696=[1]Consulta!$G$29,R696=[1]Consulta!$G$29)),ROW()-1,""))</f>
        <v/>
      </c>
    </row>
    <row r="697" spans="1:42" ht="1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 t="str">
        <f t="shared" si="90"/>
        <v/>
      </c>
      <c r="AG697" s="7" t="str">
        <f t="shared" si="98"/>
        <v/>
      </c>
      <c r="AH697" s="7" t="str">
        <f t="shared" si="91"/>
        <v/>
      </c>
      <c r="AI697" s="7" t="str">
        <f t="shared" si="92"/>
        <v/>
      </c>
      <c r="AJ697" s="7" t="str">
        <f t="shared" si="93"/>
        <v/>
      </c>
      <c r="AK697" s="7" t="str">
        <f t="shared" si="94"/>
        <v/>
      </c>
      <c r="AL697" s="7" t="str">
        <f t="shared" si="95"/>
        <v/>
      </c>
      <c r="AM697" s="7" t="str">
        <f t="shared" si="96"/>
        <v/>
      </c>
      <c r="AN697" s="8" t="str">
        <f>IF(C697="","",COUNTIF($C$2:C697,C697))</f>
        <v/>
      </c>
      <c r="AO697" s="8" t="str">
        <f t="shared" si="97"/>
        <v/>
      </c>
      <c r="AP697" s="8" t="str">
        <f>IF(C697="","",IF(AND(OR([1]Consulta!$C$29="",A697=[1]Consulta!$C$29),OR([1]Consulta!$E$29="",B697=[1]Consulta!$E$29),OR([1]Consulta!$G$29="",D697=[1]Consulta!$G$29,R697=[1]Consulta!$G$29)),ROW()-1,""))</f>
        <v/>
      </c>
    </row>
    <row r="698" spans="1:42" ht="1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 t="str">
        <f t="shared" si="90"/>
        <v/>
      </c>
      <c r="AG698" s="7" t="str">
        <f t="shared" si="98"/>
        <v/>
      </c>
      <c r="AH698" s="7" t="str">
        <f t="shared" si="91"/>
        <v/>
      </c>
      <c r="AI698" s="7" t="str">
        <f t="shared" si="92"/>
        <v/>
      </c>
      <c r="AJ698" s="7" t="str">
        <f t="shared" si="93"/>
        <v/>
      </c>
      <c r="AK698" s="7" t="str">
        <f t="shared" si="94"/>
        <v/>
      </c>
      <c r="AL698" s="7" t="str">
        <f t="shared" si="95"/>
        <v/>
      </c>
      <c r="AM698" s="7" t="str">
        <f t="shared" si="96"/>
        <v/>
      </c>
      <c r="AN698" s="8" t="str">
        <f>IF(C698="","",COUNTIF($C$2:C698,C698))</f>
        <v/>
      </c>
      <c r="AO698" s="8" t="str">
        <f t="shared" si="97"/>
        <v/>
      </c>
      <c r="AP698" s="8" t="str">
        <f>IF(C698="","",IF(AND(OR([1]Consulta!$C$29="",A698=[1]Consulta!$C$29),OR([1]Consulta!$E$29="",B698=[1]Consulta!$E$29),OR([1]Consulta!$G$29="",D698=[1]Consulta!$G$29,R698=[1]Consulta!$G$29)),ROW()-1,""))</f>
        <v/>
      </c>
    </row>
    <row r="699" spans="1:42" ht="1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 t="str">
        <f t="shared" si="90"/>
        <v/>
      </c>
      <c r="AG699" s="7" t="str">
        <f t="shared" si="98"/>
        <v/>
      </c>
      <c r="AH699" s="7" t="str">
        <f t="shared" si="91"/>
        <v/>
      </c>
      <c r="AI699" s="7" t="str">
        <f t="shared" si="92"/>
        <v/>
      </c>
      <c r="AJ699" s="7" t="str">
        <f t="shared" si="93"/>
        <v/>
      </c>
      <c r="AK699" s="7" t="str">
        <f t="shared" si="94"/>
        <v/>
      </c>
      <c r="AL699" s="7" t="str">
        <f t="shared" si="95"/>
        <v/>
      </c>
      <c r="AM699" s="7" t="str">
        <f t="shared" si="96"/>
        <v/>
      </c>
      <c r="AN699" s="8" t="str">
        <f>IF(C699="","",COUNTIF($C$2:C699,C699))</f>
        <v/>
      </c>
      <c r="AO699" s="8" t="str">
        <f t="shared" si="97"/>
        <v/>
      </c>
      <c r="AP699" s="8" t="str">
        <f>IF(C699="","",IF(AND(OR([1]Consulta!$C$29="",A699=[1]Consulta!$C$29),OR([1]Consulta!$E$29="",B699=[1]Consulta!$E$29),OR([1]Consulta!$G$29="",D699=[1]Consulta!$G$29,R699=[1]Consulta!$G$29)),ROW()-1,""))</f>
        <v/>
      </c>
    </row>
    <row r="700" spans="1:42" ht="1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 t="str">
        <f t="shared" si="90"/>
        <v/>
      </c>
      <c r="AG700" s="7" t="str">
        <f t="shared" si="98"/>
        <v/>
      </c>
      <c r="AH700" s="7" t="str">
        <f t="shared" si="91"/>
        <v/>
      </c>
      <c r="AI700" s="7" t="str">
        <f t="shared" si="92"/>
        <v/>
      </c>
      <c r="AJ700" s="7" t="str">
        <f t="shared" si="93"/>
        <v/>
      </c>
      <c r="AK700" s="7" t="str">
        <f t="shared" si="94"/>
        <v/>
      </c>
      <c r="AL700" s="7" t="str">
        <f t="shared" si="95"/>
        <v/>
      </c>
      <c r="AM700" s="7" t="str">
        <f t="shared" si="96"/>
        <v/>
      </c>
      <c r="AN700" s="8" t="str">
        <f>IF(C700="","",COUNTIF($C$2:C700,C700))</f>
        <v/>
      </c>
      <c r="AO700" s="8" t="str">
        <f t="shared" si="97"/>
        <v/>
      </c>
      <c r="AP700" s="8" t="str">
        <f>IF(C700="","",IF(AND(OR([1]Consulta!$C$29="",A700=[1]Consulta!$C$29),OR([1]Consulta!$E$29="",B700=[1]Consulta!$E$29),OR([1]Consulta!$G$29="",D700=[1]Consulta!$G$29,R700=[1]Consulta!$G$29)),ROW()-1,""))</f>
        <v/>
      </c>
    </row>
    <row r="701" spans="1:42" ht="1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 t="str">
        <f t="shared" si="90"/>
        <v/>
      </c>
      <c r="AG701" s="7" t="str">
        <f t="shared" si="98"/>
        <v/>
      </c>
      <c r="AH701" s="7" t="str">
        <f t="shared" si="91"/>
        <v/>
      </c>
      <c r="AI701" s="7" t="str">
        <f t="shared" si="92"/>
        <v/>
      </c>
      <c r="AJ701" s="7" t="str">
        <f t="shared" si="93"/>
        <v/>
      </c>
      <c r="AK701" s="7" t="str">
        <f t="shared" si="94"/>
        <v/>
      </c>
      <c r="AL701" s="7" t="str">
        <f t="shared" si="95"/>
        <v/>
      </c>
      <c r="AM701" s="7" t="str">
        <f t="shared" si="96"/>
        <v/>
      </c>
      <c r="AN701" s="8" t="str">
        <f>IF(C701="","",COUNTIF($C$2:C701,C701))</f>
        <v/>
      </c>
      <c r="AO701" s="8" t="str">
        <f t="shared" si="97"/>
        <v/>
      </c>
      <c r="AP701" s="8" t="str">
        <f>IF(C701="","",IF(AND(OR([1]Consulta!$C$29="",A701=[1]Consulta!$C$29),OR([1]Consulta!$E$29="",B701=[1]Consulta!$E$29),OR([1]Consulta!$G$29="",D701=[1]Consulta!$G$29,R701=[1]Consulta!$G$29)),ROW()-1,""))</f>
        <v/>
      </c>
    </row>
    <row r="702" spans="1:42" ht="1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 t="str">
        <f t="shared" si="90"/>
        <v/>
      </c>
      <c r="AG702" s="7" t="str">
        <f t="shared" si="98"/>
        <v/>
      </c>
      <c r="AH702" s="7" t="str">
        <f t="shared" si="91"/>
        <v/>
      </c>
      <c r="AI702" s="7" t="str">
        <f t="shared" si="92"/>
        <v/>
      </c>
      <c r="AJ702" s="7" t="str">
        <f t="shared" si="93"/>
        <v/>
      </c>
      <c r="AK702" s="7" t="str">
        <f t="shared" si="94"/>
        <v/>
      </c>
      <c r="AL702" s="7" t="str">
        <f t="shared" si="95"/>
        <v/>
      </c>
      <c r="AM702" s="7" t="str">
        <f t="shared" si="96"/>
        <v/>
      </c>
      <c r="AN702" s="8" t="str">
        <f>IF(C702="","",COUNTIF($C$2:C702,C702))</f>
        <v/>
      </c>
      <c r="AO702" s="8" t="str">
        <f t="shared" si="97"/>
        <v/>
      </c>
      <c r="AP702" s="8" t="str">
        <f>IF(C702="","",IF(AND(OR([1]Consulta!$C$29="",A702=[1]Consulta!$C$29),OR([1]Consulta!$E$29="",B702=[1]Consulta!$E$29),OR([1]Consulta!$G$29="",D702=[1]Consulta!$G$29,R702=[1]Consulta!$G$29)),ROW()-1,""))</f>
        <v/>
      </c>
    </row>
    <row r="703" spans="1:42" ht="1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 t="str">
        <f t="shared" si="90"/>
        <v/>
      </c>
      <c r="AG703" s="7" t="str">
        <f t="shared" si="98"/>
        <v/>
      </c>
      <c r="AH703" s="7" t="str">
        <f t="shared" si="91"/>
        <v/>
      </c>
      <c r="AI703" s="7" t="str">
        <f t="shared" si="92"/>
        <v/>
      </c>
      <c r="AJ703" s="7" t="str">
        <f t="shared" si="93"/>
        <v/>
      </c>
      <c r="AK703" s="7" t="str">
        <f t="shared" si="94"/>
        <v/>
      </c>
      <c r="AL703" s="7" t="str">
        <f t="shared" si="95"/>
        <v/>
      </c>
      <c r="AM703" s="7" t="str">
        <f t="shared" si="96"/>
        <v/>
      </c>
      <c r="AN703" s="8" t="str">
        <f>IF(C703="","",COUNTIF($C$2:C703,C703))</f>
        <v/>
      </c>
      <c r="AO703" s="8" t="str">
        <f t="shared" si="97"/>
        <v/>
      </c>
      <c r="AP703" s="8" t="str">
        <f>IF(C703="","",IF(AND(OR([1]Consulta!$C$29="",A703=[1]Consulta!$C$29),OR([1]Consulta!$E$29="",B703=[1]Consulta!$E$29),OR([1]Consulta!$G$29="",D703=[1]Consulta!$G$29,R703=[1]Consulta!$G$29)),ROW()-1,""))</f>
        <v/>
      </c>
    </row>
    <row r="704" spans="1:42" ht="1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 t="str">
        <f t="shared" si="90"/>
        <v/>
      </c>
      <c r="AG704" s="7" t="str">
        <f t="shared" si="98"/>
        <v/>
      </c>
      <c r="AH704" s="7" t="str">
        <f t="shared" si="91"/>
        <v/>
      </c>
      <c r="AI704" s="7" t="str">
        <f t="shared" si="92"/>
        <v/>
      </c>
      <c r="AJ704" s="7" t="str">
        <f t="shared" si="93"/>
        <v/>
      </c>
      <c r="AK704" s="7" t="str">
        <f t="shared" si="94"/>
        <v/>
      </c>
      <c r="AL704" s="7" t="str">
        <f t="shared" si="95"/>
        <v/>
      </c>
      <c r="AM704" s="7" t="str">
        <f t="shared" si="96"/>
        <v/>
      </c>
      <c r="AN704" s="8" t="str">
        <f>IF(C704="","",COUNTIF($C$2:C704,C704))</f>
        <v/>
      </c>
      <c r="AO704" s="8" t="str">
        <f t="shared" si="97"/>
        <v/>
      </c>
      <c r="AP704" s="8" t="str">
        <f>IF(C704="","",IF(AND(OR([1]Consulta!$C$29="",A704=[1]Consulta!$C$29),OR([1]Consulta!$E$29="",B704=[1]Consulta!$E$29),OR([1]Consulta!$G$29="",D704=[1]Consulta!$G$29,R704=[1]Consulta!$G$29)),ROW()-1,""))</f>
        <v/>
      </c>
    </row>
    <row r="705" spans="1:42" ht="1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 t="str">
        <f t="shared" si="90"/>
        <v/>
      </c>
      <c r="AG705" s="7" t="str">
        <f t="shared" si="98"/>
        <v/>
      </c>
      <c r="AH705" s="7" t="str">
        <f t="shared" si="91"/>
        <v/>
      </c>
      <c r="AI705" s="7" t="str">
        <f t="shared" si="92"/>
        <v/>
      </c>
      <c r="AJ705" s="7" t="str">
        <f t="shared" si="93"/>
        <v/>
      </c>
      <c r="AK705" s="7" t="str">
        <f t="shared" si="94"/>
        <v/>
      </c>
      <c r="AL705" s="7" t="str">
        <f t="shared" si="95"/>
        <v/>
      </c>
      <c r="AM705" s="7" t="str">
        <f t="shared" si="96"/>
        <v/>
      </c>
      <c r="AN705" s="8" t="str">
        <f>IF(C705="","",COUNTIF($C$2:C705,C705))</f>
        <v/>
      </c>
      <c r="AO705" s="8" t="str">
        <f t="shared" si="97"/>
        <v/>
      </c>
      <c r="AP705" s="8" t="str">
        <f>IF(C705="","",IF(AND(OR([1]Consulta!$C$29="",A705=[1]Consulta!$C$29),OR([1]Consulta!$E$29="",B705=[1]Consulta!$E$29),OR([1]Consulta!$G$29="",D705=[1]Consulta!$G$29,R705=[1]Consulta!$G$29)),ROW()-1,""))</f>
        <v/>
      </c>
    </row>
    <row r="706" spans="1:42" ht="1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 t="str">
        <f t="shared" ref="AF706:AF769" si="99">IF(C706="","",IF(AND(ISNUMBER(K706),ISNUMBER(L706)),K706-L706,""))</f>
        <v/>
      </c>
      <c r="AG706" s="7" t="str">
        <f t="shared" si="98"/>
        <v/>
      </c>
      <c r="AH706" s="7" t="str">
        <f t="shared" ref="AH706:AH769" si="100">IF(C706="","",IF(AND(ISNUMBER(Y706),ISNUMBER(Z706)),Y706-Z706,""))</f>
        <v/>
      </c>
      <c r="AI706" s="7" t="str">
        <f t="shared" ref="AI706:AI769" si="101">IF(C706="","",IF(AH706="","N/A",IF(AH706&lt;0,"ALARMA","OK")))</f>
        <v/>
      </c>
      <c r="AJ706" s="7" t="str">
        <f t="shared" ref="AJ706:AJ769" si="102">IF(C706="","",IF(ISNUMBER(M706),IF(M706&gt;0,"CON ERRORES","OK"),"N/A"))</f>
        <v/>
      </c>
      <c r="AK706" s="7" t="str">
        <f t="shared" ref="AK706:AK769" si="103">IF(C706="","",IF(ISNUMBER(AA706),IF(AA706&gt;0,"CON ERRORES","OK"),"N/A"))</f>
        <v/>
      </c>
      <c r="AL706" s="7" t="str">
        <f t="shared" ref="AL706:AL769" si="104">IF(C706="","",IF(OR(AG706="ALARMA",AI706="ALARMA",AJ706="CON ERRORES",AK706="CON ERRORES"),"REVISAR","OK"))</f>
        <v/>
      </c>
      <c r="AM706" s="7" t="str">
        <f t="shared" ref="AM706:AM769" si="105">IF(C706="","",IF(ISNUMBER(Q706),Q706,IF(ISNUMBER(AE706),AE706,"Ver detalle")))</f>
        <v/>
      </c>
      <c r="AN706" s="8" t="str">
        <f>IF(C706="","",COUNTIF($C$2:C706,C706))</f>
        <v/>
      </c>
      <c r="AO706" s="8" t="str">
        <f t="shared" ref="AO706:AO769" si="106">IF(C706="","",C706&amp;"|"&amp;AN706)</f>
        <v/>
      </c>
      <c r="AP706" s="8" t="str">
        <f>IF(C706="","",IF(AND(OR([1]Consulta!$C$29="",A706=[1]Consulta!$C$29),OR([1]Consulta!$E$29="",B706=[1]Consulta!$E$29),OR([1]Consulta!$G$29="",D706=[1]Consulta!$G$29,R706=[1]Consulta!$G$29)),ROW()-1,""))</f>
        <v/>
      </c>
    </row>
    <row r="707" spans="1:42" ht="1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 t="str">
        <f t="shared" si="99"/>
        <v/>
      </c>
      <c r="AG707" s="7" t="str">
        <f t="shared" ref="AG707:AG770" si="107">IF(C707="","",IF(AF707="","N/A",IF(AF707&lt;0,"ALARMA","OK")))</f>
        <v/>
      </c>
      <c r="AH707" s="7" t="str">
        <f t="shared" si="100"/>
        <v/>
      </c>
      <c r="AI707" s="7" t="str">
        <f t="shared" si="101"/>
        <v/>
      </c>
      <c r="AJ707" s="7" t="str">
        <f t="shared" si="102"/>
        <v/>
      </c>
      <c r="AK707" s="7" t="str">
        <f t="shared" si="103"/>
        <v/>
      </c>
      <c r="AL707" s="7" t="str">
        <f t="shared" si="104"/>
        <v/>
      </c>
      <c r="AM707" s="7" t="str">
        <f t="shared" si="105"/>
        <v/>
      </c>
      <c r="AN707" s="8" t="str">
        <f>IF(C707="","",COUNTIF($C$2:C707,C707))</f>
        <v/>
      </c>
      <c r="AO707" s="8" t="str">
        <f t="shared" si="106"/>
        <v/>
      </c>
      <c r="AP707" s="8" t="str">
        <f>IF(C707="","",IF(AND(OR([1]Consulta!$C$29="",A707=[1]Consulta!$C$29),OR([1]Consulta!$E$29="",B707=[1]Consulta!$E$29),OR([1]Consulta!$G$29="",D707=[1]Consulta!$G$29,R707=[1]Consulta!$G$29)),ROW()-1,""))</f>
        <v/>
      </c>
    </row>
    <row r="708" spans="1:42" ht="1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 t="str">
        <f t="shared" si="99"/>
        <v/>
      </c>
      <c r="AG708" s="7" t="str">
        <f t="shared" si="107"/>
        <v/>
      </c>
      <c r="AH708" s="7" t="str">
        <f t="shared" si="100"/>
        <v/>
      </c>
      <c r="AI708" s="7" t="str">
        <f t="shared" si="101"/>
        <v/>
      </c>
      <c r="AJ708" s="7" t="str">
        <f t="shared" si="102"/>
        <v/>
      </c>
      <c r="AK708" s="7" t="str">
        <f t="shared" si="103"/>
        <v/>
      </c>
      <c r="AL708" s="7" t="str">
        <f t="shared" si="104"/>
        <v/>
      </c>
      <c r="AM708" s="7" t="str">
        <f t="shared" si="105"/>
        <v/>
      </c>
      <c r="AN708" s="8" t="str">
        <f>IF(C708="","",COUNTIF($C$2:C708,C708))</f>
        <v/>
      </c>
      <c r="AO708" s="8" t="str">
        <f t="shared" si="106"/>
        <v/>
      </c>
      <c r="AP708" s="8" t="str">
        <f>IF(C708="","",IF(AND(OR([1]Consulta!$C$29="",A708=[1]Consulta!$C$29),OR([1]Consulta!$E$29="",B708=[1]Consulta!$E$29),OR([1]Consulta!$G$29="",D708=[1]Consulta!$G$29,R708=[1]Consulta!$G$29)),ROW()-1,""))</f>
        <v/>
      </c>
    </row>
    <row r="709" spans="1:42" ht="1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 t="str">
        <f t="shared" si="99"/>
        <v/>
      </c>
      <c r="AG709" s="7" t="str">
        <f t="shared" si="107"/>
        <v/>
      </c>
      <c r="AH709" s="7" t="str">
        <f t="shared" si="100"/>
        <v/>
      </c>
      <c r="AI709" s="7" t="str">
        <f t="shared" si="101"/>
        <v/>
      </c>
      <c r="AJ709" s="7" t="str">
        <f t="shared" si="102"/>
        <v/>
      </c>
      <c r="AK709" s="7" t="str">
        <f t="shared" si="103"/>
        <v/>
      </c>
      <c r="AL709" s="7" t="str">
        <f t="shared" si="104"/>
        <v/>
      </c>
      <c r="AM709" s="7" t="str">
        <f t="shared" si="105"/>
        <v/>
      </c>
      <c r="AN709" s="8" t="str">
        <f>IF(C709="","",COUNTIF($C$2:C709,C709))</f>
        <v/>
      </c>
      <c r="AO709" s="8" t="str">
        <f t="shared" si="106"/>
        <v/>
      </c>
      <c r="AP709" s="8" t="str">
        <f>IF(C709="","",IF(AND(OR([1]Consulta!$C$29="",A709=[1]Consulta!$C$29),OR([1]Consulta!$E$29="",B709=[1]Consulta!$E$29),OR([1]Consulta!$G$29="",D709=[1]Consulta!$G$29,R709=[1]Consulta!$G$29)),ROW()-1,""))</f>
        <v/>
      </c>
    </row>
    <row r="710" spans="1:42" ht="1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 t="str">
        <f t="shared" si="99"/>
        <v/>
      </c>
      <c r="AG710" s="7" t="str">
        <f t="shared" si="107"/>
        <v/>
      </c>
      <c r="AH710" s="7" t="str">
        <f t="shared" si="100"/>
        <v/>
      </c>
      <c r="AI710" s="7" t="str">
        <f t="shared" si="101"/>
        <v/>
      </c>
      <c r="AJ710" s="7" t="str">
        <f t="shared" si="102"/>
        <v/>
      </c>
      <c r="AK710" s="7" t="str">
        <f t="shared" si="103"/>
        <v/>
      </c>
      <c r="AL710" s="7" t="str">
        <f t="shared" si="104"/>
        <v/>
      </c>
      <c r="AM710" s="7" t="str">
        <f t="shared" si="105"/>
        <v/>
      </c>
      <c r="AN710" s="8" t="str">
        <f>IF(C710="","",COUNTIF($C$2:C710,C710))</f>
        <v/>
      </c>
      <c r="AO710" s="8" t="str">
        <f t="shared" si="106"/>
        <v/>
      </c>
      <c r="AP710" s="8" t="str">
        <f>IF(C710="","",IF(AND(OR([1]Consulta!$C$29="",A710=[1]Consulta!$C$29),OR([1]Consulta!$E$29="",B710=[1]Consulta!$E$29),OR([1]Consulta!$G$29="",D710=[1]Consulta!$G$29,R710=[1]Consulta!$G$29)),ROW()-1,""))</f>
        <v/>
      </c>
    </row>
    <row r="711" spans="1:42" ht="1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 t="str">
        <f t="shared" si="99"/>
        <v/>
      </c>
      <c r="AG711" s="7" t="str">
        <f t="shared" si="107"/>
        <v/>
      </c>
      <c r="AH711" s="7" t="str">
        <f t="shared" si="100"/>
        <v/>
      </c>
      <c r="AI711" s="7" t="str">
        <f t="shared" si="101"/>
        <v/>
      </c>
      <c r="AJ711" s="7" t="str">
        <f t="shared" si="102"/>
        <v/>
      </c>
      <c r="AK711" s="7" t="str">
        <f t="shared" si="103"/>
        <v/>
      </c>
      <c r="AL711" s="7" t="str">
        <f t="shared" si="104"/>
        <v/>
      </c>
      <c r="AM711" s="7" t="str">
        <f t="shared" si="105"/>
        <v/>
      </c>
      <c r="AN711" s="8" t="str">
        <f>IF(C711="","",COUNTIF($C$2:C711,C711))</f>
        <v/>
      </c>
      <c r="AO711" s="8" t="str">
        <f t="shared" si="106"/>
        <v/>
      </c>
      <c r="AP711" s="8" t="str">
        <f>IF(C711="","",IF(AND(OR([1]Consulta!$C$29="",A711=[1]Consulta!$C$29),OR([1]Consulta!$E$29="",B711=[1]Consulta!$E$29),OR([1]Consulta!$G$29="",D711=[1]Consulta!$G$29,R711=[1]Consulta!$G$29)),ROW()-1,""))</f>
        <v/>
      </c>
    </row>
    <row r="712" spans="1:42" ht="1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 t="str">
        <f t="shared" si="99"/>
        <v/>
      </c>
      <c r="AG712" s="7" t="str">
        <f t="shared" si="107"/>
        <v/>
      </c>
      <c r="AH712" s="7" t="str">
        <f t="shared" si="100"/>
        <v/>
      </c>
      <c r="AI712" s="7" t="str">
        <f t="shared" si="101"/>
        <v/>
      </c>
      <c r="AJ712" s="7" t="str">
        <f t="shared" si="102"/>
        <v/>
      </c>
      <c r="AK712" s="7" t="str">
        <f t="shared" si="103"/>
        <v/>
      </c>
      <c r="AL712" s="7" t="str">
        <f t="shared" si="104"/>
        <v/>
      </c>
      <c r="AM712" s="7" t="str">
        <f t="shared" si="105"/>
        <v/>
      </c>
      <c r="AN712" s="8" t="str">
        <f>IF(C712="","",COUNTIF($C$2:C712,C712))</f>
        <v/>
      </c>
      <c r="AO712" s="8" t="str">
        <f t="shared" si="106"/>
        <v/>
      </c>
      <c r="AP712" s="8" t="str">
        <f>IF(C712="","",IF(AND(OR([1]Consulta!$C$29="",A712=[1]Consulta!$C$29),OR([1]Consulta!$E$29="",B712=[1]Consulta!$E$29),OR([1]Consulta!$G$29="",D712=[1]Consulta!$G$29,R712=[1]Consulta!$G$29)),ROW()-1,""))</f>
        <v/>
      </c>
    </row>
    <row r="713" spans="1:42" ht="1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 t="str">
        <f t="shared" si="99"/>
        <v/>
      </c>
      <c r="AG713" s="7" t="str">
        <f t="shared" si="107"/>
        <v/>
      </c>
      <c r="AH713" s="7" t="str">
        <f t="shared" si="100"/>
        <v/>
      </c>
      <c r="AI713" s="7" t="str">
        <f t="shared" si="101"/>
        <v/>
      </c>
      <c r="AJ713" s="7" t="str">
        <f t="shared" si="102"/>
        <v/>
      </c>
      <c r="AK713" s="7" t="str">
        <f t="shared" si="103"/>
        <v/>
      </c>
      <c r="AL713" s="7" t="str">
        <f t="shared" si="104"/>
        <v/>
      </c>
      <c r="AM713" s="7" t="str">
        <f t="shared" si="105"/>
        <v/>
      </c>
      <c r="AN713" s="8" t="str">
        <f>IF(C713="","",COUNTIF($C$2:C713,C713))</f>
        <v/>
      </c>
      <c r="AO713" s="8" t="str">
        <f t="shared" si="106"/>
        <v/>
      </c>
      <c r="AP713" s="8" t="str">
        <f>IF(C713="","",IF(AND(OR([1]Consulta!$C$29="",A713=[1]Consulta!$C$29),OR([1]Consulta!$E$29="",B713=[1]Consulta!$E$29),OR([1]Consulta!$G$29="",D713=[1]Consulta!$G$29,R713=[1]Consulta!$G$29)),ROW()-1,""))</f>
        <v/>
      </c>
    </row>
    <row r="714" spans="1:42" ht="1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 t="str">
        <f t="shared" si="99"/>
        <v/>
      </c>
      <c r="AG714" s="7" t="str">
        <f t="shared" si="107"/>
        <v/>
      </c>
      <c r="AH714" s="7" t="str">
        <f t="shared" si="100"/>
        <v/>
      </c>
      <c r="AI714" s="7" t="str">
        <f t="shared" si="101"/>
        <v/>
      </c>
      <c r="AJ714" s="7" t="str">
        <f t="shared" si="102"/>
        <v/>
      </c>
      <c r="AK714" s="7" t="str">
        <f t="shared" si="103"/>
        <v/>
      </c>
      <c r="AL714" s="7" t="str">
        <f t="shared" si="104"/>
        <v/>
      </c>
      <c r="AM714" s="7" t="str">
        <f t="shared" si="105"/>
        <v/>
      </c>
      <c r="AN714" s="8" t="str">
        <f>IF(C714="","",COUNTIF($C$2:C714,C714))</f>
        <v/>
      </c>
      <c r="AO714" s="8" t="str">
        <f t="shared" si="106"/>
        <v/>
      </c>
      <c r="AP714" s="8" t="str">
        <f>IF(C714="","",IF(AND(OR([1]Consulta!$C$29="",A714=[1]Consulta!$C$29),OR([1]Consulta!$E$29="",B714=[1]Consulta!$E$29),OR([1]Consulta!$G$29="",D714=[1]Consulta!$G$29,R714=[1]Consulta!$G$29)),ROW()-1,""))</f>
        <v/>
      </c>
    </row>
    <row r="715" spans="1:42" ht="1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 t="str">
        <f t="shared" si="99"/>
        <v/>
      </c>
      <c r="AG715" s="7" t="str">
        <f t="shared" si="107"/>
        <v/>
      </c>
      <c r="AH715" s="7" t="str">
        <f t="shared" si="100"/>
        <v/>
      </c>
      <c r="AI715" s="7" t="str">
        <f t="shared" si="101"/>
        <v/>
      </c>
      <c r="AJ715" s="7" t="str">
        <f t="shared" si="102"/>
        <v/>
      </c>
      <c r="AK715" s="7" t="str">
        <f t="shared" si="103"/>
        <v/>
      </c>
      <c r="AL715" s="7" t="str">
        <f t="shared" si="104"/>
        <v/>
      </c>
      <c r="AM715" s="7" t="str">
        <f t="shared" si="105"/>
        <v/>
      </c>
      <c r="AN715" s="8" t="str">
        <f>IF(C715="","",COUNTIF($C$2:C715,C715))</f>
        <v/>
      </c>
      <c r="AO715" s="8" t="str">
        <f t="shared" si="106"/>
        <v/>
      </c>
      <c r="AP715" s="8" t="str">
        <f>IF(C715="","",IF(AND(OR([1]Consulta!$C$29="",A715=[1]Consulta!$C$29),OR([1]Consulta!$E$29="",B715=[1]Consulta!$E$29),OR([1]Consulta!$G$29="",D715=[1]Consulta!$G$29,R715=[1]Consulta!$G$29)),ROW()-1,""))</f>
        <v/>
      </c>
    </row>
    <row r="716" spans="1:42" ht="1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 t="str">
        <f t="shared" si="99"/>
        <v/>
      </c>
      <c r="AG716" s="7" t="str">
        <f t="shared" si="107"/>
        <v/>
      </c>
      <c r="AH716" s="7" t="str">
        <f t="shared" si="100"/>
        <v/>
      </c>
      <c r="AI716" s="7" t="str">
        <f t="shared" si="101"/>
        <v/>
      </c>
      <c r="AJ716" s="7" t="str">
        <f t="shared" si="102"/>
        <v/>
      </c>
      <c r="AK716" s="7" t="str">
        <f t="shared" si="103"/>
        <v/>
      </c>
      <c r="AL716" s="7" t="str">
        <f t="shared" si="104"/>
        <v/>
      </c>
      <c r="AM716" s="7" t="str">
        <f t="shared" si="105"/>
        <v/>
      </c>
      <c r="AN716" s="8" t="str">
        <f>IF(C716="","",COUNTIF($C$2:C716,C716))</f>
        <v/>
      </c>
      <c r="AO716" s="8" t="str">
        <f t="shared" si="106"/>
        <v/>
      </c>
      <c r="AP716" s="8" t="str">
        <f>IF(C716="","",IF(AND(OR([1]Consulta!$C$29="",A716=[1]Consulta!$C$29),OR([1]Consulta!$E$29="",B716=[1]Consulta!$E$29),OR([1]Consulta!$G$29="",D716=[1]Consulta!$G$29,R716=[1]Consulta!$G$29)),ROW()-1,""))</f>
        <v/>
      </c>
    </row>
    <row r="717" spans="1:42" ht="1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 t="str">
        <f t="shared" si="99"/>
        <v/>
      </c>
      <c r="AG717" s="7" t="str">
        <f t="shared" si="107"/>
        <v/>
      </c>
      <c r="AH717" s="7" t="str">
        <f t="shared" si="100"/>
        <v/>
      </c>
      <c r="AI717" s="7" t="str">
        <f t="shared" si="101"/>
        <v/>
      </c>
      <c r="AJ717" s="7" t="str">
        <f t="shared" si="102"/>
        <v/>
      </c>
      <c r="AK717" s="7" t="str">
        <f t="shared" si="103"/>
        <v/>
      </c>
      <c r="AL717" s="7" t="str">
        <f t="shared" si="104"/>
        <v/>
      </c>
      <c r="AM717" s="7" t="str">
        <f t="shared" si="105"/>
        <v/>
      </c>
      <c r="AN717" s="8" t="str">
        <f>IF(C717="","",COUNTIF($C$2:C717,C717))</f>
        <v/>
      </c>
      <c r="AO717" s="8" t="str">
        <f t="shared" si="106"/>
        <v/>
      </c>
      <c r="AP717" s="8" t="str">
        <f>IF(C717="","",IF(AND(OR([1]Consulta!$C$29="",A717=[1]Consulta!$C$29),OR([1]Consulta!$E$29="",B717=[1]Consulta!$E$29),OR([1]Consulta!$G$29="",D717=[1]Consulta!$G$29,R717=[1]Consulta!$G$29)),ROW()-1,""))</f>
        <v/>
      </c>
    </row>
    <row r="718" spans="1:42" ht="1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 t="str">
        <f t="shared" si="99"/>
        <v/>
      </c>
      <c r="AG718" s="7" t="str">
        <f t="shared" si="107"/>
        <v/>
      </c>
      <c r="AH718" s="7" t="str">
        <f t="shared" si="100"/>
        <v/>
      </c>
      <c r="AI718" s="7" t="str">
        <f t="shared" si="101"/>
        <v/>
      </c>
      <c r="AJ718" s="7" t="str">
        <f t="shared" si="102"/>
        <v/>
      </c>
      <c r="AK718" s="7" t="str">
        <f t="shared" si="103"/>
        <v/>
      </c>
      <c r="AL718" s="7" t="str">
        <f t="shared" si="104"/>
        <v/>
      </c>
      <c r="AM718" s="7" t="str">
        <f t="shared" si="105"/>
        <v/>
      </c>
      <c r="AN718" s="8" t="str">
        <f>IF(C718="","",COUNTIF($C$2:C718,C718))</f>
        <v/>
      </c>
      <c r="AO718" s="8" t="str">
        <f t="shared" si="106"/>
        <v/>
      </c>
      <c r="AP718" s="8" t="str">
        <f>IF(C718="","",IF(AND(OR([1]Consulta!$C$29="",A718=[1]Consulta!$C$29),OR([1]Consulta!$E$29="",B718=[1]Consulta!$E$29),OR([1]Consulta!$G$29="",D718=[1]Consulta!$G$29,R718=[1]Consulta!$G$29)),ROW()-1,""))</f>
        <v/>
      </c>
    </row>
    <row r="719" spans="1:42" ht="1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 t="str">
        <f t="shared" si="99"/>
        <v/>
      </c>
      <c r="AG719" s="7" t="str">
        <f t="shared" si="107"/>
        <v/>
      </c>
      <c r="AH719" s="7" t="str">
        <f t="shared" si="100"/>
        <v/>
      </c>
      <c r="AI719" s="7" t="str">
        <f t="shared" si="101"/>
        <v/>
      </c>
      <c r="AJ719" s="7" t="str">
        <f t="shared" si="102"/>
        <v/>
      </c>
      <c r="AK719" s="7" t="str">
        <f t="shared" si="103"/>
        <v/>
      </c>
      <c r="AL719" s="7" t="str">
        <f t="shared" si="104"/>
        <v/>
      </c>
      <c r="AM719" s="7" t="str">
        <f t="shared" si="105"/>
        <v/>
      </c>
      <c r="AN719" s="8" t="str">
        <f>IF(C719="","",COUNTIF($C$2:C719,C719))</f>
        <v/>
      </c>
      <c r="AO719" s="8" t="str">
        <f t="shared" si="106"/>
        <v/>
      </c>
      <c r="AP719" s="8" t="str">
        <f>IF(C719="","",IF(AND(OR([1]Consulta!$C$29="",A719=[1]Consulta!$C$29),OR([1]Consulta!$E$29="",B719=[1]Consulta!$E$29),OR([1]Consulta!$G$29="",D719=[1]Consulta!$G$29,R719=[1]Consulta!$G$29)),ROW()-1,""))</f>
        <v/>
      </c>
    </row>
    <row r="720" spans="1:42" ht="1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 t="str">
        <f t="shared" si="99"/>
        <v/>
      </c>
      <c r="AG720" s="7" t="str">
        <f t="shared" si="107"/>
        <v/>
      </c>
      <c r="AH720" s="7" t="str">
        <f t="shared" si="100"/>
        <v/>
      </c>
      <c r="AI720" s="7" t="str">
        <f t="shared" si="101"/>
        <v/>
      </c>
      <c r="AJ720" s="7" t="str">
        <f t="shared" si="102"/>
        <v/>
      </c>
      <c r="AK720" s="7" t="str">
        <f t="shared" si="103"/>
        <v/>
      </c>
      <c r="AL720" s="7" t="str">
        <f t="shared" si="104"/>
        <v/>
      </c>
      <c r="AM720" s="7" t="str">
        <f t="shared" si="105"/>
        <v/>
      </c>
      <c r="AN720" s="8" t="str">
        <f>IF(C720="","",COUNTIF($C$2:C720,C720))</f>
        <v/>
      </c>
      <c r="AO720" s="8" t="str">
        <f t="shared" si="106"/>
        <v/>
      </c>
      <c r="AP720" s="8" t="str">
        <f>IF(C720="","",IF(AND(OR([1]Consulta!$C$29="",A720=[1]Consulta!$C$29),OR([1]Consulta!$E$29="",B720=[1]Consulta!$E$29),OR([1]Consulta!$G$29="",D720=[1]Consulta!$G$29,R720=[1]Consulta!$G$29)),ROW()-1,""))</f>
        <v/>
      </c>
    </row>
    <row r="721" spans="1:42" ht="1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 t="str">
        <f t="shared" si="99"/>
        <v/>
      </c>
      <c r="AG721" s="7" t="str">
        <f t="shared" si="107"/>
        <v/>
      </c>
      <c r="AH721" s="7" t="str">
        <f t="shared" si="100"/>
        <v/>
      </c>
      <c r="AI721" s="7" t="str">
        <f t="shared" si="101"/>
        <v/>
      </c>
      <c r="AJ721" s="7" t="str">
        <f t="shared" si="102"/>
        <v/>
      </c>
      <c r="AK721" s="7" t="str">
        <f t="shared" si="103"/>
        <v/>
      </c>
      <c r="AL721" s="7" t="str">
        <f t="shared" si="104"/>
        <v/>
      </c>
      <c r="AM721" s="7" t="str">
        <f t="shared" si="105"/>
        <v/>
      </c>
      <c r="AN721" s="8" t="str">
        <f>IF(C721="","",COUNTIF($C$2:C721,C721))</f>
        <v/>
      </c>
      <c r="AO721" s="8" t="str">
        <f t="shared" si="106"/>
        <v/>
      </c>
      <c r="AP721" s="8" t="str">
        <f>IF(C721="","",IF(AND(OR([1]Consulta!$C$29="",A721=[1]Consulta!$C$29),OR([1]Consulta!$E$29="",B721=[1]Consulta!$E$29),OR([1]Consulta!$G$29="",D721=[1]Consulta!$G$29,R721=[1]Consulta!$G$29)),ROW()-1,""))</f>
        <v/>
      </c>
    </row>
    <row r="722" spans="1:42" ht="1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 t="str">
        <f t="shared" si="99"/>
        <v/>
      </c>
      <c r="AG722" s="7" t="str">
        <f t="shared" si="107"/>
        <v/>
      </c>
      <c r="AH722" s="7" t="str">
        <f t="shared" si="100"/>
        <v/>
      </c>
      <c r="AI722" s="7" t="str">
        <f t="shared" si="101"/>
        <v/>
      </c>
      <c r="AJ722" s="7" t="str">
        <f t="shared" si="102"/>
        <v/>
      </c>
      <c r="AK722" s="7" t="str">
        <f t="shared" si="103"/>
        <v/>
      </c>
      <c r="AL722" s="7" t="str">
        <f t="shared" si="104"/>
        <v/>
      </c>
      <c r="AM722" s="7" t="str">
        <f t="shared" si="105"/>
        <v/>
      </c>
      <c r="AN722" s="8" t="str">
        <f>IF(C722="","",COUNTIF($C$2:C722,C722))</f>
        <v/>
      </c>
      <c r="AO722" s="8" t="str">
        <f t="shared" si="106"/>
        <v/>
      </c>
      <c r="AP722" s="8" t="str">
        <f>IF(C722="","",IF(AND(OR([1]Consulta!$C$29="",A722=[1]Consulta!$C$29),OR([1]Consulta!$E$29="",B722=[1]Consulta!$E$29),OR([1]Consulta!$G$29="",D722=[1]Consulta!$G$29,R722=[1]Consulta!$G$29)),ROW()-1,""))</f>
        <v/>
      </c>
    </row>
    <row r="723" spans="1:42" ht="1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 t="str">
        <f t="shared" si="99"/>
        <v/>
      </c>
      <c r="AG723" s="7" t="str">
        <f t="shared" si="107"/>
        <v/>
      </c>
      <c r="AH723" s="7" t="str">
        <f t="shared" si="100"/>
        <v/>
      </c>
      <c r="AI723" s="7" t="str">
        <f t="shared" si="101"/>
        <v/>
      </c>
      <c r="AJ723" s="7" t="str">
        <f t="shared" si="102"/>
        <v/>
      </c>
      <c r="AK723" s="7" t="str">
        <f t="shared" si="103"/>
        <v/>
      </c>
      <c r="AL723" s="7" t="str">
        <f t="shared" si="104"/>
        <v/>
      </c>
      <c r="AM723" s="7" t="str">
        <f t="shared" si="105"/>
        <v/>
      </c>
      <c r="AN723" s="8" t="str">
        <f>IF(C723="","",COUNTIF($C$2:C723,C723))</f>
        <v/>
      </c>
      <c r="AO723" s="8" t="str">
        <f t="shared" si="106"/>
        <v/>
      </c>
      <c r="AP723" s="8" t="str">
        <f>IF(C723="","",IF(AND(OR([1]Consulta!$C$29="",A723=[1]Consulta!$C$29),OR([1]Consulta!$E$29="",B723=[1]Consulta!$E$29),OR([1]Consulta!$G$29="",D723=[1]Consulta!$G$29,R723=[1]Consulta!$G$29)),ROW()-1,""))</f>
        <v/>
      </c>
    </row>
    <row r="724" spans="1:42" ht="1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 t="str">
        <f t="shared" si="99"/>
        <v/>
      </c>
      <c r="AG724" s="7" t="str">
        <f t="shared" si="107"/>
        <v/>
      </c>
      <c r="AH724" s="7" t="str">
        <f t="shared" si="100"/>
        <v/>
      </c>
      <c r="AI724" s="7" t="str">
        <f t="shared" si="101"/>
        <v/>
      </c>
      <c r="AJ724" s="7" t="str">
        <f t="shared" si="102"/>
        <v/>
      </c>
      <c r="AK724" s="7" t="str">
        <f t="shared" si="103"/>
        <v/>
      </c>
      <c r="AL724" s="7" t="str">
        <f t="shared" si="104"/>
        <v/>
      </c>
      <c r="AM724" s="7" t="str">
        <f t="shared" si="105"/>
        <v/>
      </c>
      <c r="AN724" s="8" t="str">
        <f>IF(C724="","",COUNTIF($C$2:C724,C724))</f>
        <v/>
      </c>
      <c r="AO724" s="8" t="str">
        <f t="shared" si="106"/>
        <v/>
      </c>
      <c r="AP724" s="8" t="str">
        <f>IF(C724="","",IF(AND(OR([1]Consulta!$C$29="",A724=[1]Consulta!$C$29),OR([1]Consulta!$E$29="",B724=[1]Consulta!$E$29),OR([1]Consulta!$G$29="",D724=[1]Consulta!$G$29,R724=[1]Consulta!$G$29)),ROW()-1,""))</f>
        <v/>
      </c>
    </row>
    <row r="725" spans="1:42" ht="1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 t="str">
        <f t="shared" si="99"/>
        <v/>
      </c>
      <c r="AG725" s="7" t="str">
        <f t="shared" si="107"/>
        <v/>
      </c>
      <c r="AH725" s="7" t="str">
        <f t="shared" si="100"/>
        <v/>
      </c>
      <c r="AI725" s="7" t="str">
        <f t="shared" si="101"/>
        <v/>
      </c>
      <c r="AJ725" s="7" t="str">
        <f t="shared" si="102"/>
        <v/>
      </c>
      <c r="AK725" s="7" t="str">
        <f t="shared" si="103"/>
        <v/>
      </c>
      <c r="AL725" s="7" t="str">
        <f t="shared" si="104"/>
        <v/>
      </c>
      <c r="AM725" s="7" t="str">
        <f t="shared" si="105"/>
        <v/>
      </c>
      <c r="AN725" s="8" t="str">
        <f>IF(C725="","",COUNTIF($C$2:C725,C725))</f>
        <v/>
      </c>
      <c r="AO725" s="8" t="str">
        <f t="shared" si="106"/>
        <v/>
      </c>
      <c r="AP725" s="8" t="str">
        <f>IF(C725="","",IF(AND(OR([1]Consulta!$C$29="",A725=[1]Consulta!$C$29),OR([1]Consulta!$E$29="",B725=[1]Consulta!$E$29),OR([1]Consulta!$G$29="",D725=[1]Consulta!$G$29,R725=[1]Consulta!$G$29)),ROW()-1,""))</f>
        <v/>
      </c>
    </row>
    <row r="726" spans="1:42" ht="1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 t="str">
        <f t="shared" si="99"/>
        <v/>
      </c>
      <c r="AG726" s="7" t="str">
        <f t="shared" si="107"/>
        <v/>
      </c>
      <c r="AH726" s="7" t="str">
        <f t="shared" si="100"/>
        <v/>
      </c>
      <c r="AI726" s="7" t="str">
        <f t="shared" si="101"/>
        <v/>
      </c>
      <c r="AJ726" s="7" t="str">
        <f t="shared" si="102"/>
        <v/>
      </c>
      <c r="AK726" s="7" t="str">
        <f t="shared" si="103"/>
        <v/>
      </c>
      <c r="AL726" s="7" t="str">
        <f t="shared" si="104"/>
        <v/>
      </c>
      <c r="AM726" s="7" t="str">
        <f t="shared" si="105"/>
        <v/>
      </c>
      <c r="AN726" s="8" t="str">
        <f>IF(C726="","",COUNTIF($C$2:C726,C726))</f>
        <v/>
      </c>
      <c r="AO726" s="8" t="str">
        <f t="shared" si="106"/>
        <v/>
      </c>
      <c r="AP726" s="8" t="str">
        <f>IF(C726="","",IF(AND(OR([1]Consulta!$C$29="",A726=[1]Consulta!$C$29),OR([1]Consulta!$E$29="",B726=[1]Consulta!$E$29),OR([1]Consulta!$G$29="",D726=[1]Consulta!$G$29,R726=[1]Consulta!$G$29)),ROW()-1,""))</f>
        <v/>
      </c>
    </row>
    <row r="727" spans="1:42" ht="1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 t="str">
        <f t="shared" si="99"/>
        <v/>
      </c>
      <c r="AG727" s="7" t="str">
        <f t="shared" si="107"/>
        <v/>
      </c>
      <c r="AH727" s="7" t="str">
        <f t="shared" si="100"/>
        <v/>
      </c>
      <c r="AI727" s="7" t="str">
        <f t="shared" si="101"/>
        <v/>
      </c>
      <c r="AJ727" s="7" t="str">
        <f t="shared" si="102"/>
        <v/>
      </c>
      <c r="AK727" s="7" t="str">
        <f t="shared" si="103"/>
        <v/>
      </c>
      <c r="AL727" s="7" t="str">
        <f t="shared" si="104"/>
        <v/>
      </c>
      <c r="AM727" s="7" t="str">
        <f t="shared" si="105"/>
        <v/>
      </c>
      <c r="AN727" s="8" t="str">
        <f>IF(C727="","",COUNTIF($C$2:C727,C727))</f>
        <v/>
      </c>
      <c r="AO727" s="8" t="str">
        <f t="shared" si="106"/>
        <v/>
      </c>
      <c r="AP727" s="8" t="str">
        <f>IF(C727="","",IF(AND(OR([1]Consulta!$C$29="",A727=[1]Consulta!$C$29),OR([1]Consulta!$E$29="",B727=[1]Consulta!$E$29),OR([1]Consulta!$G$29="",D727=[1]Consulta!$G$29,R727=[1]Consulta!$G$29)),ROW()-1,""))</f>
        <v/>
      </c>
    </row>
    <row r="728" spans="1:42" ht="1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 t="str">
        <f t="shared" si="99"/>
        <v/>
      </c>
      <c r="AG728" s="7" t="str">
        <f t="shared" si="107"/>
        <v/>
      </c>
      <c r="AH728" s="7" t="str">
        <f t="shared" si="100"/>
        <v/>
      </c>
      <c r="AI728" s="7" t="str">
        <f t="shared" si="101"/>
        <v/>
      </c>
      <c r="AJ728" s="7" t="str">
        <f t="shared" si="102"/>
        <v/>
      </c>
      <c r="AK728" s="7" t="str">
        <f t="shared" si="103"/>
        <v/>
      </c>
      <c r="AL728" s="7" t="str">
        <f t="shared" si="104"/>
        <v/>
      </c>
      <c r="AM728" s="7" t="str">
        <f t="shared" si="105"/>
        <v/>
      </c>
      <c r="AN728" s="8" t="str">
        <f>IF(C728="","",COUNTIF($C$2:C728,C728))</f>
        <v/>
      </c>
      <c r="AO728" s="8" t="str">
        <f t="shared" si="106"/>
        <v/>
      </c>
      <c r="AP728" s="8" t="str">
        <f>IF(C728="","",IF(AND(OR([1]Consulta!$C$29="",A728=[1]Consulta!$C$29),OR([1]Consulta!$E$29="",B728=[1]Consulta!$E$29),OR([1]Consulta!$G$29="",D728=[1]Consulta!$G$29,R728=[1]Consulta!$G$29)),ROW()-1,""))</f>
        <v/>
      </c>
    </row>
    <row r="729" spans="1:42" ht="1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 t="str">
        <f t="shared" si="99"/>
        <v/>
      </c>
      <c r="AG729" s="7" t="str">
        <f t="shared" si="107"/>
        <v/>
      </c>
      <c r="AH729" s="7" t="str">
        <f t="shared" si="100"/>
        <v/>
      </c>
      <c r="AI729" s="7" t="str">
        <f t="shared" si="101"/>
        <v/>
      </c>
      <c r="AJ729" s="7" t="str">
        <f t="shared" si="102"/>
        <v/>
      </c>
      <c r="AK729" s="7" t="str">
        <f t="shared" si="103"/>
        <v/>
      </c>
      <c r="AL729" s="7" t="str">
        <f t="shared" si="104"/>
        <v/>
      </c>
      <c r="AM729" s="7" t="str">
        <f t="shared" si="105"/>
        <v/>
      </c>
      <c r="AN729" s="8" t="str">
        <f>IF(C729="","",COUNTIF($C$2:C729,C729))</f>
        <v/>
      </c>
      <c r="AO729" s="8" t="str">
        <f t="shared" si="106"/>
        <v/>
      </c>
      <c r="AP729" s="8" t="str">
        <f>IF(C729="","",IF(AND(OR([1]Consulta!$C$29="",A729=[1]Consulta!$C$29),OR([1]Consulta!$E$29="",B729=[1]Consulta!$E$29),OR([1]Consulta!$G$29="",D729=[1]Consulta!$G$29,R729=[1]Consulta!$G$29)),ROW()-1,""))</f>
        <v/>
      </c>
    </row>
    <row r="730" spans="1:42" ht="1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 t="str">
        <f t="shared" si="99"/>
        <v/>
      </c>
      <c r="AG730" s="7" t="str">
        <f t="shared" si="107"/>
        <v/>
      </c>
      <c r="AH730" s="7" t="str">
        <f t="shared" si="100"/>
        <v/>
      </c>
      <c r="AI730" s="7" t="str">
        <f t="shared" si="101"/>
        <v/>
      </c>
      <c r="AJ730" s="7" t="str">
        <f t="shared" si="102"/>
        <v/>
      </c>
      <c r="AK730" s="7" t="str">
        <f t="shared" si="103"/>
        <v/>
      </c>
      <c r="AL730" s="7" t="str">
        <f t="shared" si="104"/>
        <v/>
      </c>
      <c r="AM730" s="7" t="str">
        <f t="shared" si="105"/>
        <v/>
      </c>
      <c r="AN730" s="8" t="str">
        <f>IF(C730="","",COUNTIF($C$2:C730,C730))</f>
        <v/>
      </c>
      <c r="AO730" s="8" t="str">
        <f t="shared" si="106"/>
        <v/>
      </c>
      <c r="AP730" s="8" t="str">
        <f>IF(C730="","",IF(AND(OR([1]Consulta!$C$29="",A730=[1]Consulta!$C$29),OR([1]Consulta!$E$29="",B730=[1]Consulta!$E$29),OR([1]Consulta!$G$29="",D730=[1]Consulta!$G$29,R730=[1]Consulta!$G$29)),ROW()-1,""))</f>
        <v/>
      </c>
    </row>
    <row r="731" spans="1:42" ht="1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 t="str">
        <f t="shared" si="99"/>
        <v/>
      </c>
      <c r="AG731" s="7" t="str">
        <f t="shared" si="107"/>
        <v/>
      </c>
      <c r="AH731" s="7" t="str">
        <f t="shared" si="100"/>
        <v/>
      </c>
      <c r="AI731" s="7" t="str">
        <f t="shared" si="101"/>
        <v/>
      </c>
      <c r="AJ731" s="7" t="str">
        <f t="shared" si="102"/>
        <v/>
      </c>
      <c r="AK731" s="7" t="str">
        <f t="shared" si="103"/>
        <v/>
      </c>
      <c r="AL731" s="7" t="str">
        <f t="shared" si="104"/>
        <v/>
      </c>
      <c r="AM731" s="7" t="str">
        <f t="shared" si="105"/>
        <v/>
      </c>
      <c r="AN731" s="8" t="str">
        <f>IF(C731="","",COUNTIF($C$2:C731,C731))</f>
        <v/>
      </c>
      <c r="AO731" s="8" t="str">
        <f t="shared" si="106"/>
        <v/>
      </c>
      <c r="AP731" s="8" t="str">
        <f>IF(C731="","",IF(AND(OR([1]Consulta!$C$29="",A731=[1]Consulta!$C$29),OR([1]Consulta!$E$29="",B731=[1]Consulta!$E$29),OR([1]Consulta!$G$29="",D731=[1]Consulta!$G$29,R731=[1]Consulta!$G$29)),ROW()-1,""))</f>
        <v/>
      </c>
    </row>
    <row r="732" spans="1:42" ht="1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 t="str">
        <f t="shared" si="99"/>
        <v/>
      </c>
      <c r="AG732" s="7" t="str">
        <f t="shared" si="107"/>
        <v/>
      </c>
      <c r="AH732" s="7" t="str">
        <f t="shared" si="100"/>
        <v/>
      </c>
      <c r="AI732" s="7" t="str">
        <f t="shared" si="101"/>
        <v/>
      </c>
      <c r="AJ732" s="7" t="str">
        <f t="shared" si="102"/>
        <v/>
      </c>
      <c r="AK732" s="7" t="str">
        <f t="shared" si="103"/>
        <v/>
      </c>
      <c r="AL732" s="7" t="str">
        <f t="shared" si="104"/>
        <v/>
      </c>
      <c r="AM732" s="7" t="str">
        <f t="shared" si="105"/>
        <v/>
      </c>
      <c r="AN732" s="8" t="str">
        <f>IF(C732="","",COUNTIF($C$2:C732,C732))</f>
        <v/>
      </c>
      <c r="AO732" s="8" t="str">
        <f t="shared" si="106"/>
        <v/>
      </c>
      <c r="AP732" s="8" t="str">
        <f>IF(C732="","",IF(AND(OR([1]Consulta!$C$29="",A732=[1]Consulta!$C$29),OR([1]Consulta!$E$29="",B732=[1]Consulta!$E$29),OR([1]Consulta!$G$29="",D732=[1]Consulta!$G$29,R732=[1]Consulta!$G$29)),ROW()-1,""))</f>
        <v/>
      </c>
    </row>
    <row r="733" spans="1:42" ht="1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 t="str">
        <f t="shared" si="99"/>
        <v/>
      </c>
      <c r="AG733" s="7" t="str">
        <f t="shared" si="107"/>
        <v/>
      </c>
      <c r="AH733" s="7" t="str">
        <f t="shared" si="100"/>
        <v/>
      </c>
      <c r="AI733" s="7" t="str">
        <f t="shared" si="101"/>
        <v/>
      </c>
      <c r="AJ733" s="7" t="str">
        <f t="shared" si="102"/>
        <v/>
      </c>
      <c r="AK733" s="7" t="str">
        <f t="shared" si="103"/>
        <v/>
      </c>
      <c r="AL733" s="7" t="str">
        <f t="shared" si="104"/>
        <v/>
      </c>
      <c r="AM733" s="7" t="str">
        <f t="shared" si="105"/>
        <v/>
      </c>
      <c r="AN733" s="8" t="str">
        <f>IF(C733="","",COUNTIF($C$2:C733,C733))</f>
        <v/>
      </c>
      <c r="AO733" s="8" t="str">
        <f t="shared" si="106"/>
        <v/>
      </c>
      <c r="AP733" s="8" t="str">
        <f>IF(C733="","",IF(AND(OR([1]Consulta!$C$29="",A733=[1]Consulta!$C$29),OR([1]Consulta!$E$29="",B733=[1]Consulta!$E$29),OR([1]Consulta!$G$29="",D733=[1]Consulta!$G$29,R733=[1]Consulta!$G$29)),ROW()-1,""))</f>
        <v/>
      </c>
    </row>
    <row r="734" spans="1:42" ht="1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 t="str">
        <f t="shared" si="99"/>
        <v/>
      </c>
      <c r="AG734" s="7" t="str">
        <f t="shared" si="107"/>
        <v/>
      </c>
      <c r="AH734" s="7" t="str">
        <f t="shared" si="100"/>
        <v/>
      </c>
      <c r="AI734" s="7" t="str">
        <f t="shared" si="101"/>
        <v/>
      </c>
      <c r="AJ734" s="7" t="str">
        <f t="shared" si="102"/>
        <v/>
      </c>
      <c r="AK734" s="7" t="str">
        <f t="shared" si="103"/>
        <v/>
      </c>
      <c r="AL734" s="7" t="str">
        <f t="shared" si="104"/>
        <v/>
      </c>
      <c r="AM734" s="7" t="str">
        <f t="shared" si="105"/>
        <v/>
      </c>
      <c r="AN734" s="8" t="str">
        <f>IF(C734="","",COUNTIF($C$2:C734,C734))</f>
        <v/>
      </c>
      <c r="AO734" s="8" t="str">
        <f t="shared" si="106"/>
        <v/>
      </c>
      <c r="AP734" s="8" t="str">
        <f>IF(C734="","",IF(AND(OR([1]Consulta!$C$29="",A734=[1]Consulta!$C$29),OR([1]Consulta!$E$29="",B734=[1]Consulta!$E$29),OR([1]Consulta!$G$29="",D734=[1]Consulta!$G$29,R734=[1]Consulta!$G$29)),ROW()-1,""))</f>
        <v/>
      </c>
    </row>
    <row r="735" spans="1:42" ht="1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 t="str">
        <f t="shared" si="99"/>
        <v/>
      </c>
      <c r="AG735" s="7" t="str">
        <f t="shared" si="107"/>
        <v/>
      </c>
      <c r="AH735" s="7" t="str">
        <f t="shared" si="100"/>
        <v/>
      </c>
      <c r="AI735" s="7" t="str">
        <f t="shared" si="101"/>
        <v/>
      </c>
      <c r="AJ735" s="7" t="str">
        <f t="shared" si="102"/>
        <v/>
      </c>
      <c r="AK735" s="7" t="str">
        <f t="shared" si="103"/>
        <v/>
      </c>
      <c r="AL735" s="7" t="str">
        <f t="shared" si="104"/>
        <v/>
      </c>
      <c r="AM735" s="7" t="str">
        <f t="shared" si="105"/>
        <v/>
      </c>
      <c r="AN735" s="8" t="str">
        <f>IF(C735="","",COUNTIF($C$2:C735,C735))</f>
        <v/>
      </c>
      <c r="AO735" s="8" t="str">
        <f t="shared" si="106"/>
        <v/>
      </c>
      <c r="AP735" s="8" t="str">
        <f>IF(C735="","",IF(AND(OR([1]Consulta!$C$29="",A735=[1]Consulta!$C$29),OR([1]Consulta!$E$29="",B735=[1]Consulta!$E$29),OR([1]Consulta!$G$29="",D735=[1]Consulta!$G$29,R735=[1]Consulta!$G$29)),ROW()-1,""))</f>
        <v/>
      </c>
    </row>
    <row r="736" spans="1:42" ht="1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 t="str">
        <f t="shared" si="99"/>
        <v/>
      </c>
      <c r="AG736" s="7" t="str">
        <f t="shared" si="107"/>
        <v/>
      </c>
      <c r="AH736" s="7" t="str">
        <f t="shared" si="100"/>
        <v/>
      </c>
      <c r="AI736" s="7" t="str">
        <f t="shared" si="101"/>
        <v/>
      </c>
      <c r="AJ736" s="7" t="str">
        <f t="shared" si="102"/>
        <v/>
      </c>
      <c r="AK736" s="7" t="str">
        <f t="shared" si="103"/>
        <v/>
      </c>
      <c r="AL736" s="7" t="str">
        <f t="shared" si="104"/>
        <v/>
      </c>
      <c r="AM736" s="7" t="str">
        <f t="shared" si="105"/>
        <v/>
      </c>
      <c r="AN736" s="8" t="str">
        <f>IF(C736="","",COUNTIF($C$2:C736,C736))</f>
        <v/>
      </c>
      <c r="AO736" s="8" t="str">
        <f t="shared" si="106"/>
        <v/>
      </c>
      <c r="AP736" s="8" t="str">
        <f>IF(C736="","",IF(AND(OR([1]Consulta!$C$29="",A736=[1]Consulta!$C$29),OR([1]Consulta!$E$29="",B736=[1]Consulta!$E$29),OR([1]Consulta!$G$29="",D736=[1]Consulta!$G$29,R736=[1]Consulta!$G$29)),ROW()-1,""))</f>
        <v/>
      </c>
    </row>
    <row r="737" spans="1:42" ht="1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 t="str">
        <f t="shared" si="99"/>
        <v/>
      </c>
      <c r="AG737" s="7" t="str">
        <f t="shared" si="107"/>
        <v/>
      </c>
      <c r="AH737" s="7" t="str">
        <f t="shared" si="100"/>
        <v/>
      </c>
      <c r="AI737" s="7" t="str">
        <f t="shared" si="101"/>
        <v/>
      </c>
      <c r="AJ737" s="7" t="str">
        <f t="shared" si="102"/>
        <v/>
      </c>
      <c r="AK737" s="7" t="str">
        <f t="shared" si="103"/>
        <v/>
      </c>
      <c r="AL737" s="7" t="str">
        <f t="shared" si="104"/>
        <v/>
      </c>
      <c r="AM737" s="7" t="str">
        <f t="shared" si="105"/>
        <v/>
      </c>
      <c r="AN737" s="8" t="str">
        <f>IF(C737="","",COUNTIF($C$2:C737,C737))</f>
        <v/>
      </c>
      <c r="AO737" s="8" t="str">
        <f t="shared" si="106"/>
        <v/>
      </c>
      <c r="AP737" s="8" t="str">
        <f>IF(C737="","",IF(AND(OR([1]Consulta!$C$29="",A737=[1]Consulta!$C$29),OR([1]Consulta!$E$29="",B737=[1]Consulta!$E$29),OR([1]Consulta!$G$29="",D737=[1]Consulta!$G$29,R737=[1]Consulta!$G$29)),ROW()-1,""))</f>
        <v/>
      </c>
    </row>
    <row r="738" spans="1:42" ht="1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 t="str">
        <f t="shared" si="99"/>
        <v/>
      </c>
      <c r="AG738" s="7" t="str">
        <f t="shared" si="107"/>
        <v/>
      </c>
      <c r="AH738" s="7" t="str">
        <f t="shared" si="100"/>
        <v/>
      </c>
      <c r="AI738" s="7" t="str">
        <f t="shared" si="101"/>
        <v/>
      </c>
      <c r="AJ738" s="7" t="str">
        <f t="shared" si="102"/>
        <v/>
      </c>
      <c r="AK738" s="7" t="str">
        <f t="shared" si="103"/>
        <v/>
      </c>
      <c r="AL738" s="7" t="str">
        <f t="shared" si="104"/>
        <v/>
      </c>
      <c r="AM738" s="7" t="str">
        <f t="shared" si="105"/>
        <v/>
      </c>
      <c r="AN738" s="8" t="str">
        <f>IF(C738="","",COUNTIF($C$2:C738,C738))</f>
        <v/>
      </c>
      <c r="AO738" s="8" t="str">
        <f t="shared" si="106"/>
        <v/>
      </c>
      <c r="AP738" s="8" t="str">
        <f>IF(C738="","",IF(AND(OR([1]Consulta!$C$29="",A738=[1]Consulta!$C$29),OR([1]Consulta!$E$29="",B738=[1]Consulta!$E$29),OR([1]Consulta!$G$29="",D738=[1]Consulta!$G$29,R738=[1]Consulta!$G$29)),ROW()-1,""))</f>
        <v/>
      </c>
    </row>
    <row r="739" spans="1:42" ht="1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 t="str">
        <f t="shared" si="99"/>
        <v/>
      </c>
      <c r="AG739" s="7" t="str">
        <f t="shared" si="107"/>
        <v/>
      </c>
      <c r="AH739" s="7" t="str">
        <f t="shared" si="100"/>
        <v/>
      </c>
      <c r="AI739" s="7" t="str">
        <f t="shared" si="101"/>
        <v/>
      </c>
      <c r="AJ739" s="7" t="str">
        <f t="shared" si="102"/>
        <v/>
      </c>
      <c r="AK739" s="7" t="str">
        <f t="shared" si="103"/>
        <v/>
      </c>
      <c r="AL739" s="7" t="str">
        <f t="shared" si="104"/>
        <v/>
      </c>
      <c r="AM739" s="7" t="str">
        <f t="shared" si="105"/>
        <v/>
      </c>
      <c r="AN739" s="8" t="str">
        <f>IF(C739="","",COUNTIF($C$2:C739,C739))</f>
        <v/>
      </c>
      <c r="AO739" s="8" t="str">
        <f t="shared" si="106"/>
        <v/>
      </c>
      <c r="AP739" s="8" t="str">
        <f>IF(C739="","",IF(AND(OR([1]Consulta!$C$29="",A739=[1]Consulta!$C$29),OR([1]Consulta!$E$29="",B739=[1]Consulta!$E$29),OR([1]Consulta!$G$29="",D739=[1]Consulta!$G$29,R739=[1]Consulta!$G$29)),ROW()-1,""))</f>
        <v/>
      </c>
    </row>
    <row r="740" spans="1:42" ht="1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 t="str">
        <f t="shared" si="99"/>
        <v/>
      </c>
      <c r="AG740" s="7" t="str">
        <f t="shared" si="107"/>
        <v/>
      </c>
      <c r="AH740" s="7" t="str">
        <f t="shared" si="100"/>
        <v/>
      </c>
      <c r="AI740" s="7" t="str">
        <f t="shared" si="101"/>
        <v/>
      </c>
      <c r="AJ740" s="7" t="str">
        <f t="shared" si="102"/>
        <v/>
      </c>
      <c r="AK740" s="7" t="str">
        <f t="shared" si="103"/>
        <v/>
      </c>
      <c r="AL740" s="7" t="str">
        <f t="shared" si="104"/>
        <v/>
      </c>
      <c r="AM740" s="7" t="str">
        <f t="shared" si="105"/>
        <v/>
      </c>
      <c r="AN740" s="8" t="str">
        <f>IF(C740="","",COUNTIF($C$2:C740,C740))</f>
        <v/>
      </c>
      <c r="AO740" s="8" t="str">
        <f t="shared" si="106"/>
        <v/>
      </c>
      <c r="AP740" s="8" t="str">
        <f>IF(C740="","",IF(AND(OR([1]Consulta!$C$29="",A740=[1]Consulta!$C$29),OR([1]Consulta!$E$29="",B740=[1]Consulta!$E$29),OR([1]Consulta!$G$29="",D740=[1]Consulta!$G$29,R740=[1]Consulta!$G$29)),ROW()-1,""))</f>
        <v/>
      </c>
    </row>
    <row r="741" spans="1:42" ht="1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 t="str">
        <f t="shared" si="99"/>
        <v/>
      </c>
      <c r="AG741" s="7" t="str">
        <f t="shared" si="107"/>
        <v/>
      </c>
      <c r="AH741" s="7" t="str">
        <f t="shared" si="100"/>
        <v/>
      </c>
      <c r="AI741" s="7" t="str">
        <f t="shared" si="101"/>
        <v/>
      </c>
      <c r="AJ741" s="7" t="str">
        <f t="shared" si="102"/>
        <v/>
      </c>
      <c r="AK741" s="7" t="str">
        <f t="shared" si="103"/>
        <v/>
      </c>
      <c r="AL741" s="7" t="str">
        <f t="shared" si="104"/>
        <v/>
      </c>
      <c r="AM741" s="7" t="str">
        <f t="shared" si="105"/>
        <v/>
      </c>
      <c r="AN741" s="8" t="str">
        <f>IF(C741="","",COUNTIF($C$2:C741,C741))</f>
        <v/>
      </c>
      <c r="AO741" s="8" t="str">
        <f t="shared" si="106"/>
        <v/>
      </c>
      <c r="AP741" s="8" t="str">
        <f>IF(C741="","",IF(AND(OR([1]Consulta!$C$29="",A741=[1]Consulta!$C$29),OR([1]Consulta!$E$29="",B741=[1]Consulta!$E$29),OR([1]Consulta!$G$29="",D741=[1]Consulta!$G$29,R741=[1]Consulta!$G$29)),ROW()-1,""))</f>
        <v/>
      </c>
    </row>
    <row r="742" spans="1:42" ht="1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 t="str">
        <f t="shared" si="99"/>
        <v/>
      </c>
      <c r="AG742" s="7" t="str">
        <f t="shared" si="107"/>
        <v/>
      </c>
      <c r="AH742" s="7" t="str">
        <f t="shared" si="100"/>
        <v/>
      </c>
      <c r="AI742" s="7" t="str">
        <f t="shared" si="101"/>
        <v/>
      </c>
      <c r="AJ742" s="7" t="str">
        <f t="shared" si="102"/>
        <v/>
      </c>
      <c r="AK742" s="7" t="str">
        <f t="shared" si="103"/>
        <v/>
      </c>
      <c r="AL742" s="7" t="str">
        <f t="shared" si="104"/>
        <v/>
      </c>
      <c r="AM742" s="7" t="str">
        <f t="shared" si="105"/>
        <v/>
      </c>
      <c r="AN742" s="8" t="str">
        <f>IF(C742="","",COUNTIF($C$2:C742,C742))</f>
        <v/>
      </c>
      <c r="AO742" s="8" t="str">
        <f t="shared" si="106"/>
        <v/>
      </c>
      <c r="AP742" s="8" t="str">
        <f>IF(C742="","",IF(AND(OR([1]Consulta!$C$29="",A742=[1]Consulta!$C$29),OR([1]Consulta!$E$29="",B742=[1]Consulta!$E$29),OR([1]Consulta!$G$29="",D742=[1]Consulta!$G$29,R742=[1]Consulta!$G$29)),ROW()-1,""))</f>
        <v/>
      </c>
    </row>
    <row r="743" spans="1:42" ht="1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 t="str">
        <f t="shared" si="99"/>
        <v/>
      </c>
      <c r="AG743" s="7" t="str">
        <f t="shared" si="107"/>
        <v/>
      </c>
      <c r="AH743" s="7" t="str">
        <f t="shared" si="100"/>
        <v/>
      </c>
      <c r="AI743" s="7" t="str">
        <f t="shared" si="101"/>
        <v/>
      </c>
      <c r="AJ743" s="7" t="str">
        <f t="shared" si="102"/>
        <v/>
      </c>
      <c r="AK743" s="7" t="str">
        <f t="shared" si="103"/>
        <v/>
      </c>
      <c r="AL743" s="7" t="str">
        <f t="shared" si="104"/>
        <v/>
      </c>
      <c r="AM743" s="7" t="str">
        <f t="shared" si="105"/>
        <v/>
      </c>
      <c r="AN743" s="8" t="str">
        <f>IF(C743="","",COUNTIF($C$2:C743,C743))</f>
        <v/>
      </c>
      <c r="AO743" s="8" t="str">
        <f t="shared" si="106"/>
        <v/>
      </c>
      <c r="AP743" s="8" t="str">
        <f>IF(C743="","",IF(AND(OR([1]Consulta!$C$29="",A743=[1]Consulta!$C$29),OR([1]Consulta!$E$29="",B743=[1]Consulta!$E$29),OR([1]Consulta!$G$29="",D743=[1]Consulta!$G$29,R743=[1]Consulta!$G$29)),ROW()-1,""))</f>
        <v/>
      </c>
    </row>
    <row r="744" spans="1:42" ht="1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 t="str">
        <f t="shared" si="99"/>
        <v/>
      </c>
      <c r="AG744" s="7" t="str">
        <f t="shared" si="107"/>
        <v/>
      </c>
      <c r="AH744" s="7" t="str">
        <f t="shared" si="100"/>
        <v/>
      </c>
      <c r="AI744" s="7" t="str">
        <f t="shared" si="101"/>
        <v/>
      </c>
      <c r="AJ744" s="7" t="str">
        <f t="shared" si="102"/>
        <v/>
      </c>
      <c r="AK744" s="7" t="str">
        <f t="shared" si="103"/>
        <v/>
      </c>
      <c r="AL744" s="7" t="str">
        <f t="shared" si="104"/>
        <v/>
      </c>
      <c r="AM744" s="7" t="str">
        <f t="shared" si="105"/>
        <v/>
      </c>
      <c r="AN744" s="8" t="str">
        <f>IF(C744="","",COUNTIF($C$2:C744,C744))</f>
        <v/>
      </c>
      <c r="AO744" s="8" t="str">
        <f t="shared" si="106"/>
        <v/>
      </c>
      <c r="AP744" s="8" t="str">
        <f>IF(C744="","",IF(AND(OR([1]Consulta!$C$29="",A744=[1]Consulta!$C$29),OR([1]Consulta!$E$29="",B744=[1]Consulta!$E$29),OR([1]Consulta!$G$29="",D744=[1]Consulta!$G$29,R744=[1]Consulta!$G$29)),ROW()-1,""))</f>
        <v/>
      </c>
    </row>
    <row r="745" spans="1:42" ht="1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 t="str">
        <f t="shared" si="99"/>
        <v/>
      </c>
      <c r="AG745" s="7" t="str">
        <f t="shared" si="107"/>
        <v/>
      </c>
      <c r="AH745" s="7" t="str">
        <f t="shared" si="100"/>
        <v/>
      </c>
      <c r="AI745" s="7" t="str">
        <f t="shared" si="101"/>
        <v/>
      </c>
      <c r="AJ745" s="7" t="str">
        <f t="shared" si="102"/>
        <v/>
      </c>
      <c r="AK745" s="7" t="str">
        <f t="shared" si="103"/>
        <v/>
      </c>
      <c r="AL745" s="7" t="str">
        <f t="shared" si="104"/>
        <v/>
      </c>
      <c r="AM745" s="7" t="str">
        <f t="shared" si="105"/>
        <v/>
      </c>
      <c r="AN745" s="8" t="str">
        <f>IF(C745="","",COUNTIF($C$2:C745,C745))</f>
        <v/>
      </c>
      <c r="AO745" s="8" t="str">
        <f t="shared" si="106"/>
        <v/>
      </c>
      <c r="AP745" s="8" t="str">
        <f>IF(C745="","",IF(AND(OR([1]Consulta!$C$29="",A745=[1]Consulta!$C$29),OR([1]Consulta!$E$29="",B745=[1]Consulta!$E$29),OR([1]Consulta!$G$29="",D745=[1]Consulta!$G$29,R745=[1]Consulta!$G$29)),ROW()-1,""))</f>
        <v/>
      </c>
    </row>
    <row r="746" spans="1:42" ht="1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 t="str">
        <f t="shared" si="99"/>
        <v/>
      </c>
      <c r="AG746" s="7" t="str">
        <f t="shared" si="107"/>
        <v/>
      </c>
      <c r="AH746" s="7" t="str">
        <f t="shared" si="100"/>
        <v/>
      </c>
      <c r="AI746" s="7" t="str">
        <f t="shared" si="101"/>
        <v/>
      </c>
      <c r="AJ746" s="7" t="str">
        <f t="shared" si="102"/>
        <v/>
      </c>
      <c r="AK746" s="7" t="str">
        <f t="shared" si="103"/>
        <v/>
      </c>
      <c r="AL746" s="7" t="str">
        <f t="shared" si="104"/>
        <v/>
      </c>
      <c r="AM746" s="7" t="str">
        <f t="shared" si="105"/>
        <v/>
      </c>
      <c r="AN746" s="8" t="str">
        <f>IF(C746="","",COUNTIF($C$2:C746,C746))</f>
        <v/>
      </c>
      <c r="AO746" s="8" t="str">
        <f t="shared" si="106"/>
        <v/>
      </c>
      <c r="AP746" s="8" t="str">
        <f>IF(C746="","",IF(AND(OR([1]Consulta!$C$29="",A746=[1]Consulta!$C$29),OR([1]Consulta!$E$29="",B746=[1]Consulta!$E$29),OR([1]Consulta!$G$29="",D746=[1]Consulta!$G$29,R746=[1]Consulta!$G$29)),ROW()-1,""))</f>
        <v/>
      </c>
    </row>
    <row r="747" spans="1:42" ht="1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 t="str">
        <f t="shared" si="99"/>
        <v/>
      </c>
      <c r="AG747" s="7" t="str">
        <f t="shared" si="107"/>
        <v/>
      </c>
      <c r="AH747" s="7" t="str">
        <f t="shared" si="100"/>
        <v/>
      </c>
      <c r="AI747" s="7" t="str">
        <f t="shared" si="101"/>
        <v/>
      </c>
      <c r="AJ747" s="7" t="str">
        <f t="shared" si="102"/>
        <v/>
      </c>
      <c r="AK747" s="7" t="str">
        <f t="shared" si="103"/>
        <v/>
      </c>
      <c r="AL747" s="7" t="str">
        <f t="shared" si="104"/>
        <v/>
      </c>
      <c r="AM747" s="7" t="str">
        <f t="shared" si="105"/>
        <v/>
      </c>
      <c r="AN747" s="8" t="str">
        <f>IF(C747="","",COUNTIF($C$2:C747,C747))</f>
        <v/>
      </c>
      <c r="AO747" s="8" t="str">
        <f t="shared" si="106"/>
        <v/>
      </c>
      <c r="AP747" s="8" t="str">
        <f>IF(C747="","",IF(AND(OR([1]Consulta!$C$29="",A747=[1]Consulta!$C$29),OR([1]Consulta!$E$29="",B747=[1]Consulta!$E$29),OR([1]Consulta!$G$29="",D747=[1]Consulta!$G$29,R747=[1]Consulta!$G$29)),ROW()-1,""))</f>
        <v/>
      </c>
    </row>
    <row r="748" spans="1:42" ht="1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 t="str">
        <f t="shared" si="99"/>
        <v/>
      </c>
      <c r="AG748" s="7" t="str">
        <f t="shared" si="107"/>
        <v/>
      </c>
      <c r="AH748" s="7" t="str">
        <f t="shared" si="100"/>
        <v/>
      </c>
      <c r="AI748" s="7" t="str">
        <f t="shared" si="101"/>
        <v/>
      </c>
      <c r="AJ748" s="7" t="str">
        <f t="shared" si="102"/>
        <v/>
      </c>
      <c r="AK748" s="7" t="str">
        <f t="shared" si="103"/>
        <v/>
      </c>
      <c r="AL748" s="7" t="str">
        <f t="shared" si="104"/>
        <v/>
      </c>
      <c r="AM748" s="7" t="str">
        <f t="shared" si="105"/>
        <v/>
      </c>
      <c r="AN748" s="8" t="str">
        <f>IF(C748="","",COUNTIF($C$2:C748,C748))</f>
        <v/>
      </c>
      <c r="AO748" s="8" t="str">
        <f t="shared" si="106"/>
        <v/>
      </c>
      <c r="AP748" s="8" t="str">
        <f>IF(C748="","",IF(AND(OR([1]Consulta!$C$29="",A748=[1]Consulta!$C$29),OR([1]Consulta!$E$29="",B748=[1]Consulta!$E$29),OR([1]Consulta!$G$29="",D748=[1]Consulta!$G$29,R748=[1]Consulta!$G$29)),ROW()-1,""))</f>
        <v/>
      </c>
    </row>
    <row r="749" spans="1:42" ht="1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 t="str">
        <f t="shared" si="99"/>
        <v/>
      </c>
      <c r="AG749" s="7" t="str">
        <f t="shared" si="107"/>
        <v/>
      </c>
      <c r="AH749" s="7" t="str">
        <f t="shared" si="100"/>
        <v/>
      </c>
      <c r="AI749" s="7" t="str">
        <f t="shared" si="101"/>
        <v/>
      </c>
      <c r="AJ749" s="7" t="str">
        <f t="shared" si="102"/>
        <v/>
      </c>
      <c r="AK749" s="7" t="str">
        <f t="shared" si="103"/>
        <v/>
      </c>
      <c r="AL749" s="7" t="str">
        <f t="shared" si="104"/>
        <v/>
      </c>
      <c r="AM749" s="7" t="str">
        <f t="shared" si="105"/>
        <v/>
      </c>
      <c r="AN749" s="8" t="str">
        <f>IF(C749="","",COUNTIF($C$2:C749,C749))</f>
        <v/>
      </c>
      <c r="AO749" s="8" t="str">
        <f t="shared" si="106"/>
        <v/>
      </c>
      <c r="AP749" s="8" t="str">
        <f>IF(C749="","",IF(AND(OR([1]Consulta!$C$29="",A749=[1]Consulta!$C$29),OR([1]Consulta!$E$29="",B749=[1]Consulta!$E$29),OR([1]Consulta!$G$29="",D749=[1]Consulta!$G$29,R749=[1]Consulta!$G$29)),ROW()-1,""))</f>
        <v/>
      </c>
    </row>
    <row r="750" spans="1:42" ht="1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 t="str">
        <f t="shared" si="99"/>
        <v/>
      </c>
      <c r="AG750" s="7" t="str">
        <f t="shared" si="107"/>
        <v/>
      </c>
      <c r="AH750" s="7" t="str">
        <f t="shared" si="100"/>
        <v/>
      </c>
      <c r="AI750" s="7" t="str">
        <f t="shared" si="101"/>
        <v/>
      </c>
      <c r="AJ750" s="7" t="str">
        <f t="shared" si="102"/>
        <v/>
      </c>
      <c r="AK750" s="7" t="str">
        <f t="shared" si="103"/>
        <v/>
      </c>
      <c r="AL750" s="7" t="str">
        <f t="shared" si="104"/>
        <v/>
      </c>
      <c r="AM750" s="7" t="str">
        <f t="shared" si="105"/>
        <v/>
      </c>
      <c r="AN750" s="8" t="str">
        <f>IF(C750="","",COUNTIF($C$2:C750,C750))</f>
        <v/>
      </c>
      <c r="AO750" s="8" t="str">
        <f t="shared" si="106"/>
        <v/>
      </c>
      <c r="AP750" s="8" t="str">
        <f>IF(C750="","",IF(AND(OR([1]Consulta!$C$29="",A750=[1]Consulta!$C$29),OR([1]Consulta!$E$29="",B750=[1]Consulta!$E$29),OR([1]Consulta!$G$29="",D750=[1]Consulta!$G$29,R750=[1]Consulta!$G$29)),ROW()-1,""))</f>
        <v/>
      </c>
    </row>
    <row r="751" spans="1:42" ht="1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 t="str">
        <f t="shared" si="99"/>
        <v/>
      </c>
      <c r="AG751" s="7" t="str">
        <f t="shared" si="107"/>
        <v/>
      </c>
      <c r="AH751" s="7" t="str">
        <f t="shared" si="100"/>
        <v/>
      </c>
      <c r="AI751" s="7" t="str">
        <f t="shared" si="101"/>
        <v/>
      </c>
      <c r="AJ751" s="7" t="str">
        <f t="shared" si="102"/>
        <v/>
      </c>
      <c r="AK751" s="7" t="str">
        <f t="shared" si="103"/>
        <v/>
      </c>
      <c r="AL751" s="7" t="str">
        <f t="shared" si="104"/>
        <v/>
      </c>
      <c r="AM751" s="7" t="str">
        <f t="shared" si="105"/>
        <v/>
      </c>
      <c r="AN751" s="8" t="str">
        <f>IF(C751="","",COUNTIF($C$2:C751,C751))</f>
        <v/>
      </c>
      <c r="AO751" s="8" t="str">
        <f t="shared" si="106"/>
        <v/>
      </c>
      <c r="AP751" s="8" t="str">
        <f>IF(C751="","",IF(AND(OR([1]Consulta!$C$29="",A751=[1]Consulta!$C$29),OR([1]Consulta!$E$29="",B751=[1]Consulta!$E$29),OR([1]Consulta!$G$29="",D751=[1]Consulta!$G$29,R751=[1]Consulta!$G$29)),ROW()-1,""))</f>
        <v/>
      </c>
    </row>
    <row r="752" spans="1:42" ht="1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 t="str">
        <f t="shared" si="99"/>
        <v/>
      </c>
      <c r="AG752" s="7" t="str">
        <f t="shared" si="107"/>
        <v/>
      </c>
      <c r="AH752" s="7" t="str">
        <f t="shared" si="100"/>
        <v/>
      </c>
      <c r="AI752" s="7" t="str">
        <f t="shared" si="101"/>
        <v/>
      </c>
      <c r="AJ752" s="7" t="str">
        <f t="shared" si="102"/>
        <v/>
      </c>
      <c r="AK752" s="7" t="str">
        <f t="shared" si="103"/>
        <v/>
      </c>
      <c r="AL752" s="7" t="str">
        <f t="shared" si="104"/>
        <v/>
      </c>
      <c r="AM752" s="7" t="str">
        <f t="shared" si="105"/>
        <v/>
      </c>
      <c r="AN752" s="8" t="str">
        <f>IF(C752="","",COUNTIF($C$2:C752,C752))</f>
        <v/>
      </c>
      <c r="AO752" s="8" t="str">
        <f t="shared" si="106"/>
        <v/>
      </c>
      <c r="AP752" s="8" t="str">
        <f>IF(C752="","",IF(AND(OR([1]Consulta!$C$29="",A752=[1]Consulta!$C$29),OR([1]Consulta!$E$29="",B752=[1]Consulta!$E$29),OR([1]Consulta!$G$29="",D752=[1]Consulta!$G$29,R752=[1]Consulta!$G$29)),ROW()-1,""))</f>
        <v/>
      </c>
    </row>
    <row r="753" spans="1:42" ht="1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 t="str">
        <f t="shared" si="99"/>
        <v/>
      </c>
      <c r="AG753" s="7" t="str">
        <f t="shared" si="107"/>
        <v/>
      </c>
      <c r="AH753" s="7" t="str">
        <f t="shared" si="100"/>
        <v/>
      </c>
      <c r="AI753" s="7" t="str">
        <f t="shared" si="101"/>
        <v/>
      </c>
      <c r="AJ753" s="7" t="str">
        <f t="shared" si="102"/>
        <v/>
      </c>
      <c r="AK753" s="7" t="str">
        <f t="shared" si="103"/>
        <v/>
      </c>
      <c r="AL753" s="7" t="str">
        <f t="shared" si="104"/>
        <v/>
      </c>
      <c r="AM753" s="7" t="str">
        <f t="shared" si="105"/>
        <v/>
      </c>
      <c r="AN753" s="8" t="str">
        <f>IF(C753="","",COUNTIF($C$2:C753,C753))</f>
        <v/>
      </c>
      <c r="AO753" s="8" t="str">
        <f t="shared" si="106"/>
        <v/>
      </c>
      <c r="AP753" s="8" t="str">
        <f>IF(C753="","",IF(AND(OR([1]Consulta!$C$29="",A753=[1]Consulta!$C$29),OR([1]Consulta!$E$29="",B753=[1]Consulta!$E$29),OR([1]Consulta!$G$29="",D753=[1]Consulta!$G$29,R753=[1]Consulta!$G$29)),ROW()-1,""))</f>
        <v/>
      </c>
    </row>
    <row r="754" spans="1:42" ht="1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 t="str">
        <f t="shared" si="99"/>
        <v/>
      </c>
      <c r="AG754" s="7" t="str">
        <f t="shared" si="107"/>
        <v/>
      </c>
      <c r="AH754" s="7" t="str">
        <f t="shared" si="100"/>
        <v/>
      </c>
      <c r="AI754" s="7" t="str">
        <f t="shared" si="101"/>
        <v/>
      </c>
      <c r="AJ754" s="7" t="str">
        <f t="shared" si="102"/>
        <v/>
      </c>
      <c r="AK754" s="7" t="str">
        <f t="shared" si="103"/>
        <v/>
      </c>
      <c r="AL754" s="7" t="str">
        <f t="shared" si="104"/>
        <v/>
      </c>
      <c r="AM754" s="7" t="str">
        <f t="shared" si="105"/>
        <v/>
      </c>
      <c r="AN754" s="8" t="str">
        <f>IF(C754="","",COUNTIF($C$2:C754,C754))</f>
        <v/>
      </c>
      <c r="AO754" s="8" t="str">
        <f t="shared" si="106"/>
        <v/>
      </c>
      <c r="AP754" s="8" t="str">
        <f>IF(C754="","",IF(AND(OR([1]Consulta!$C$29="",A754=[1]Consulta!$C$29),OR([1]Consulta!$E$29="",B754=[1]Consulta!$E$29),OR([1]Consulta!$G$29="",D754=[1]Consulta!$G$29,R754=[1]Consulta!$G$29)),ROW()-1,""))</f>
        <v/>
      </c>
    </row>
    <row r="755" spans="1:42" ht="1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 t="str">
        <f t="shared" si="99"/>
        <v/>
      </c>
      <c r="AG755" s="7" t="str">
        <f t="shared" si="107"/>
        <v/>
      </c>
      <c r="AH755" s="7" t="str">
        <f t="shared" si="100"/>
        <v/>
      </c>
      <c r="AI755" s="7" t="str">
        <f t="shared" si="101"/>
        <v/>
      </c>
      <c r="AJ755" s="7" t="str">
        <f t="shared" si="102"/>
        <v/>
      </c>
      <c r="AK755" s="7" t="str">
        <f t="shared" si="103"/>
        <v/>
      </c>
      <c r="AL755" s="7" t="str">
        <f t="shared" si="104"/>
        <v/>
      </c>
      <c r="AM755" s="7" t="str">
        <f t="shared" si="105"/>
        <v/>
      </c>
      <c r="AN755" s="8" t="str">
        <f>IF(C755="","",COUNTIF($C$2:C755,C755))</f>
        <v/>
      </c>
      <c r="AO755" s="8" t="str">
        <f t="shared" si="106"/>
        <v/>
      </c>
      <c r="AP755" s="8" t="str">
        <f>IF(C755="","",IF(AND(OR([1]Consulta!$C$29="",A755=[1]Consulta!$C$29),OR([1]Consulta!$E$29="",B755=[1]Consulta!$E$29),OR([1]Consulta!$G$29="",D755=[1]Consulta!$G$29,R755=[1]Consulta!$G$29)),ROW()-1,""))</f>
        <v/>
      </c>
    </row>
    <row r="756" spans="1:42" ht="1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 t="str">
        <f t="shared" si="99"/>
        <v/>
      </c>
      <c r="AG756" s="7" t="str">
        <f t="shared" si="107"/>
        <v/>
      </c>
      <c r="AH756" s="7" t="str">
        <f t="shared" si="100"/>
        <v/>
      </c>
      <c r="AI756" s="7" t="str">
        <f t="shared" si="101"/>
        <v/>
      </c>
      <c r="AJ756" s="7" t="str">
        <f t="shared" si="102"/>
        <v/>
      </c>
      <c r="AK756" s="7" t="str">
        <f t="shared" si="103"/>
        <v/>
      </c>
      <c r="AL756" s="7" t="str">
        <f t="shared" si="104"/>
        <v/>
      </c>
      <c r="AM756" s="7" t="str">
        <f t="shared" si="105"/>
        <v/>
      </c>
      <c r="AN756" s="8" t="str">
        <f>IF(C756="","",COUNTIF($C$2:C756,C756))</f>
        <v/>
      </c>
      <c r="AO756" s="8" t="str">
        <f t="shared" si="106"/>
        <v/>
      </c>
      <c r="AP756" s="8" t="str">
        <f>IF(C756="","",IF(AND(OR([1]Consulta!$C$29="",A756=[1]Consulta!$C$29),OR([1]Consulta!$E$29="",B756=[1]Consulta!$E$29),OR([1]Consulta!$G$29="",D756=[1]Consulta!$G$29,R756=[1]Consulta!$G$29)),ROW()-1,""))</f>
        <v/>
      </c>
    </row>
    <row r="757" spans="1:42" ht="1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 t="str">
        <f t="shared" si="99"/>
        <v/>
      </c>
      <c r="AG757" s="7" t="str">
        <f t="shared" si="107"/>
        <v/>
      </c>
      <c r="AH757" s="7" t="str">
        <f t="shared" si="100"/>
        <v/>
      </c>
      <c r="AI757" s="7" t="str">
        <f t="shared" si="101"/>
        <v/>
      </c>
      <c r="AJ757" s="7" t="str">
        <f t="shared" si="102"/>
        <v/>
      </c>
      <c r="AK757" s="7" t="str">
        <f t="shared" si="103"/>
        <v/>
      </c>
      <c r="AL757" s="7" t="str">
        <f t="shared" si="104"/>
        <v/>
      </c>
      <c r="AM757" s="7" t="str">
        <f t="shared" si="105"/>
        <v/>
      </c>
      <c r="AN757" s="8" t="str">
        <f>IF(C757="","",COUNTIF($C$2:C757,C757))</f>
        <v/>
      </c>
      <c r="AO757" s="8" t="str">
        <f t="shared" si="106"/>
        <v/>
      </c>
      <c r="AP757" s="8" t="str">
        <f>IF(C757="","",IF(AND(OR([1]Consulta!$C$29="",A757=[1]Consulta!$C$29),OR([1]Consulta!$E$29="",B757=[1]Consulta!$E$29),OR([1]Consulta!$G$29="",D757=[1]Consulta!$G$29,R757=[1]Consulta!$G$29)),ROW()-1,""))</f>
        <v/>
      </c>
    </row>
    <row r="758" spans="1:42" ht="1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 t="str">
        <f t="shared" si="99"/>
        <v/>
      </c>
      <c r="AG758" s="7" t="str">
        <f t="shared" si="107"/>
        <v/>
      </c>
      <c r="AH758" s="7" t="str">
        <f t="shared" si="100"/>
        <v/>
      </c>
      <c r="AI758" s="7" t="str">
        <f t="shared" si="101"/>
        <v/>
      </c>
      <c r="AJ758" s="7" t="str">
        <f t="shared" si="102"/>
        <v/>
      </c>
      <c r="AK758" s="7" t="str">
        <f t="shared" si="103"/>
        <v/>
      </c>
      <c r="AL758" s="7" t="str">
        <f t="shared" si="104"/>
        <v/>
      </c>
      <c r="AM758" s="7" t="str">
        <f t="shared" si="105"/>
        <v/>
      </c>
      <c r="AN758" s="8" t="str">
        <f>IF(C758="","",COUNTIF($C$2:C758,C758))</f>
        <v/>
      </c>
      <c r="AO758" s="8" t="str">
        <f t="shared" si="106"/>
        <v/>
      </c>
      <c r="AP758" s="8" t="str">
        <f>IF(C758="","",IF(AND(OR([1]Consulta!$C$29="",A758=[1]Consulta!$C$29),OR([1]Consulta!$E$29="",B758=[1]Consulta!$E$29),OR([1]Consulta!$G$29="",D758=[1]Consulta!$G$29,R758=[1]Consulta!$G$29)),ROW()-1,""))</f>
        <v/>
      </c>
    </row>
    <row r="759" spans="1:42" ht="1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 t="str">
        <f t="shared" si="99"/>
        <v/>
      </c>
      <c r="AG759" s="7" t="str">
        <f t="shared" si="107"/>
        <v/>
      </c>
      <c r="AH759" s="7" t="str">
        <f t="shared" si="100"/>
        <v/>
      </c>
      <c r="AI759" s="7" t="str">
        <f t="shared" si="101"/>
        <v/>
      </c>
      <c r="AJ759" s="7" t="str">
        <f t="shared" si="102"/>
        <v/>
      </c>
      <c r="AK759" s="7" t="str">
        <f t="shared" si="103"/>
        <v/>
      </c>
      <c r="AL759" s="7" t="str">
        <f t="shared" si="104"/>
        <v/>
      </c>
      <c r="AM759" s="7" t="str">
        <f t="shared" si="105"/>
        <v/>
      </c>
      <c r="AN759" s="8" t="str">
        <f>IF(C759="","",COUNTIF($C$2:C759,C759))</f>
        <v/>
      </c>
      <c r="AO759" s="8" t="str">
        <f t="shared" si="106"/>
        <v/>
      </c>
      <c r="AP759" s="8" t="str">
        <f>IF(C759="","",IF(AND(OR([1]Consulta!$C$29="",A759=[1]Consulta!$C$29),OR([1]Consulta!$E$29="",B759=[1]Consulta!$E$29),OR([1]Consulta!$G$29="",D759=[1]Consulta!$G$29,R759=[1]Consulta!$G$29)),ROW()-1,""))</f>
        <v/>
      </c>
    </row>
    <row r="760" spans="1:42" ht="1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 t="str">
        <f t="shared" si="99"/>
        <v/>
      </c>
      <c r="AG760" s="7" t="str">
        <f t="shared" si="107"/>
        <v/>
      </c>
      <c r="AH760" s="7" t="str">
        <f t="shared" si="100"/>
        <v/>
      </c>
      <c r="AI760" s="7" t="str">
        <f t="shared" si="101"/>
        <v/>
      </c>
      <c r="AJ760" s="7" t="str">
        <f t="shared" si="102"/>
        <v/>
      </c>
      <c r="AK760" s="7" t="str">
        <f t="shared" si="103"/>
        <v/>
      </c>
      <c r="AL760" s="7" t="str">
        <f t="shared" si="104"/>
        <v/>
      </c>
      <c r="AM760" s="7" t="str">
        <f t="shared" si="105"/>
        <v/>
      </c>
      <c r="AN760" s="8" t="str">
        <f>IF(C760="","",COUNTIF($C$2:C760,C760))</f>
        <v/>
      </c>
      <c r="AO760" s="8" t="str">
        <f t="shared" si="106"/>
        <v/>
      </c>
      <c r="AP760" s="8" t="str">
        <f>IF(C760="","",IF(AND(OR([1]Consulta!$C$29="",A760=[1]Consulta!$C$29),OR([1]Consulta!$E$29="",B760=[1]Consulta!$E$29),OR([1]Consulta!$G$29="",D760=[1]Consulta!$G$29,R760=[1]Consulta!$G$29)),ROW()-1,""))</f>
        <v/>
      </c>
    </row>
    <row r="761" spans="1:42" ht="1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 t="str">
        <f t="shared" si="99"/>
        <v/>
      </c>
      <c r="AG761" s="7" t="str">
        <f t="shared" si="107"/>
        <v/>
      </c>
      <c r="AH761" s="7" t="str">
        <f t="shared" si="100"/>
        <v/>
      </c>
      <c r="AI761" s="7" t="str">
        <f t="shared" si="101"/>
        <v/>
      </c>
      <c r="AJ761" s="7" t="str">
        <f t="shared" si="102"/>
        <v/>
      </c>
      <c r="AK761" s="7" t="str">
        <f t="shared" si="103"/>
        <v/>
      </c>
      <c r="AL761" s="7" t="str">
        <f t="shared" si="104"/>
        <v/>
      </c>
      <c r="AM761" s="7" t="str">
        <f t="shared" si="105"/>
        <v/>
      </c>
      <c r="AN761" s="8" t="str">
        <f>IF(C761="","",COUNTIF($C$2:C761,C761))</f>
        <v/>
      </c>
      <c r="AO761" s="8" t="str">
        <f t="shared" si="106"/>
        <v/>
      </c>
      <c r="AP761" s="8" t="str">
        <f>IF(C761="","",IF(AND(OR([1]Consulta!$C$29="",A761=[1]Consulta!$C$29),OR([1]Consulta!$E$29="",B761=[1]Consulta!$E$29),OR([1]Consulta!$G$29="",D761=[1]Consulta!$G$29,R761=[1]Consulta!$G$29)),ROW()-1,""))</f>
        <v/>
      </c>
    </row>
    <row r="762" spans="1:42" ht="1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 t="str">
        <f t="shared" si="99"/>
        <v/>
      </c>
      <c r="AG762" s="7" t="str">
        <f t="shared" si="107"/>
        <v/>
      </c>
      <c r="AH762" s="7" t="str">
        <f t="shared" si="100"/>
        <v/>
      </c>
      <c r="AI762" s="7" t="str">
        <f t="shared" si="101"/>
        <v/>
      </c>
      <c r="AJ762" s="7" t="str">
        <f t="shared" si="102"/>
        <v/>
      </c>
      <c r="AK762" s="7" t="str">
        <f t="shared" si="103"/>
        <v/>
      </c>
      <c r="AL762" s="7" t="str">
        <f t="shared" si="104"/>
        <v/>
      </c>
      <c r="AM762" s="7" t="str">
        <f t="shared" si="105"/>
        <v/>
      </c>
      <c r="AN762" s="8" t="str">
        <f>IF(C762="","",COUNTIF($C$2:C762,C762))</f>
        <v/>
      </c>
      <c r="AO762" s="8" t="str">
        <f t="shared" si="106"/>
        <v/>
      </c>
      <c r="AP762" s="8" t="str">
        <f>IF(C762="","",IF(AND(OR([1]Consulta!$C$29="",A762=[1]Consulta!$C$29),OR([1]Consulta!$E$29="",B762=[1]Consulta!$E$29),OR([1]Consulta!$G$29="",D762=[1]Consulta!$G$29,R762=[1]Consulta!$G$29)),ROW()-1,""))</f>
        <v/>
      </c>
    </row>
    <row r="763" spans="1:42" ht="1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 t="str">
        <f t="shared" si="99"/>
        <v/>
      </c>
      <c r="AG763" s="7" t="str">
        <f t="shared" si="107"/>
        <v/>
      </c>
      <c r="AH763" s="7" t="str">
        <f t="shared" si="100"/>
        <v/>
      </c>
      <c r="AI763" s="7" t="str">
        <f t="shared" si="101"/>
        <v/>
      </c>
      <c r="AJ763" s="7" t="str">
        <f t="shared" si="102"/>
        <v/>
      </c>
      <c r="AK763" s="7" t="str">
        <f t="shared" si="103"/>
        <v/>
      </c>
      <c r="AL763" s="7" t="str">
        <f t="shared" si="104"/>
        <v/>
      </c>
      <c r="AM763" s="7" t="str">
        <f t="shared" si="105"/>
        <v/>
      </c>
      <c r="AN763" s="8" t="str">
        <f>IF(C763="","",COUNTIF($C$2:C763,C763))</f>
        <v/>
      </c>
      <c r="AO763" s="8" t="str">
        <f t="shared" si="106"/>
        <v/>
      </c>
      <c r="AP763" s="8" t="str">
        <f>IF(C763="","",IF(AND(OR([1]Consulta!$C$29="",A763=[1]Consulta!$C$29),OR([1]Consulta!$E$29="",B763=[1]Consulta!$E$29),OR([1]Consulta!$G$29="",D763=[1]Consulta!$G$29,R763=[1]Consulta!$G$29)),ROW()-1,""))</f>
        <v/>
      </c>
    </row>
    <row r="764" spans="1:42" ht="1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 t="str">
        <f t="shared" si="99"/>
        <v/>
      </c>
      <c r="AG764" s="7" t="str">
        <f t="shared" si="107"/>
        <v/>
      </c>
      <c r="AH764" s="7" t="str">
        <f t="shared" si="100"/>
        <v/>
      </c>
      <c r="AI764" s="7" t="str">
        <f t="shared" si="101"/>
        <v/>
      </c>
      <c r="AJ764" s="7" t="str">
        <f t="shared" si="102"/>
        <v/>
      </c>
      <c r="AK764" s="7" t="str">
        <f t="shared" si="103"/>
        <v/>
      </c>
      <c r="AL764" s="7" t="str">
        <f t="shared" si="104"/>
        <v/>
      </c>
      <c r="AM764" s="7" t="str">
        <f t="shared" si="105"/>
        <v/>
      </c>
      <c r="AN764" s="8" t="str">
        <f>IF(C764="","",COUNTIF($C$2:C764,C764))</f>
        <v/>
      </c>
      <c r="AO764" s="8" t="str">
        <f t="shared" si="106"/>
        <v/>
      </c>
      <c r="AP764" s="8" t="str">
        <f>IF(C764="","",IF(AND(OR([1]Consulta!$C$29="",A764=[1]Consulta!$C$29),OR([1]Consulta!$E$29="",B764=[1]Consulta!$E$29),OR([1]Consulta!$G$29="",D764=[1]Consulta!$G$29,R764=[1]Consulta!$G$29)),ROW()-1,""))</f>
        <v/>
      </c>
    </row>
    <row r="765" spans="1:42" ht="1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 t="str">
        <f t="shared" si="99"/>
        <v/>
      </c>
      <c r="AG765" s="7" t="str">
        <f t="shared" si="107"/>
        <v/>
      </c>
      <c r="AH765" s="7" t="str">
        <f t="shared" si="100"/>
        <v/>
      </c>
      <c r="AI765" s="7" t="str">
        <f t="shared" si="101"/>
        <v/>
      </c>
      <c r="AJ765" s="7" t="str">
        <f t="shared" si="102"/>
        <v/>
      </c>
      <c r="AK765" s="7" t="str">
        <f t="shared" si="103"/>
        <v/>
      </c>
      <c r="AL765" s="7" t="str">
        <f t="shared" si="104"/>
        <v/>
      </c>
      <c r="AM765" s="7" t="str">
        <f t="shared" si="105"/>
        <v/>
      </c>
      <c r="AN765" s="8" t="str">
        <f>IF(C765="","",COUNTIF($C$2:C765,C765))</f>
        <v/>
      </c>
      <c r="AO765" s="8" t="str">
        <f t="shared" si="106"/>
        <v/>
      </c>
      <c r="AP765" s="8" t="str">
        <f>IF(C765="","",IF(AND(OR([1]Consulta!$C$29="",A765=[1]Consulta!$C$29),OR([1]Consulta!$E$29="",B765=[1]Consulta!$E$29),OR([1]Consulta!$G$29="",D765=[1]Consulta!$G$29,R765=[1]Consulta!$G$29)),ROW()-1,""))</f>
        <v/>
      </c>
    </row>
    <row r="766" spans="1:42" ht="1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 t="str">
        <f t="shared" si="99"/>
        <v/>
      </c>
      <c r="AG766" s="7" t="str">
        <f t="shared" si="107"/>
        <v/>
      </c>
      <c r="AH766" s="7" t="str">
        <f t="shared" si="100"/>
        <v/>
      </c>
      <c r="AI766" s="7" t="str">
        <f t="shared" si="101"/>
        <v/>
      </c>
      <c r="AJ766" s="7" t="str">
        <f t="shared" si="102"/>
        <v/>
      </c>
      <c r="AK766" s="7" t="str">
        <f t="shared" si="103"/>
        <v/>
      </c>
      <c r="AL766" s="7" t="str">
        <f t="shared" si="104"/>
        <v/>
      </c>
      <c r="AM766" s="7" t="str">
        <f t="shared" si="105"/>
        <v/>
      </c>
      <c r="AN766" s="8" t="str">
        <f>IF(C766="","",COUNTIF($C$2:C766,C766))</f>
        <v/>
      </c>
      <c r="AO766" s="8" t="str">
        <f t="shared" si="106"/>
        <v/>
      </c>
      <c r="AP766" s="8" t="str">
        <f>IF(C766="","",IF(AND(OR([1]Consulta!$C$29="",A766=[1]Consulta!$C$29),OR([1]Consulta!$E$29="",B766=[1]Consulta!$E$29),OR([1]Consulta!$G$29="",D766=[1]Consulta!$G$29,R766=[1]Consulta!$G$29)),ROW()-1,""))</f>
        <v/>
      </c>
    </row>
    <row r="767" spans="1:42" ht="1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 t="str">
        <f t="shared" si="99"/>
        <v/>
      </c>
      <c r="AG767" s="7" t="str">
        <f t="shared" si="107"/>
        <v/>
      </c>
      <c r="AH767" s="7" t="str">
        <f t="shared" si="100"/>
        <v/>
      </c>
      <c r="AI767" s="7" t="str">
        <f t="shared" si="101"/>
        <v/>
      </c>
      <c r="AJ767" s="7" t="str">
        <f t="shared" si="102"/>
        <v/>
      </c>
      <c r="AK767" s="7" t="str">
        <f t="shared" si="103"/>
        <v/>
      </c>
      <c r="AL767" s="7" t="str">
        <f t="shared" si="104"/>
        <v/>
      </c>
      <c r="AM767" s="7" t="str">
        <f t="shared" si="105"/>
        <v/>
      </c>
      <c r="AN767" s="8" t="str">
        <f>IF(C767="","",COUNTIF($C$2:C767,C767))</f>
        <v/>
      </c>
      <c r="AO767" s="8" t="str">
        <f t="shared" si="106"/>
        <v/>
      </c>
      <c r="AP767" s="8" t="str">
        <f>IF(C767="","",IF(AND(OR([1]Consulta!$C$29="",A767=[1]Consulta!$C$29),OR([1]Consulta!$E$29="",B767=[1]Consulta!$E$29),OR([1]Consulta!$G$29="",D767=[1]Consulta!$G$29,R767=[1]Consulta!$G$29)),ROW()-1,""))</f>
        <v/>
      </c>
    </row>
    <row r="768" spans="1:42" ht="1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 t="str">
        <f t="shared" si="99"/>
        <v/>
      </c>
      <c r="AG768" s="7" t="str">
        <f t="shared" si="107"/>
        <v/>
      </c>
      <c r="AH768" s="7" t="str">
        <f t="shared" si="100"/>
        <v/>
      </c>
      <c r="AI768" s="7" t="str">
        <f t="shared" si="101"/>
        <v/>
      </c>
      <c r="AJ768" s="7" t="str">
        <f t="shared" si="102"/>
        <v/>
      </c>
      <c r="AK768" s="7" t="str">
        <f t="shared" si="103"/>
        <v/>
      </c>
      <c r="AL768" s="7" t="str">
        <f t="shared" si="104"/>
        <v/>
      </c>
      <c r="AM768" s="7" t="str">
        <f t="shared" si="105"/>
        <v/>
      </c>
      <c r="AN768" s="8" t="str">
        <f>IF(C768="","",COUNTIF($C$2:C768,C768))</f>
        <v/>
      </c>
      <c r="AO768" s="8" t="str">
        <f t="shared" si="106"/>
        <v/>
      </c>
      <c r="AP768" s="8" t="str">
        <f>IF(C768="","",IF(AND(OR([1]Consulta!$C$29="",A768=[1]Consulta!$C$29),OR([1]Consulta!$E$29="",B768=[1]Consulta!$E$29),OR([1]Consulta!$G$29="",D768=[1]Consulta!$G$29,R768=[1]Consulta!$G$29)),ROW()-1,""))</f>
        <v/>
      </c>
    </row>
    <row r="769" spans="1:42" ht="1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 t="str">
        <f t="shared" si="99"/>
        <v/>
      </c>
      <c r="AG769" s="7" t="str">
        <f t="shared" si="107"/>
        <v/>
      </c>
      <c r="AH769" s="7" t="str">
        <f t="shared" si="100"/>
        <v/>
      </c>
      <c r="AI769" s="7" t="str">
        <f t="shared" si="101"/>
        <v/>
      </c>
      <c r="AJ769" s="7" t="str">
        <f t="shared" si="102"/>
        <v/>
      </c>
      <c r="AK769" s="7" t="str">
        <f t="shared" si="103"/>
        <v/>
      </c>
      <c r="AL769" s="7" t="str">
        <f t="shared" si="104"/>
        <v/>
      </c>
      <c r="AM769" s="7" t="str">
        <f t="shared" si="105"/>
        <v/>
      </c>
      <c r="AN769" s="8" t="str">
        <f>IF(C769="","",COUNTIF($C$2:C769,C769))</f>
        <v/>
      </c>
      <c r="AO769" s="8" t="str">
        <f t="shared" si="106"/>
        <v/>
      </c>
      <c r="AP769" s="8" t="str">
        <f>IF(C769="","",IF(AND(OR([1]Consulta!$C$29="",A769=[1]Consulta!$C$29),OR([1]Consulta!$E$29="",B769=[1]Consulta!$E$29),OR([1]Consulta!$G$29="",D769=[1]Consulta!$G$29,R769=[1]Consulta!$G$29)),ROW()-1,""))</f>
        <v/>
      </c>
    </row>
    <row r="770" spans="1:42" ht="1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 t="str">
        <f t="shared" ref="AF770:AF833" si="108">IF(C770="","",IF(AND(ISNUMBER(K770),ISNUMBER(L770)),K770-L770,""))</f>
        <v/>
      </c>
      <c r="AG770" s="7" t="str">
        <f t="shared" si="107"/>
        <v/>
      </c>
      <c r="AH770" s="7" t="str">
        <f t="shared" ref="AH770:AH833" si="109">IF(C770="","",IF(AND(ISNUMBER(Y770),ISNUMBER(Z770)),Y770-Z770,""))</f>
        <v/>
      </c>
      <c r="AI770" s="7" t="str">
        <f t="shared" ref="AI770:AI833" si="110">IF(C770="","",IF(AH770="","N/A",IF(AH770&lt;0,"ALARMA","OK")))</f>
        <v/>
      </c>
      <c r="AJ770" s="7" t="str">
        <f t="shared" ref="AJ770:AJ833" si="111">IF(C770="","",IF(ISNUMBER(M770),IF(M770&gt;0,"CON ERRORES","OK"),"N/A"))</f>
        <v/>
      </c>
      <c r="AK770" s="7" t="str">
        <f t="shared" ref="AK770:AK833" si="112">IF(C770="","",IF(ISNUMBER(AA770),IF(AA770&gt;0,"CON ERRORES","OK"),"N/A"))</f>
        <v/>
      </c>
      <c r="AL770" s="7" t="str">
        <f t="shared" ref="AL770:AL833" si="113">IF(C770="","",IF(OR(AG770="ALARMA",AI770="ALARMA",AJ770="CON ERRORES",AK770="CON ERRORES"),"REVISAR","OK"))</f>
        <v/>
      </c>
      <c r="AM770" s="7" t="str">
        <f t="shared" ref="AM770:AM833" si="114">IF(C770="","",IF(ISNUMBER(Q770),Q770,IF(ISNUMBER(AE770),AE770,"Ver detalle")))</f>
        <v/>
      </c>
      <c r="AN770" s="8" t="str">
        <f>IF(C770="","",COUNTIF($C$2:C770,C770))</f>
        <v/>
      </c>
      <c r="AO770" s="8" t="str">
        <f t="shared" ref="AO770:AO833" si="115">IF(C770="","",C770&amp;"|"&amp;AN770)</f>
        <v/>
      </c>
      <c r="AP770" s="8" t="str">
        <f>IF(C770="","",IF(AND(OR([1]Consulta!$C$29="",A770=[1]Consulta!$C$29),OR([1]Consulta!$E$29="",B770=[1]Consulta!$E$29),OR([1]Consulta!$G$29="",D770=[1]Consulta!$G$29,R770=[1]Consulta!$G$29)),ROW()-1,""))</f>
        <v/>
      </c>
    </row>
    <row r="771" spans="1:42" ht="1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 t="str">
        <f t="shared" si="108"/>
        <v/>
      </c>
      <c r="AG771" s="7" t="str">
        <f t="shared" ref="AG771:AG834" si="116">IF(C771="","",IF(AF771="","N/A",IF(AF771&lt;0,"ALARMA","OK")))</f>
        <v/>
      </c>
      <c r="AH771" s="7" t="str">
        <f t="shared" si="109"/>
        <v/>
      </c>
      <c r="AI771" s="7" t="str">
        <f t="shared" si="110"/>
        <v/>
      </c>
      <c r="AJ771" s="7" t="str">
        <f t="shared" si="111"/>
        <v/>
      </c>
      <c r="AK771" s="7" t="str">
        <f t="shared" si="112"/>
        <v/>
      </c>
      <c r="AL771" s="7" t="str">
        <f t="shared" si="113"/>
        <v/>
      </c>
      <c r="AM771" s="7" t="str">
        <f t="shared" si="114"/>
        <v/>
      </c>
      <c r="AN771" s="8" t="str">
        <f>IF(C771="","",COUNTIF($C$2:C771,C771))</f>
        <v/>
      </c>
      <c r="AO771" s="8" t="str">
        <f t="shared" si="115"/>
        <v/>
      </c>
      <c r="AP771" s="8" t="str">
        <f>IF(C771="","",IF(AND(OR([1]Consulta!$C$29="",A771=[1]Consulta!$C$29),OR([1]Consulta!$E$29="",B771=[1]Consulta!$E$29),OR([1]Consulta!$G$29="",D771=[1]Consulta!$G$29,R771=[1]Consulta!$G$29)),ROW()-1,""))</f>
        <v/>
      </c>
    </row>
    <row r="772" spans="1:42" ht="1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 t="str">
        <f t="shared" si="108"/>
        <v/>
      </c>
      <c r="AG772" s="7" t="str">
        <f t="shared" si="116"/>
        <v/>
      </c>
      <c r="AH772" s="7" t="str">
        <f t="shared" si="109"/>
        <v/>
      </c>
      <c r="AI772" s="7" t="str">
        <f t="shared" si="110"/>
        <v/>
      </c>
      <c r="AJ772" s="7" t="str">
        <f t="shared" si="111"/>
        <v/>
      </c>
      <c r="AK772" s="7" t="str">
        <f t="shared" si="112"/>
        <v/>
      </c>
      <c r="AL772" s="7" t="str">
        <f t="shared" si="113"/>
        <v/>
      </c>
      <c r="AM772" s="7" t="str">
        <f t="shared" si="114"/>
        <v/>
      </c>
      <c r="AN772" s="8" t="str">
        <f>IF(C772="","",COUNTIF($C$2:C772,C772))</f>
        <v/>
      </c>
      <c r="AO772" s="8" t="str">
        <f t="shared" si="115"/>
        <v/>
      </c>
      <c r="AP772" s="8" t="str">
        <f>IF(C772="","",IF(AND(OR([1]Consulta!$C$29="",A772=[1]Consulta!$C$29),OR([1]Consulta!$E$29="",B772=[1]Consulta!$E$29),OR([1]Consulta!$G$29="",D772=[1]Consulta!$G$29,R772=[1]Consulta!$G$29)),ROW()-1,""))</f>
        <v/>
      </c>
    </row>
    <row r="773" spans="1:42" ht="1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 t="str">
        <f t="shared" si="108"/>
        <v/>
      </c>
      <c r="AG773" s="7" t="str">
        <f t="shared" si="116"/>
        <v/>
      </c>
      <c r="AH773" s="7" t="str">
        <f t="shared" si="109"/>
        <v/>
      </c>
      <c r="AI773" s="7" t="str">
        <f t="shared" si="110"/>
        <v/>
      </c>
      <c r="AJ773" s="7" t="str">
        <f t="shared" si="111"/>
        <v/>
      </c>
      <c r="AK773" s="7" t="str">
        <f t="shared" si="112"/>
        <v/>
      </c>
      <c r="AL773" s="7" t="str">
        <f t="shared" si="113"/>
        <v/>
      </c>
      <c r="AM773" s="7" t="str">
        <f t="shared" si="114"/>
        <v/>
      </c>
      <c r="AN773" s="8" t="str">
        <f>IF(C773="","",COUNTIF($C$2:C773,C773))</f>
        <v/>
      </c>
      <c r="AO773" s="8" t="str">
        <f t="shared" si="115"/>
        <v/>
      </c>
      <c r="AP773" s="8" t="str">
        <f>IF(C773="","",IF(AND(OR([1]Consulta!$C$29="",A773=[1]Consulta!$C$29),OR([1]Consulta!$E$29="",B773=[1]Consulta!$E$29),OR([1]Consulta!$G$29="",D773=[1]Consulta!$G$29,R773=[1]Consulta!$G$29)),ROW()-1,""))</f>
        <v/>
      </c>
    </row>
    <row r="774" spans="1:42" ht="1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 t="str">
        <f t="shared" si="108"/>
        <v/>
      </c>
      <c r="AG774" s="7" t="str">
        <f t="shared" si="116"/>
        <v/>
      </c>
      <c r="AH774" s="7" t="str">
        <f t="shared" si="109"/>
        <v/>
      </c>
      <c r="AI774" s="7" t="str">
        <f t="shared" si="110"/>
        <v/>
      </c>
      <c r="AJ774" s="7" t="str">
        <f t="shared" si="111"/>
        <v/>
      </c>
      <c r="AK774" s="7" t="str">
        <f t="shared" si="112"/>
        <v/>
      </c>
      <c r="AL774" s="7" t="str">
        <f t="shared" si="113"/>
        <v/>
      </c>
      <c r="AM774" s="7" t="str">
        <f t="shared" si="114"/>
        <v/>
      </c>
      <c r="AN774" s="8" t="str">
        <f>IF(C774="","",COUNTIF($C$2:C774,C774))</f>
        <v/>
      </c>
      <c r="AO774" s="8" t="str">
        <f t="shared" si="115"/>
        <v/>
      </c>
      <c r="AP774" s="8" t="str">
        <f>IF(C774="","",IF(AND(OR([1]Consulta!$C$29="",A774=[1]Consulta!$C$29),OR([1]Consulta!$E$29="",B774=[1]Consulta!$E$29),OR([1]Consulta!$G$29="",D774=[1]Consulta!$G$29,R774=[1]Consulta!$G$29)),ROW()-1,""))</f>
        <v/>
      </c>
    </row>
    <row r="775" spans="1:42" ht="1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 t="str">
        <f t="shared" si="108"/>
        <v/>
      </c>
      <c r="AG775" s="7" t="str">
        <f t="shared" si="116"/>
        <v/>
      </c>
      <c r="AH775" s="7" t="str">
        <f t="shared" si="109"/>
        <v/>
      </c>
      <c r="AI775" s="7" t="str">
        <f t="shared" si="110"/>
        <v/>
      </c>
      <c r="AJ775" s="7" t="str">
        <f t="shared" si="111"/>
        <v/>
      </c>
      <c r="AK775" s="7" t="str">
        <f t="shared" si="112"/>
        <v/>
      </c>
      <c r="AL775" s="7" t="str">
        <f t="shared" si="113"/>
        <v/>
      </c>
      <c r="AM775" s="7" t="str">
        <f t="shared" si="114"/>
        <v/>
      </c>
      <c r="AN775" s="8" t="str">
        <f>IF(C775="","",COUNTIF($C$2:C775,C775))</f>
        <v/>
      </c>
      <c r="AO775" s="8" t="str">
        <f t="shared" si="115"/>
        <v/>
      </c>
      <c r="AP775" s="8" t="str">
        <f>IF(C775="","",IF(AND(OR([1]Consulta!$C$29="",A775=[1]Consulta!$C$29),OR([1]Consulta!$E$29="",B775=[1]Consulta!$E$29),OR([1]Consulta!$G$29="",D775=[1]Consulta!$G$29,R775=[1]Consulta!$G$29)),ROW()-1,""))</f>
        <v/>
      </c>
    </row>
    <row r="776" spans="1:42" ht="1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 t="str">
        <f t="shared" si="108"/>
        <v/>
      </c>
      <c r="AG776" s="7" t="str">
        <f t="shared" si="116"/>
        <v/>
      </c>
      <c r="AH776" s="7" t="str">
        <f t="shared" si="109"/>
        <v/>
      </c>
      <c r="AI776" s="7" t="str">
        <f t="shared" si="110"/>
        <v/>
      </c>
      <c r="AJ776" s="7" t="str">
        <f t="shared" si="111"/>
        <v/>
      </c>
      <c r="AK776" s="7" t="str">
        <f t="shared" si="112"/>
        <v/>
      </c>
      <c r="AL776" s="7" t="str">
        <f t="shared" si="113"/>
        <v/>
      </c>
      <c r="AM776" s="7" t="str">
        <f t="shared" si="114"/>
        <v/>
      </c>
      <c r="AN776" s="8" t="str">
        <f>IF(C776="","",COUNTIF($C$2:C776,C776))</f>
        <v/>
      </c>
      <c r="AO776" s="8" t="str">
        <f t="shared" si="115"/>
        <v/>
      </c>
      <c r="AP776" s="8" t="str">
        <f>IF(C776="","",IF(AND(OR([1]Consulta!$C$29="",A776=[1]Consulta!$C$29),OR([1]Consulta!$E$29="",B776=[1]Consulta!$E$29),OR([1]Consulta!$G$29="",D776=[1]Consulta!$G$29,R776=[1]Consulta!$G$29)),ROW()-1,""))</f>
        <v/>
      </c>
    </row>
    <row r="777" spans="1:42" ht="1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 t="str">
        <f t="shared" si="108"/>
        <v/>
      </c>
      <c r="AG777" s="7" t="str">
        <f t="shared" si="116"/>
        <v/>
      </c>
      <c r="AH777" s="7" t="str">
        <f t="shared" si="109"/>
        <v/>
      </c>
      <c r="AI777" s="7" t="str">
        <f t="shared" si="110"/>
        <v/>
      </c>
      <c r="AJ777" s="7" t="str">
        <f t="shared" si="111"/>
        <v/>
      </c>
      <c r="AK777" s="7" t="str">
        <f t="shared" si="112"/>
        <v/>
      </c>
      <c r="AL777" s="7" t="str">
        <f t="shared" si="113"/>
        <v/>
      </c>
      <c r="AM777" s="7" t="str">
        <f t="shared" si="114"/>
        <v/>
      </c>
      <c r="AN777" s="8" t="str">
        <f>IF(C777="","",COUNTIF($C$2:C777,C777))</f>
        <v/>
      </c>
      <c r="AO777" s="8" t="str">
        <f t="shared" si="115"/>
        <v/>
      </c>
      <c r="AP777" s="8" t="str">
        <f>IF(C777="","",IF(AND(OR([1]Consulta!$C$29="",A777=[1]Consulta!$C$29),OR([1]Consulta!$E$29="",B777=[1]Consulta!$E$29),OR([1]Consulta!$G$29="",D777=[1]Consulta!$G$29,R777=[1]Consulta!$G$29)),ROW()-1,""))</f>
        <v/>
      </c>
    </row>
    <row r="778" spans="1:42" ht="1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 t="str">
        <f t="shared" si="108"/>
        <v/>
      </c>
      <c r="AG778" s="7" t="str">
        <f t="shared" si="116"/>
        <v/>
      </c>
      <c r="AH778" s="7" t="str">
        <f t="shared" si="109"/>
        <v/>
      </c>
      <c r="AI778" s="7" t="str">
        <f t="shared" si="110"/>
        <v/>
      </c>
      <c r="AJ778" s="7" t="str">
        <f t="shared" si="111"/>
        <v/>
      </c>
      <c r="AK778" s="7" t="str">
        <f t="shared" si="112"/>
        <v/>
      </c>
      <c r="AL778" s="7" t="str">
        <f t="shared" si="113"/>
        <v/>
      </c>
      <c r="AM778" s="7" t="str">
        <f t="shared" si="114"/>
        <v/>
      </c>
      <c r="AN778" s="8" t="str">
        <f>IF(C778="","",COUNTIF($C$2:C778,C778))</f>
        <v/>
      </c>
      <c r="AO778" s="8" t="str">
        <f t="shared" si="115"/>
        <v/>
      </c>
      <c r="AP778" s="8" t="str">
        <f>IF(C778="","",IF(AND(OR([1]Consulta!$C$29="",A778=[1]Consulta!$C$29),OR([1]Consulta!$E$29="",B778=[1]Consulta!$E$29),OR([1]Consulta!$G$29="",D778=[1]Consulta!$G$29,R778=[1]Consulta!$G$29)),ROW()-1,""))</f>
        <v/>
      </c>
    </row>
    <row r="779" spans="1:42" ht="1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 t="str">
        <f t="shared" si="108"/>
        <v/>
      </c>
      <c r="AG779" s="7" t="str">
        <f t="shared" si="116"/>
        <v/>
      </c>
      <c r="AH779" s="7" t="str">
        <f t="shared" si="109"/>
        <v/>
      </c>
      <c r="AI779" s="7" t="str">
        <f t="shared" si="110"/>
        <v/>
      </c>
      <c r="AJ779" s="7" t="str">
        <f t="shared" si="111"/>
        <v/>
      </c>
      <c r="AK779" s="7" t="str">
        <f t="shared" si="112"/>
        <v/>
      </c>
      <c r="AL779" s="7" t="str">
        <f t="shared" si="113"/>
        <v/>
      </c>
      <c r="AM779" s="7" t="str">
        <f t="shared" si="114"/>
        <v/>
      </c>
      <c r="AN779" s="8" t="str">
        <f>IF(C779="","",COUNTIF($C$2:C779,C779))</f>
        <v/>
      </c>
      <c r="AO779" s="8" t="str">
        <f t="shared" si="115"/>
        <v/>
      </c>
      <c r="AP779" s="8" t="str">
        <f>IF(C779="","",IF(AND(OR([1]Consulta!$C$29="",A779=[1]Consulta!$C$29),OR([1]Consulta!$E$29="",B779=[1]Consulta!$E$29),OR([1]Consulta!$G$29="",D779=[1]Consulta!$G$29,R779=[1]Consulta!$G$29)),ROW()-1,""))</f>
        <v/>
      </c>
    </row>
    <row r="780" spans="1:42" ht="1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 t="str">
        <f t="shared" si="108"/>
        <v/>
      </c>
      <c r="AG780" s="7" t="str">
        <f t="shared" si="116"/>
        <v/>
      </c>
      <c r="AH780" s="7" t="str">
        <f t="shared" si="109"/>
        <v/>
      </c>
      <c r="AI780" s="7" t="str">
        <f t="shared" si="110"/>
        <v/>
      </c>
      <c r="AJ780" s="7" t="str">
        <f t="shared" si="111"/>
        <v/>
      </c>
      <c r="AK780" s="7" t="str">
        <f t="shared" si="112"/>
        <v/>
      </c>
      <c r="AL780" s="7" t="str">
        <f t="shared" si="113"/>
        <v/>
      </c>
      <c r="AM780" s="7" t="str">
        <f t="shared" si="114"/>
        <v/>
      </c>
      <c r="AN780" s="8" t="str">
        <f>IF(C780="","",COUNTIF($C$2:C780,C780))</f>
        <v/>
      </c>
      <c r="AO780" s="8" t="str">
        <f t="shared" si="115"/>
        <v/>
      </c>
      <c r="AP780" s="8" t="str">
        <f>IF(C780="","",IF(AND(OR([1]Consulta!$C$29="",A780=[1]Consulta!$C$29),OR([1]Consulta!$E$29="",B780=[1]Consulta!$E$29),OR([1]Consulta!$G$29="",D780=[1]Consulta!$G$29,R780=[1]Consulta!$G$29)),ROW()-1,""))</f>
        <v/>
      </c>
    </row>
    <row r="781" spans="1:42" ht="1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 t="str">
        <f t="shared" si="108"/>
        <v/>
      </c>
      <c r="AG781" s="7" t="str">
        <f t="shared" si="116"/>
        <v/>
      </c>
      <c r="AH781" s="7" t="str">
        <f t="shared" si="109"/>
        <v/>
      </c>
      <c r="AI781" s="7" t="str">
        <f t="shared" si="110"/>
        <v/>
      </c>
      <c r="AJ781" s="7" t="str">
        <f t="shared" si="111"/>
        <v/>
      </c>
      <c r="AK781" s="7" t="str">
        <f t="shared" si="112"/>
        <v/>
      </c>
      <c r="AL781" s="7" t="str">
        <f t="shared" si="113"/>
        <v/>
      </c>
      <c r="AM781" s="7" t="str">
        <f t="shared" si="114"/>
        <v/>
      </c>
      <c r="AN781" s="8" t="str">
        <f>IF(C781="","",COUNTIF($C$2:C781,C781))</f>
        <v/>
      </c>
      <c r="AO781" s="8" t="str">
        <f t="shared" si="115"/>
        <v/>
      </c>
      <c r="AP781" s="8" t="str">
        <f>IF(C781="","",IF(AND(OR([1]Consulta!$C$29="",A781=[1]Consulta!$C$29),OR([1]Consulta!$E$29="",B781=[1]Consulta!$E$29),OR([1]Consulta!$G$29="",D781=[1]Consulta!$G$29,R781=[1]Consulta!$G$29)),ROW()-1,""))</f>
        <v/>
      </c>
    </row>
    <row r="782" spans="1:42" ht="1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 t="str">
        <f t="shared" si="108"/>
        <v/>
      </c>
      <c r="AG782" s="7" t="str">
        <f t="shared" si="116"/>
        <v/>
      </c>
      <c r="AH782" s="7" t="str">
        <f t="shared" si="109"/>
        <v/>
      </c>
      <c r="AI782" s="7" t="str">
        <f t="shared" si="110"/>
        <v/>
      </c>
      <c r="AJ782" s="7" t="str">
        <f t="shared" si="111"/>
        <v/>
      </c>
      <c r="AK782" s="7" t="str">
        <f t="shared" si="112"/>
        <v/>
      </c>
      <c r="AL782" s="7" t="str">
        <f t="shared" si="113"/>
        <v/>
      </c>
      <c r="AM782" s="7" t="str">
        <f t="shared" si="114"/>
        <v/>
      </c>
      <c r="AN782" s="8" t="str">
        <f>IF(C782="","",COUNTIF($C$2:C782,C782))</f>
        <v/>
      </c>
      <c r="AO782" s="8" t="str">
        <f t="shared" si="115"/>
        <v/>
      </c>
      <c r="AP782" s="8" t="str">
        <f>IF(C782="","",IF(AND(OR([1]Consulta!$C$29="",A782=[1]Consulta!$C$29),OR([1]Consulta!$E$29="",B782=[1]Consulta!$E$29),OR([1]Consulta!$G$29="",D782=[1]Consulta!$G$29,R782=[1]Consulta!$G$29)),ROW()-1,""))</f>
        <v/>
      </c>
    </row>
    <row r="783" spans="1:42" ht="1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 t="str">
        <f t="shared" si="108"/>
        <v/>
      </c>
      <c r="AG783" s="7" t="str">
        <f t="shared" si="116"/>
        <v/>
      </c>
      <c r="AH783" s="7" t="str">
        <f t="shared" si="109"/>
        <v/>
      </c>
      <c r="AI783" s="7" t="str">
        <f t="shared" si="110"/>
        <v/>
      </c>
      <c r="AJ783" s="7" t="str">
        <f t="shared" si="111"/>
        <v/>
      </c>
      <c r="AK783" s="7" t="str">
        <f t="shared" si="112"/>
        <v/>
      </c>
      <c r="AL783" s="7" t="str">
        <f t="shared" si="113"/>
        <v/>
      </c>
      <c r="AM783" s="7" t="str">
        <f t="shared" si="114"/>
        <v/>
      </c>
      <c r="AN783" s="8" t="str">
        <f>IF(C783="","",COUNTIF($C$2:C783,C783))</f>
        <v/>
      </c>
      <c r="AO783" s="8" t="str">
        <f t="shared" si="115"/>
        <v/>
      </c>
      <c r="AP783" s="8" t="str">
        <f>IF(C783="","",IF(AND(OR([1]Consulta!$C$29="",A783=[1]Consulta!$C$29),OR([1]Consulta!$E$29="",B783=[1]Consulta!$E$29),OR([1]Consulta!$G$29="",D783=[1]Consulta!$G$29,R783=[1]Consulta!$G$29)),ROW()-1,""))</f>
        <v/>
      </c>
    </row>
    <row r="784" spans="1:42" ht="1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 t="str">
        <f t="shared" si="108"/>
        <v/>
      </c>
      <c r="AG784" s="7" t="str">
        <f t="shared" si="116"/>
        <v/>
      </c>
      <c r="AH784" s="7" t="str">
        <f t="shared" si="109"/>
        <v/>
      </c>
      <c r="AI784" s="7" t="str">
        <f t="shared" si="110"/>
        <v/>
      </c>
      <c r="AJ784" s="7" t="str">
        <f t="shared" si="111"/>
        <v/>
      </c>
      <c r="AK784" s="7" t="str">
        <f t="shared" si="112"/>
        <v/>
      </c>
      <c r="AL784" s="7" t="str">
        <f t="shared" si="113"/>
        <v/>
      </c>
      <c r="AM784" s="7" t="str">
        <f t="shared" si="114"/>
        <v/>
      </c>
      <c r="AN784" s="8" t="str">
        <f>IF(C784="","",COUNTIF($C$2:C784,C784))</f>
        <v/>
      </c>
      <c r="AO784" s="8" t="str">
        <f t="shared" si="115"/>
        <v/>
      </c>
      <c r="AP784" s="8" t="str">
        <f>IF(C784="","",IF(AND(OR([1]Consulta!$C$29="",A784=[1]Consulta!$C$29),OR([1]Consulta!$E$29="",B784=[1]Consulta!$E$29),OR([1]Consulta!$G$29="",D784=[1]Consulta!$G$29,R784=[1]Consulta!$G$29)),ROW()-1,""))</f>
        <v/>
      </c>
    </row>
    <row r="785" spans="1:42" ht="1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 t="str">
        <f t="shared" si="108"/>
        <v/>
      </c>
      <c r="AG785" s="7" t="str">
        <f t="shared" si="116"/>
        <v/>
      </c>
      <c r="AH785" s="7" t="str">
        <f t="shared" si="109"/>
        <v/>
      </c>
      <c r="AI785" s="7" t="str">
        <f t="shared" si="110"/>
        <v/>
      </c>
      <c r="AJ785" s="7" t="str">
        <f t="shared" si="111"/>
        <v/>
      </c>
      <c r="AK785" s="7" t="str">
        <f t="shared" si="112"/>
        <v/>
      </c>
      <c r="AL785" s="7" t="str">
        <f t="shared" si="113"/>
        <v/>
      </c>
      <c r="AM785" s="7" t="str">
        <f t="shared" si="114"/>
        <v/>
      </c>
      <c r="AN785" s="8" t="str">
        <f>IF(C785="","",COUNTIF($C$2:C785,C785))</f>
        <v/>
      </c>
      <c r="AO785" s="8" t="str">
        <f t="shared" si="115"/>
        <v/>
      </c>
      <c r="AP785" s="8" t="str">
        <f>IF(C785="","",IF(AND(OR([1]Consulta!$C$29="",A785=[1]Consulta!$C$29),OR([1]Consulta!$E$29="",B785=[1]Consulta!$E$29),OR([1]Consulta!$G$29="",D785=[1]Consulta!$G$29,R785=[1]Consulta!$G$29)),ROW()-1,""))</f>
        <v/>
      </c>
    </row>
    <row r="786" spans="1:42" ht="1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 t="str">
        <f t="shared" si="108"/>
        <v/>
      </c>
      <c r="AG786" s="7" t="str">
        <f t="shared" si="116"/>
        <v/>
      </c>
      <c r="AH786" s="7" t="str">
        <f t="shared" si="109"/>
        <v/>
      </c>
      <c r="AI786" s="7" t="str">
        <f t="shared" si="110"/>
        <v/>
      </c>
      <c r="AJ786" s="7" t="str">
        <f t="shared" si="111"/>
        <v/>
      </c>
      <c r="AK786" s="7" t="str">
        <f t="shared" si="112"/>
        <v/>
      </c>
      <c r="AL786" s="7" t="str">
        <f t="shared" si="113"/>
        <v/>
      </c>
      <c r="AM786" s="7" t="str">
        <f t="shared" si="114"/>
        <v/>
      </c>
      <c r="AN786" s="8" t="str">
        <f>IF(C786="","",COUNTIF($C$2:C786,C786))</f>
        <v/>
      </c>
      <c r="AO786" s="8" t="str">
        <f t="shared" si="115"/>
        <v/>
      </c>
      <c r="AP786" s="8" t="str">
        <f>IF(C786="","",IF(AND(OR([1]Consulta!$C$29="",A786=[1]Consulta!$C$29),OR([1]Consulta!$E$29="",B786=[1]Consulta!$E$29),OR([1]Consulta!$G$29="",D786=[1]Consulta!$G$29,R786=[1]Consulta!$G$29)),ROW()-1,""))</f>
        <v/>
      </c>
    </row>
    <row r="787" spans="1:42" ht="1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 t="str">
        <f t="shared" si="108"/>
        <v/>
      </c>
      <c r="AG787" s="7" t="str">
        <f t="shared" si="116"/>
        <v/>
      </c>
      <c r="AH787" s="7" t="str">
        <f t="shared" si="109"/>
        <v/>
      </c>
      <c r="AI787" s="7" t="str">
        <f t="shared" si="110"/>
        <v/>
      </c>
      <c r="AJ787" s="7" t="str">
        <f t="shared" si="111"/>
        <v/>
      </c>
      <c r="AK787" s="7" t="str">
        <f t="shared" si="112"/>
        <v/>
      </c>
      <c r="AL787" s="7" t="str">
        <f t="shared" si="113"/>
        <v/>
      </c>
      <c r="AM787" s="7" t="str">
        <f t="shared" si="114"/>
        <v/>
      </c>
      <c r="AN787" s="8" t="str">
        <f>IF(C787="","",COUNTIF($C$2:C787,C787))</f>
        <v/>
      </c>
      <c r="AO787" s="8" t="str">
        <f t="shared" si="115"/>
        <v/>
      </c>
      <c r="AP787" s="8" t="str">
        <f>IF(C787="","",IF(AND(OR([1]Consulta!$C$29="",A787=[1]Consulta!$C$29),OR([1]Consulta!$E$29="",B787=[1]Consulta!$E$29),OR([1]Consulta!$G$29="",D787=[1]Consulta!$G$29,R787=[1]Consulta!$G$29)),ROW()-1,""))</f>
        <v/>
      </c>
    </row>
    <row r="788" spans="1:42" ht="1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 t="str">
        <f t="shared" si="108"/>
        <v/>
      </c>
      <c r="AG788" s="7" t="str">
        <f t="shared" si="116"/>
        <v/>
      </c>
      <c r="AH788" s="7" t="str">
        <f t="shared" si="109"/>
        <v/>
      </c>
      <c r="AI788" s="7" t="str">
        <f t="shared" si="110"/>
        <v/>
      </c>
      <c r="AJ788" s="7" t="str">
        <f t="shared" si="111"/>
        <v/>
      </c>
      <c r="AK788" s="7" t="str">
        <f t="shared" si="112"/>
        <v/>
      </c>
      <c r="AL788" s="7" t="str">
        <f t="shared" si="113"/>
        <v/>
      </c>
      <c r="AM788" s="7" t="str">
        <f t="shared" si="114"/>
        <v/>
      </c>
      <c r="AN788" s="8" t="str">
        <f>IF(C788="","",COUNTIF($C$2:C788,C788))</f>
        <v/>
      </c>
      <c r="AO788" s="8" t="str">
        <f t="shared" si="115"/>
        <v/>
      </c>
      <c r="AP788" s="8" t="str">
        <f>IF(C788="","",IF(AND(OR([1]Consulta!$C$29="",A788=[1]Consulta!$C$29),OR([1]Consulta!$E$29="",B788=[1]Consulta!$E$29),OR([1]Consulta!$G$29="",D788=[1]Consulta!$G$29,R788=[1]Consulta!$G$29)),ROW()-1,""))</f>
        <v/>
      </c>
    </row>
    <row r="789" spans="1:42" ht="1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 t="str">
        <f t="shared" si="108"/>
        <v/>
      </c>
      <c r="AG789" s="7" t="str">
        <f t="shared" si="116"/>
        <v/>
      </c>
      <c r="AH789" s="7" t="str">
        <f t="shared" si="109"/>
        <v/>
      </c>
      <c r="AI789" s="7" t="str">
        <f t="shared" si="110"/>
        <v/>
      </c>
      <c r="AJ789" s="7" t="str">
        <f t="shared" si="111"/>
        <v/>
      </c>
      <c r="AK789" s="7" t="str">
        <f t="shared" si="112"/>
        <v/>
      </c>
      <c r="AL789" s="7" t="str">
        <f t="shared" si="113"/>
        <v/>
      </c>
      <c r="AM789" s="7" t="str">
        <f t="shared" si="114"/>
        <v/>
      </c>
      <c r="AN789" s="8" t="str">
        <f>IF(C789="","",COUNTIF($C$2:C789,C789))</f>
        <v/>
      </c>
      <c r="AO789" s="8" t="str">
        <f t="shared" si="115"/>
        <v/>
      </c>
      <c r="AP789" s="8" t="str">
        <f>IF(C789="","",IF(AND(OR([1]Consulta!$C$29="",A789=[1]Consulta!$C$29),OR([1]Consulta!$E$29="",B789=[1]Consulta!$E$29),OR([1]Consulta!$G$29="",D789=[1]Consulta!$G$29,R789=[1]Consulta!$G$29)),ROW()-1,""))</f>
        <v/>
      </c>
    </row>
    <row r="790" spans="1:42" ht="1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 t="str">
        <f t="shared" si="108"/>
        <v/>
      </c>
      <c r="AG790" s="7" t="str">
        <f t="shared" si="116"/>
        <v/>
      </c>
      <c r="AH790" s="7" t="str">
        <f t="shared" si="109"/>
        <v/>
      </c>
      <c r="AI790" s="7" t="str">
        <f t="shared" si="110"/>
        <v/>
      </c>
      <c r="AJ790" s="7" t="str">
        <f t="shared" si="111"/>
        <v/>
      </c>
      <c r="AK790" s="7" t="str">
        <f t="shared" si="112"/>
        <v/>
      </c>
      <c r="AL790" s="7" t="str">
        <f t="shared" si="113"/>
        <v/>
      </c>
      <c r="AM790" s="7" t="str">
        <f t="shared" si="114"/>
        <v/>
      </c>
      <c r="AN790" s="8" t="str">
        <f>IF(C790="","",COUNTIF($C$2:C790,C790))</f>
        <v/>
      </c>
      <c r="AO790" s="8" t="str">
        <f t="shared" si="115"/>
        <v/>
      </c>
      <c r="AP790" s="8" t="str">
        <f>IF(C790="","",IF(AND(OR([1]Consulta!$C$29="",A790=[1]Consulta!$C$29),OR([1]Consulta!$E$29="",B790=[1]Consulta!$E$29),OR([1]Consulta!$G$29="",D790=[1]Consulta!$G$29,R790=[1]Consulta!$G$29)),ROW()-1,""))</f>
        <v/>
      </c>
    </row>
    <row r="791" spans="1:42" ht="1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 t="str">
        <f t="shared" si="108"/>
        <v/>
      </c>
      <c r="AG791" s="7" t="str">
        <f t="shared" si="116"/>
        <v/>
      </c>
      <c r="AH791" s="7" t="str">
        <f t="shared" si="109"/>
        <v/>
      </c>
      <c r="AI791" s="7" t="str">
        <f t="shared" si="110"/>
        <v/>
      </c>
      <c r="AJ791" s="7" t="str">
        <f t="shared" si="111"/>
        <v/>
      </c>
      <c r="AK791" s="7" t="str">
        <f t="shared" si="112"/>
        <v/>
      </c>
      <c r="AL791" s="7" t="str">
        <f t="shared" si="113"/>
        <v/>
      </c>
      <c r="AM791" s="7" t="str">
        <f t="shared" si="114"/>
        <v/>
      </c>
      <c r="AN791" s="8" t="str">
        <f>IF(C791="","",COUNTIF($C$2:C791,C791))</f>
        <v/>
      </c>
      <c r="AO791" s="8" t="str">
        <f t="shared" si="115"/>
        <v/>
      </c>
      <c r="AP791" s="8" t="str">
        <f>IF(C791="","",IF(AND(OR([1]Consulta!$C$29="",A791=[1]Consulta!$C$29),OR([1]Consulta!$E$29="",B791=[1]Consulta!$E$29),OR([1]Consulta!$G$29="",D791=[1]Consulta!$G$29,R791=[1]Consulta!$G$29)),ROW()-1,""))</f>
        <v/>
      </c>
    </row>
    <row r="792" spans="1:42" ht="1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 t="str">
        <f t="shared" si="108"/>
        <v/>
      </c>
      <c r="AG792" s="7" t="str">
        <f t="shared" si="116"/>
        <v/>
      </c>
      <c r="AH792" s="7" t="str">
        <f t="shared" si="109"/>
        <v/>
      </c>
      <c r="AI792" s="7" t="str">
        <f t="shared" si="110"/>
        <v/>
      </c>
      <c r="AJ792" s="7" t="str">
        <f t="shared" si="111"/>
        <v/>
      </c>
      <c r="AK792" s="7" t="str">
        <f t="shared" si="112"/>
        <v/>
      </c>
      <c r="AL792" s="7" t="str">
        <f t="shared" si="113"/>
        <v/>
      </c>
      <c r="AM792" s="7" t="str">
        <f t="shared" si="114"/>
        <v/>
      </c>
      <c r="AN792" s="8" t="str">
        <f>IF(C792="","",COUNTIF($C$2:C792,C792))</f>
        <v/>
      </c>
      <c r="AO792" s="8" t="str">
        <f t="shared" si="115"/>
        <v/>
      </c>
      <c r="AP792" s="8" t="str">
        <f>IF(C792="","",IF(AND(OR([1]Consulta!$C$29="",A792=[1]Consulta!$C$29),OR([1]Consulta!$E$29="",B792=[1]Consulta!$E$29),OR([1]Consulta!$G$29="",D792=[1]Consulta!$G$29,R792=[1]Consulta!$G$29)),ROW()-1,""))</f>
        <v/>
      </c>
    </row>
    <row r="793" spans="1:42" ht="1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 t="str">
        <f t="shared" si="108"/>
        <v/>
      </c>
      <c r="AG793" s="7" t="str">
        <f t="shared" si="116"/>
        <v/>
      </c>
      <c r="AH793" s="7" t="str">
        <f t="shared" si="109"/>
        <v/>
      </c>
      <c r="AI793" s="7" t="str">
        <f t="shared" si="110"/>
        <v/>
      </c>
      <c r="AJ793" s="7" t="str">
        <f t="shared" si="111"/>
        <v/>
      </c>
      <c r="AK793" s="7" t="str">
        <f t="shared" si="112"/>
        <v/>
      </c>
      <c r="AL793" s="7" t="str">
        <f t="shared" si="113"/>
        <v/>
      </c>
      <c r="AM793" s="7" t="str">
        <f t="shared" si="114"/>
        <v/>
      </c>
      <c r="AN793" s="8" t="str">
        <f>IF(C793="","",COUNTIF($C$2:C793,C793))</f>
        <v/>
      </c>
      <c r="AO793" s="8" t="str">
        <f t="shared" si="115"/>
        <v/>
      </c>
      <c r="AP793" s="8" t="str">
        <f>IF(C793="","",IF(AND(OR([1]Consulta!$C$29="",A793=[1]Consulta!$C$29),OR([1]Consulta!$E$29="",B793=[1]Consulta!$E$29),OR([1]Consulta!$G$29="",D793=[1]Consulta!$G$29,R793=[1]Consulta!$G$29)),ROW()-1,""))</f>
        <v/>
      </c>
    </row>
    <row r="794" spans="1:42" ht="1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 t="str">
        <f t="shared" si="108"/>
        <v/>
      </c>
      <c r="AG794" s="7" t="str">
        <f t="shared" si="116"/>
        <v/>
      </c>
      <c r="AH794" s="7" t="str">
        <f t="shared" si="109"/>
        <v/>
      </c>
      <c r="AI794" s="7" t="str">
        <f t="shared" si="110"/>
        <v/>
      </c>
      <c r="AJ794" s="7" t="str">
        <f t="shared" si="111"/>
        <v/>
      </c>
      <c r="AK794" s="7" t="str">
        <f t="shared" si="112"/>
        <v/>
      </c>
      <c r="AL794" s="7" t="str">
        <f t="shared" si="113"/>
        <v/>
      </c>
      <c r="AM794" s="7" t="str">
        <f t="shared" si="114"/>
        <v/>
      </c>
      <c r="AN794" s="8" t="str">
        <f>IF(C794="","",COUNTIF($C$2:C794,C794))</f>
        <v/>
      </c>
      <c r="AO794" s="8" t="str">
        <f t="shared" si="115"/>
        <v/>
      </c>
      <c r="AP794" s="8" t="str">
        <f>IF(C794="","",IF(AND(OR([1]Consulta!$C$29="",A794=[1]Consulta!$C$29),OR([1]Consulta!$E$29="",B794=[1]Consulta!$E$29),OR([1]Consulta!$G$29="",D794=[1]Consulta!$G$29,R794=[1]Consulta!$G$29)),ROW()-1,""))</f>
        <v/>
      </c>
    </row>
    <row r="795" spans="1:42" ht="1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 t="str">
        <f t="shared" si="108"/>
        <v/>
      </c>
      <c r="AG795" s="7" t="str">
        <f t="shared" si="116"/>
        <v/>
      </c>
      <c r="AH795" s="7" t="str">
        <f t="shared" si="109"/>
        <v/>
      </c>
      <c r="AI795" s="7" t="str">
        <f t="shared" si="110"/>
        <v/>
      </c>
      <c r="AJ795" s="7" t="str">
        <f t="shared" si="111"/>
        <v/>
      </c>
      <c r="AK795" s="7" t="str">
        <f t="shared" si="112"/>
        <v/>
      </c>
      <c r="AL795" s="7" t="str">
        <f t="shared" si="113"/>
        <v/>
      </c>
      <c r="AM795" s="7" t="str">
        <f t="shared" si="114"/>
        <v/>
      </c>
      <c r="AN795" s="8" t="str">
        <f>IF(C795="","",COUNTIF($C$2:C795,C795))</f>
        <v/>
      </c>
      <c r="AO795" s="8" t="str">
        <f t="shared" si="115"/>
        <v/>
      </c>
      <c r="AP795" s="8" t="str">
        <f>IF(C795="","",IF(AND(OR([1]Consulta!$C$29="",A795=[1]Consulta!$C$29),OR([1]Consulta!$E$29="",B795=[1]Consulta!$E$29),OR([1]Consulta!$G$29="",D795=[1]Consulta!$G$29,R795=[1]Consulta!$G$29)),ROW()-1,""))</f>
        <v/>
      </c>
    </row>
    <row r="796" spans="1:42" ht="1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 t="str">
        <f t="shared" si="108"/>
        <v/>
      </c>
      <c r="AG796" s="7" t="str">
        <f t="shared" si="116"/>
        <v/>
      </c>
      <c r="AH796" s="7" t="str">
        <f t="shared" si="109"/>
        <v/>
      </c>
      <c r="AI796" s="7" t="str">
        <f t="shared" si="110"/>
        <v/>
      </c>
      <c r="AJ796" s="7" t="str">
        <f t="shared" si="111"/>
        <v/>
      </c>
      <c r="AK796" s="7" t="str">
        <f t="shared" si="112"/>
        <v/>
      </c>
      <c r="AL796" s="7" t="str">
        <f t="shared" si="113"/>
        <v/>
      </c>
      <c r="AM796" s="7" t="str">
        <f t="shared" si="114"/>
        <v/>
      </c>
      <c r="AN796" s="8" t="str">
        <f>IF(C796="","",COUNTIF($C$2:C796,C796))</f>
        <v/>
      </c>
      <c r="AO796" s="8" t="str">
        <f t="shared" si="115"/>
        <v/>
      </c>
      <c r="AP796" s="8" t="str">
        <f>IF(C796="","",IF(AND(OR([1]Consulta!$C$29="",A796=[1]Consulta!$C$29),OR([1]Consulta!$E$29="",B796=[1]Consulta!$E$29),OR([1]Consulta!$G$29="",D796=[1]Consulta!$G$29,R796=[1]Consulta!$G$29)),ROW()-1,""))</f>
        <v/>
      </c>
    </row>
    <row r="797" spans="1:42" ht="1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 t="str">
        <f t="shared" si="108"/>
        <v/>
      </c>
      <c r="AG797" s="7" t="str">
        <f t="shared" si="116"/>
        <v/>
      </c>
      <c r="AH797" s="7" t="str">
        <f t="shared" si="109"/>
        <v/>
      </c>
      <c r="AI797" s="7" t="str">
        <f t="shared" si="110"/>
        <v/>
      </c>
      <c r="AJ797" s="7" t="str">
        <f t="shared" si="111"/>
        <v/>
      </c>
      <c r="AK797" s="7" t="str">
        <f t="shared" si="112"/>
        <v/>
      </c>
      <c r="AL797" s="7" t="str">
        <f t="shared" si="113"/>
        <v/>
      </c>
      <c r="AM797" s="7" t="str">
        <f t="shared" si="114"/>
        <v/>
      </c>
      <c r="AN797" s="8" t="str">
        <f>IF(C797="","",COUNTIF($C$2:C797,C797))</f>
        <v/>
      </c>
      <c r="AO797" s="8" t="str">
        <f t="shared" si="115"/>
        <v/>
      </c>
      <c r="AP797" s="8" t="str">
        <f>IF(C797="","",IF(AND(OR([1]Consulta!$C$29="",A797=[1]Consulta!$C$29),OR([1]Consulta!$E$29="",B797=[1]Consulta!$E$29),OR([1]Consulta!$G$29="",D797=[1]Consulta!$G$29,R797=[1]Consulta!$G$29)),ROW()-1,""))</f>
        <v/>
      </c>
    </row>
    <row r="798" spans="1:42" ht="1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 t="str">
        <f t="shared" si="108"/>
        <v/>
      </c>
      <c r="AG798" s="7" t="str">
        <f t="shared" si="116"/>
        <v/>
      </c>
      <c r="AH798" s="7" t="str">
        <f t="shared" si="109"/>
        <v/>
      </c>
      <c r="AI798" s="7" t="str">
        <f t="shared" si="110"/>
        <v/>
      </c>
      <c r="AJ798" s="7" t="str">
        <f t="shared" si="111"/>
        <v/>
      </c>
      <c r="AK798" s="7" t="str">
        <f t="shared" si="112"/>
        <v/>
      </c>
      <c r="AL798" s="7" t="str">
        <f t="shared" si="113"/>
        <v/>
      </c>
      <c r="AM798" s="7" t="str">
        <f t="shared" si="114"/>
        <v/>
      </c>
      <c r="AN798" s="8" t="str">
        <f>IF(C798="","",COUNTIF($C$2:C798,C798))</f>
        <v/>
      </c>
      <c r="AO798" s="8" t="str">
        <f t="shared" si="115"/>
        <v/>
      </c>
      <c r="AP798" s="8" t="str">
        <f>IF(C798="","",IF(AND(OR([1]Consulta!$C$29="",A798=[1]Consulta!$C$29),OR([1]Consulta!$E$29="",B798=[1]Consulta!$E$29),OR([1]Consulta!$G$29="",D798=[1]Consulta!$G$29,R798=[1]Consulta!$G$29)),ROW()-1,""))</f>
        <v/>
      </c>
    </row>
    <row r="799" spans="1:42" ht="1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 t="str">
        <f t="shared" si="108"/>
        <v/>
      </c>
      <c r="AG799" s="7" t="str">
        <f t="shared" si="116"/>
        <v/>
      </c>
      <c r="AH799" s="7" t="str">
        <f t="shared" si="109"/>
        <v/>
      </c>
      <c r="AI799" s="7" t="str">
        <f t="shared" si="110"/>
        <v/>
      </c>
      <c r="AJ799" s="7" t="str">
        <f t="shared" si="111"/>
        <v/>
      </c>
      <c r="AK799" s="7" t="str">
        <f t="shared" si="112"/>
        <v/>
      </c>
      <c r="AL799" s="7" t="str">
        <f t="shared" si="113"/>
        <v/>
      </c>
      <c r="AM799" s="7" t="str">
        <f t="shared" si="114"/>
        <v/>
      </c>
      <c r="AN799" s="8" t="str">
        <f>IF(C799="","",COUNTIF($C$2:C799,C799))</f>
        <v/>
      </c>
      <c r="AO799" s="8" t="str">
        <f t="shared" si="115"/>
        <v/>
      </c>
      <c r="AP799" s="8" t="str">
        <f>IF(C799="","",IF(AND(OR([1]Consulta!$C$29="",A799=[1]Consulta!$C$29),OR([1]Consulta!$E$29="",B799=[1]Consulta!$E$29),OR([1]Consulta!$G$29="",D799=[1]Consulta!$G$29,R799=[1]Consulta!$G$29)),ROW()-1,""))</f>
        <v/>
      </c>
    </row>
    <row r="800" spans="1:42" ht="1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 t="str">
        <f t="shared" si="108"/>
        <v/>
      </c>
      <c r="AG800" s="7" t="str">
        <f t="shared" si="116"/>
        <v/>
      </c>
      <c r="AH800" s="7" t="str">
        <f t="shared" si="109"/>
        <v/>
      </c>
      <c r="AI800" s="7" t="str">
        <f t="shared" si="110"/>
        <v/>
      </c>
      <c r="AJ800" s="7" t="str">
        <f t="shared" si="111"/>
        <v/>
      </c>
      <c r="AK800" s="7" t="str">
        <f t="shared" si="112"/>
        <v/>
      </c>
      <c r="AL800" s="7" t="str">
        <f t="shared" si="113"/>
        <v/>
      </c>
      <c r="AM800" s="7" t="str">
        <f t="shared" si="114"/>
        <v/>
      </c>
      <c r="AN800" s="8" t="str">
        <f>IF(C800="","",COUNTIF($C$2:C800,C800))</f>
        <v/>
      </c>
      <c r="AO800" s="8" t="str">
        <f t="shared" si="115"/>
        <v/>
      </c>
      <c r="AP800" s="8" t="str">
        <f>IF(C800="","",IF(AND(OR([1]Consulta!$C$29="",A800=[1]Consulta!$C$29),OR([1]Consulta!$E$29="",B800=[1]Consulta!$E$29),OR([1]Consulta!$G$29="",D800=[1]Consulta!$G$29,R800=[1]Consulta!$G$29)),ROW()-1,""))</f>
        <v/>
      </c>
    </row>
    <row r="801" spans="1:42" ht="1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 t="str">
        <f t="shared" si="108"/>
        <v/>
      </c>
      <c r="AG801" s="7" t="str">
        <f t="shared" si="116"/>
        <v/>
      </c>
      <c r="AH801" s="7" t="str">
        <f t="shared" si="109"/>
        <v/>
      </c>
      <c r="AI801" s="7" t="str">
        <f t="shared" si="110"/>
        <v/>
      </c>
      <c r="AJ801" s="7" t="str">
        <f t="shared" si="111"/>
        <v/>
      </c>
      <c r="AK801" s="7" t="str">
        <f t="shared" si="112"/>
        <v/>
      </c>
      <c r="AL801" s="7" t="str">
        <f t="shared" si="113"/>
        <v/>
      </c>
      <c r="AM801" s="7" t="str">
        <f t="shared" si="114"/>
        <v/>
      </c>
      <c r="AN801" s="8" t="str">
        <f>IF(C801="","",COUNTIF($C$2:C801,C801))</f>
        <v/>
      </c>
      <c r="AO801" s="8" t="str">
        <f t="shared" si="115"/>
        <v/>
      </c>
      <c r="AP801" s="8" t="str">
        <f>IF(C801="","",IF(AND(OR([1]Consulta!$C$29="",A801=[1]Consulta!$C$29),OR([1]Consulta!$E$29="",B801=[1]Consulta!$E$29),OR([1]Consulta!$G$29="",D801=[1]Consulta!$G$29,R801=[1]Consulta!$G$29)),ROW()-1,""))</f>
        <v/>
      </c>
    </row>
    <row r="802" spans="1:42" ht="1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 t="str">
        <f t="shared" si="108"/>
        <v/>
      </c>
      <c r="AG802" s="7" t="str">
        <f t="shared" si="116"/>
        <v/>
      </c>
      <c r="AH802" s="7" t="str">
        <f t="shared" si="109"/>
        <v/>
      </c>
      <c r="AI802" s="7" t="str">
        <f t="shared" si="110"/>
        <v/>
      </c>
      <c r="AJ802" s="7" t="str">
        <f t="shared" si="111"/>
        <v/>
      </c>
      <c r="AK802" s="7" t="str">
        <f t="shared" si="112"/>
        <v/>
      </c>
      <c r="AL802" s="7" t="str">
        <f t="shared" si="113"/>
        <v/>
      </c>
      <c r="AM802" s="7" t="str">
        <f t="shared" si="114"/>
        <v/>
      </c>
      <c r="AN802" s="8" t="str">
        <f>IF(C802="","",COUNTIF($C$2:C802,C802))</f>
        <v/>
      </c>
      <c r="AO802" s="8" t="str">
        <f t="shared" si="115"/>
        <v/>
      </c>
      <c r="AP802" s="8" t="str">
        <f>IF(C802="","",IF(AND(OR([1]Consulta!$C$29="",A802=[1]Consulta!$C$29),OR([1]Consulta!$E$29="",B802=[1]Consulta!$E$29),OR([1]Consulta!$G$29="",D802=[1]Consulta!$G$29,R802=[1]Consulta!$G$29)),ROW()-1,""))</f>
        <v/>
      </c>
    </row>
    <row r="803" spans="1:42" ht="1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 t="str">
        <f t="shared" si="108"/>
        <v/>
      </c>
      <c r="AG803" s="7" t="str">
        <f t="shared" si="116"/>
        <v/>
      </c>
      <c r="AH803" s="7" t="str">
        <f t="shared" si="109"/>
        <v/>
      </c>
      <c r="AI803" s="7" t="str">
        <f t="shared" si="110"/>
        <v/>
      </c>
      <c r="AJ803" s="7" t="str">
        <f t="shared" si="111"/>
        <v/>
      </c>
      <c r="AK803" s="7" t="str">
        <f t="shared" si="112"/>
        <v/>
      </c>
      <c r="AL803" s="7" t="str">
        <f t="shared" si="113"/>
        <v/>
      </c>
      <c r="AM803" s="7" t="str">
        <f t="shared" si="114"/>
        <v/>
      </c>
      <c r="AN803" s="8" t="str">
        <f>IF(C803="","",COUNTIF($C$2:C803,C803))</f>
        <v/>
      </c>
      <c r="AO803" s="8" t="str">
        <f t="shared" si="115"/>
        <v/>
      </c>
      <c r="AP803" s="8" t="str">
        <f>IF(C803="","",IF(AND(OR([1]Consulta!$C$29="",A803=[1]Consulta!$C$29),OR([1]Consulta!$E$29="",B803=[1]Consulta!$E$29),OR([1]Consulta!$G$29="",D803=[1]Consulta!$G$29,R803=[1]Consulta!$G$29)),ROW()-1,""))</f>
        <v/>
      </c>
    </row>
    <row r="804" spans="1:42" ht="1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 t="str">
        <f t="shared" si="108"/>
        <v/>
      </c>
      <c r="AG804" s="7" t="str">
        <f t="shared" si="116"/>
        <v/>
      </c>
      <c r="AH804" s="7" t="str">
        <f t="shared" si="109"/>
        <v/>
      </c>
      <c r="AI804" s="7" t="str">
        <f t="shared" si="110"/>
        <v/>
      </c>
      <c r="AJ804" s="7" t="str">
        <f t="shared" si="111"/>
        <v/>
      </c>
      <c r="AK804" s="7" t="str">
        <f t="shared" si="112"/>
        <v/>
      </c>
      <c r="AL804" s="7" t="str">
        <f t="shared" si="113"/>
        <v/>
      </c>
      <c r="AM804" s="7" t="str">
        <f t="shared" si="114"/>
        <v/>
      </c>
      <c r="AN804" s="8" t="str">
        <f>IF(C804="","",COUNTIF($C$2:C804,C804))</f>
        <v/>
      </c>
      <c r="AO804" s="8" t="str">
        <f t="shared" si="115"/>
        <v/>
      </c>
      <c r="AP804" s="8" t="str">
        <f>IF(C804="","",IF(AND(OR([1]Consulta!$C$29="",A804=[1]Consulta!$C$29),OR([1]Consulta!$E$29="",B804=[1]Consulta!$E$29),OR([1]Consulta!$G$29="",D804=[1]Consulta!$G$29,R804=[1]Consulta!$G$29)),ROW()-1,""))</f>
        <v/>
      </c>
    </row>
    <row r="805" spans="1:42" ht="1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 t="str">
        <f t="shared" si="108"/>
        <v/>
      </c>
      <c r="AG805" s="7" t="str">
        <f t="shared" si="116"/>
        <v/>
      </c>
      <c r="AH805" s="7" t="str">
        <f t="shared" si="109"/>
        <v/>
      </c>
      <c r="AI805" s="7" t="str">
        <f t="shared" si="110"/>
        <v/>
      </c>
      <c r="AJ805" s="7" t="str">
        <f t="shared" si="111"/>
        <v/>
      </c>
      <c r="AK805" s="7" t="str">
        <f t="shared" si="112"/>
        <v/>
      </c>
      <c r="AL805" s="7" t="str">
        <f t="shared" si="113"/>
        <v/>
      </c>
      <c r="AM805" s="7" t="str">
        <f t="shared" si="114"/>
        <v/>
      </c>
      <c r="AN805" s="8" t="str">
        <f>IF(C805="","",COUNTIF($C$2:C805,C805))</f>
        <v/>
      </c>
      <c r="AO805" s="8" t="str">
        <f t="shared" si="115"/>
        <v/>
      </c>
      <c r="AP805" s="8" t="str">
        <f>IF(C805="","",IF(AND(OR([1]Consulta!$C$29="",A805=[1]Consulta!$C$29),OR([1]Consulta!$E$29="",B805=[1]Consulta!$E$29),OR([1]Consulta!$G$29="",D805=[1]Consulta!$G$29,R805=[1]Consulta!$G$29)),ROW()-1,""))</f>
        <v/>
      </c>
    </row>
    <row r="806" spans="1:42" ht="1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 t="str">
        <f t="shared" si="108"/>
        <v/>
      </c>
      <c r="AG806" s="7" t="str">
        <f t="shared" si="116"/>
        <v/>
      </c>
      <c r="AH806" s="7" t="str">
        <f t="shared" si="109"/>
        <v/>
      </c>
      <c r="AI806" s="7" t="str">
        <f t="shared" si="110"/>
        <v/>
      </c>
      <c r="AJ806" s="7" t="str">
        <f t="shared" si="111"/>
        <v/>
      </c>
      <c r="AK806" s="7" t="str">
        <f t="shared" si="112"/>
        <v/>
      </c>
      <c r="AL806" s="7" t="str">
        <f t="shared" si="113"/>
        <v/>
      </c>
      <c r="AM806" s="7" t="str">
        <f t="shared" si="114"/>
        <v/>
      </c>
      <c r="AN806" s="8" t="str">
        <f>IF(C806="","",COUNTIF($C$2:C806,C806))</f>
        <v/>
      </c>
      <c r="AO806" s="8" t="str">
        <f t="shared" si="115"/>
        <v/>
      </c>
      <c r="AP806" s="8" t="str">
        <f>IF(C806="","",IF(AND(OR([1]Consulta!$C$29="",A806=[1]Consulta!$C$29),OR([1]Consulta!$E$29="",B806=[1]Consulta!$E$29),OR([1]Consulta!$G$29="",D806=[1]Consulta!$G$29,R806=[1]Consulta!$G$29)),ROW()-1,""))</f>
        <v/>
      </c>
    </row>
    <row r="807" spans="1:42" ht="1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 t="str">
        <f t="shared" si="108"/>
        <v/>
      </c>
      <c r="AG807" s="7" t="str">
        <f t="shared" si="116"/>
        <v/>
      </c>
      <c r="AH807" s="7" t="str">
        <f t="shared" si="109"/>
        <v/>
      </c>
      <c r="AI807" s="7" t="str">
        <f t="shared" si="110"/>
        <v/>
      </c>
      <c r="AJ807" s="7" t="str">
        <f t="shared" si="111"/>
        <v/>
      </c>
      <c r="AK807" s="7" t="str">
        <f t="shared" si="112"/>
        <v/>
      </c>
      <c r="AL807" s="7" t="str">
        <f t="shared" si="113"/>
        <v/>
      </c>
      <c r="AM807" s="7" t="str">
        <f t="shared" si="114"/>
        <v/>
      </c>
      <c r="AN807" s="8" t="str">
        <f>IF(C807="","",COUNTIF($C$2:C807,C807))</f>
        <v/>
      </c>
      <c r="AO807" s="8" t="str">
        <f t="shared" si="115"/>
        <v/>
      </c>
      <c r="AP807" s="8" t="str">
        <f>IF(C807="","",IF(AND(OR([1]Consulta!$C$29="",A807=[1]Consulta!$C$29),OR([1]Consulta!$E$29="",B807=[1]Consulta!$E$29),OR([1]Consulta!$G$29="",D807=[1]Consulta!$G$29,R807=[1]Consulta!$G$29)),ROW()-1,""))</f>
        <v/>
      </c>
    </row>
    <row r="808" spans="1:42" ht="1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 t="str">
        <f t="shared" si="108"/>
        <v/>
      </c>
      <c r="AG808" s="7" t="str">
        <f t="shared" si="116"/>
        <v/>
      </c>
      <c r="AH808" s="7" t="str">
        <f t="shared" si="109"/>
        <v/>
      </c>
      <c r="AI808" s="7" t="str">
        <f t="shared" si="110"/>
        <v/>
      </c>
      <c r="AJ808" s="7" t="str">
        <f t="shared" si="111"/>
        <v/>
      </c>
      <c r="AK808" s="7" t="str">
        <f t="shared" si="112"/>
        <v/>
      </c>
      <c r="AL808" s="7" t="str">
        <f t="shared" si="113"/>
        <v/>
      </c>
      <c r="AM808" s="7" t="str">
        <f t="shared" si="114"/>
        <v/>
      </c>
      <c r="AN808" s="8" t="str">
        <f>IF(C808="","",COUNTIF($C$2:C808,C808))</f>
        <v/>
      </c>
      <c r="AO808" s="8" t="str">
        <f t="shared" si="115"/>
        <v/>
      </c>
      <c r="AP808" s="8" t="str">
        <f>IF(C808="","",IF(AND(OR([1]Consulta!$C$29="",A808=[1]Consulta!$C$29),OR([1]Consulta!$E$29="",B808=[1]Consulta!$E$29),OR([1]Consulta!$G$29="",D808=[1]Consulta!$G$29,R808=[1]Consulta!$G$29)),ROW()-1,""))</f>
        <v/>
      </c>
    </row>
    <row r="809" spans="1:42" ht="1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 t="str">
        <f t="shared" si="108"/>
        <v/>
      </c>
      <c r="AG809" s="7" t="str">
        <f t="shared" si="116"/>
        <v/>
      </c>
      <c r="AH809" s="7" t="str">
        <f t="shared" si="109"/>
        <v/>
      </c>
      <c r="AI809" s="7" t="str">
        <f t="shared" si="110"/>
        <v/>
      </c>
      <c r="AJ809" s="7" t="str">
        <f t="shared" si="111"/>
        <v/>
      </c>
      <c r="AK809" s="7" t="str">
        <f t="shared" si="112"/>
        <v/>
      </c>
      <c r="AL809" s="7" t="str">
        <f t="shared" si="113"/>
        <v/>
      </c>
      <c r="AM809" s="7" t="str">
        <f t="shared" si="114"/>
        <v/>
      </c>
      <c r="AN809" s="8" t="str">
        <f>IF(C809="","",COUNTIF($C$2:C809,C809))</f>
        <v/>
      </c>
      <c r="AO809" s="8" t="str">
        <f t="shared" si="115"/>
        <v/>
      </c>
      <c r="AP809" s="8" t="str">
        <f>IF(C809="","",IF(AND(OR([1]Consulta!$C$29="",A809=[1]Consulta!$C$29),OR([1]Consulta!$E$29="",B809=[1]Consulta!$E$29),OR([1]Consulta!$G$29="",D809=[1]Consulta!$G$29,R809=[1]Consulta!$G$29)),ROW()-1,""))</f>
        <v/>
      </c>
    </row>
    <row r="810" spans="1:42" ht="1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 t="str">
        <f t="shared" si="108"/>
        <v/>
      </c>
      <c r="AG810" s="7" t="str">
        <f t="shared" si="116"/>
        <v/>
      </c>
      <c r="AH810" s="7" t="str">
        <f t="shared" si="109"/>
        <v/>
      </c>
      <c r="AI810" s="7" t="str">
        <f t="shared" si="110"/>
        <v/>
      </c>
      <c r="AJ810" s="7" t="str">
        <f t="shared" si="111"/>
        <v/>
      </c>
      <c r="AK810" s="7" t="str">
        <f t="shared" si="112"/>
        <v/>
      </c>
      <c r="AL810" s="7" t="str">
        <f t="shared" si="113"/>
        <v/>
      </c>
      <c r="AM810" s="7" t="str">
        <f t="shared" si="114"/>
        <v/>
      </c>
      <c r="AN810" s="8" t="str">
        <f>IF(C810="","",COUNTIF($C$2:C810,C810))</f>
        <v/>
      </c>
      <c r="AO810" s="8" t="str">
        <f t="shared" si="115"/>
        <v/>
      </c>
      <c r="AP810" s="8" t="str">
        <f>IF(C810="","",IF(AND(OR([1]Consulta!$C$29="",A810=[1]Consulta!$C$29),OR([1]Consulta!$E$29="",B810=[1]Consulta!$E$29),OR([1]Consulta!$G$29="",D810=[1]Consulta!$G$29,R810=[1]Consulta!$G$29)),ROW()-1,""))</f>
        <v/>
      </c>
    </row>
    <row r="811" spans="1:42" ht="1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 t="str">
        <f t="shared" si="108"/>
        <v/>
      </c>
      <c r="AG811" s="7" t="str">
        <f t="shared" si="116"/>
        <v/>
      </c>
      <c r="AH811" s="7" t="str">
        <f t="shared" si="109"/>
        <v/>
      </c>
      <c r="AI811" s="7" t="str">
        <f t="shared" si="110"/>
        <v/>
      </c>
      <c r="AJ811" s="7" t="str">
        <f t="shared" si="111"/>
        <v/>
      </c>
      <c r="AK811" s="7" t="str">
        <f t="shared" si="112"/>
        <v/>
      </c>
      <c r="AL811" s="7" t="str">
        <f t="shared" si="113"/>
        <v/>
      </c>
      <c r="AM811" s="7" t="str">
        <f t="shared" si="114"/>
        <v/>
      </c>
      <c r="AN811" s="8" t="str">
        <f>IF(C811="","",COUNTIF($C$2:C811,C811))</f>
        <v/>
      </c>
      <c r="AO811" s="8" t="str">
        <f t="shared" si="115"/>
        <v/>
      </c>
      <c r="AP811" s="8" t="str">
        <f>IF(C811="","",IF(AND(OR([1]Consulta!$C$29="",A811=[1]Consulta!$C$29),OR([1]Consulta!$E$29="",B811=[1]Consulta!$E$29),OR([1]Consulta!$G$29="",D811=[1]Consulta!$G$29,R811=[1]Consulta!$G$29)),ROW()-1,""))</f>
        <v/>
      </c>
    </row>
    <row r="812" spans="1:42" ht="1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 t="str">
        <f t="shared" si="108"/>
        <v/>
      </c>
      <c r="AG812" s="7" t="str">
        <f t="shared" si="116"/>
        <v/>
      </c>
      <c r="AH812" s="7" t="str">
        <f t="shared" si="109"/>
        <v/>
      </c>
      <c r="AI812" s="7" t="str">
        <f t="shared" si="110"/>
        <v/>
      </c>
      <c r="AJ812" s="7" t="str">
        <f t="shared" si="111"/>
        <v/>
      </c>
      <c r="AK812" s="7" t="str">
        <f t="shared" si="112"/>
        <v/>
      </c>
      <c r="AL812" s="7" t="str">
        <f t="shared" si="113"/>
        <v/>
      </c>
      <c r="AM812" s="7" t="str">
        <f t="shared" si="114"/>
        <v/>
      </c>
      <c r="AN812" s="8" t="str">
        <f>IF(C812="","",COUNTIF($C$2:C812,C812))</f>
        <v/>
      </c>
      <c r="AO812" s="8" t="str">
        <f t="shared" si="115"/>
        <v/>
      </c>
      <c r="AP812" s="8" t="str">
        <f>IF(C812="","",IF(AND(OR([1]Consulta!$C$29="",A812=[1]Consulta!$C$29),OR([1]Consulta!$E$29="",B812=[1]Consulta!$E$29),OR([1]Consulta!$G$29="",D812=[1]Consulta!$G$29,R812=[1]Consulta!$G$29)),ROW()-1,""))</f>
        <v/>
      </c>
    </row>
    <row r="813" spans="1:42" ht="1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 t="str">
        <f t="shared" si="108"/>
        <v/>
      </c>
      <c r="AG813" s="7" t="str">
        <f t="shared" si="116"/>
        <v/>
      </c>
      <c r="AH813" s="7" t="str">
        <f t="shared" si="109"/>
        <v/>
      </c>
      <c r="AI813" s="7" t="str">
        <f t="shared" si="110"/>
        <v/>
      </c>
      <c r="AJ813" s="7" t="str">
        <f t="shared" si="111"/>
        <v/>
      </c>
      <c r="AK813" s="7" t="str">
        <f t="shared" si="112"/>
        <v/>
      </c>
      <c r="AL813" s="7" t="str">
        <f t="shared" si="113"/>
        <v/>
      </c>
      <c r="AM813" s="7" t="str">
        <f t="shared" si="114"/>
        <v/>
      </c>
      <c r="AN813" s="8" t="str">
        <f>IF(C813="","",COUNTIF($C$2:C813,C813))</f>
        <v/>
      </c>
      <c r="AO813" s="8" t="str">
        <f t="shared" si="115"/>
        <v/>
      </c>
      <c r="AP813" s="8" t="str">
        <f>IF(C813="","",IF(AND(OR([1]Consulta!$C$29="",A813=[1]Consulta!$C$29),OR([1]Consulta!$E$29="",B813=[1]Consulta!$E$29),OR([1]Consulta!$G$29="",D813=[1]Consulta!$G$29,R813=[1]Consulta!$G$29)),ROW()-1,""))</f>
        <v/>
      </c>
    </row>
    <row r="814" spans="1:42" ht="1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 t="str">
        <f t="shared" si="108"/>
        <v/>
      </c>
      <c r="AG814" s="7" t="str">
        <f t="shared" si="116"/>
        <v/>
      </c>
      <c r="AH814" s="7" t="str">
        <f t="shared" si="109"/>
        <v/>
      </c>
      <c r="AI814" s="7" t="str">
        <f t="shared" si="110"/>
        <v/>
      </c>
      <c r="AJ814" s="7" t="str">
        <f t="shared" si="111"/>
        <v/>
      </c>
      <c r="AK814" s="7" t="str">
        <f t="shared" si="112"/>
        <v/>
      </c>
      <c r="AL814" s="7" t="str">
        <f t="shared" si="113"/>
        <v/>
      </c>
      <c r="AM814" s="7" t="str">
        <f t="shared" si="114"/>
        <v/>
      </c>
      <c r="AN814" s="8" t="str">
        <f>IF(C814="","",COUNTIF($C$2:C814,C814))</f>
        <v/>
      </c>
      <c r="AO814" s="8" t="str">
        <f t="shared" si="115"/>
        <v/>
      </c>
      <c r="AP814" s="8" t="str">
        <f>IF(C814="","",IF(AND(OR([1]Consulta!$C$29="",A814=[1]Consulta!$C$29),OR([1]Consulta!$E$29="",B814=[1]Consulta!$E$29),OR([1]Consulta!$G$29="",D814=[1]Consulta!$G$29,R814=[1]Consulta!$G$29)),ROW()-1,""))</f>
        <v/>
      </c>
    </row>
    <row r="815" spans="1:42" ht="1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 t="str">
        <f t="shared" si="108"/>
        <v/>
      </c>
      <c r="AG815" s="7" t="str">
        <f t="shared" si="116"/>
        <v/>
      </c>
      <c r="AH815" s="7" t="str">
        <f t="shared" si="109"/>
        <v/>
      </c>
      <c r="AI815" s="7" t="str">
        <f t="shared" si="110"/>
        <v/>
      </c>
      <c r="AJ815" s="7" t="str">
        <f t="shared" si="111"/>
        <v/>
      </c>
      <c r="AK815" s="7" t="str">
        <f t="shared" si="112"/>
        <v/>
      </c>
      <c r="AL815" s="7" t="str">
        <f t="shared" si="113"/>
        <v/>
      </c>
      <c r="AM815" s="7" t="str">
        <f t="shared" si="114"/>
        <v/>
      </c>
      <c r="AN815" s="8" t="str">
        <f>IF(C815="","",COUNTIF($C$2:C815,C815))</f>
        <v/>
      </c>
      <c r="AO815" s="8" t="str">
        <f t="shared" si="115"/>
        <v/>
      </c>
      <c r="AP815" s="8" t="str">
        <f>IF(C815="","",IF(AND(OR([1]Consulta!$C$29="",A815=[1]Consulta!$C$29),OR([1]Consulta!$E$29="",B815=[1]Consulta!$E$29),OR([1]Consulta!$G$29="",D815=[1]Consulta!$G$29,R815=[1]Consulta!$G$29)),ROW()-1,""))</f>
        <v/>
      </c>
    </row>
    <row r="816" spans="1:42" ht="1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 t="str">
        <f t="shared" si="108"/>
        <v/>
      </c>
      <c r="AG816" s="7" t="str">
        <f t="shared" si="116"/>
        <v/>
      </c>
      <c r="AH816" s="7" t="str">
        <f t="shared" si="109"/>
        <v/>
      </c>
      <c r="AI816" s="7" t="str">
        <f t="shared" si="110"/>
        <v/>
      </c>
      <c r="AJ816" s="7" t="str">
        <f t="shared" si="111"/>
        <v/>
      </c>
      <c r="AK816" s="7" t="str">
        <f t="shared" si="112"/>
        <v/>
      </c>
      <c r="AL816" s="7" t="str">
        <f t="shared" si="113"/>
        <v/>
      </c>
      <c r="AM816" s="7" t="str">
        <f t="shared" si="114"/>
        <v/>
      </c>
      <c r="AN816" s="8" t="str">
        <f>IF(C816="","",COUNTIF($C$2:C816,C816))</f>
        <v/>
      </c>
      <c r="AO816" s="8" t="str">
        <f t="shared" si="115"/>
        <v/>
      </c>
      <c r="AP816" s="8" t="str">
        <f>IF(C816="","",IF(AND(OR([1]Consulta!$C$29="",A816=[1]Consulta!$C$29),OR([1]Consulta!$E$29="",B816=[1]Consulta!$E$29),OR([1]Consulta!$G$29="",D816=[1]Consulta!$G$29,R816=[1]Consulta!$G$29)),ROW()-1,""))</f>
        <v/>
      </c>
    </row>
    <row r="817" spans="1:42" ht="1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 t="str">
        <f t="shared" si="108"/>
        <v/>
      </c>
      <c r="AG817" s="7" t="str">
        <f t="shared" si="116"/>
        <v/>
      </c>
      <c r="AH817" s="7" t="str">
        <f t="shared" si="109"/>
        <v/>
      </c>
      <c r="AI817" s="7" t="str">
        <f t="shared" si="110"/>
        <v/>
      </c>
      <c r="AJ817" s="7" t="str">
        <f t="shared" si="111"/>
        <v/>
      </c>
      <c r="AK817" s="7" t="str">
        <f t="shared" si="112"/>
        <v/>
      </c>
      <c r="AL817" s="7" t="str">
        <f t="shared" si="113"/>
        <v/>
      </c>
      <c r="AM817" s="7" t="str">
        <f t="shared" si="114"/>
        <v/>
      </c>
      <c r="AN817" s="8" t="str">
        <f>IF(C817="","",COUNTIF($C$2:C817,C817))</f>
        <v/>
      </c>
      <c r="AO817" s="8" t="str">
        <f t="shared" si="115"/>
        <v/>
      </c>
      <c r="AP817" s="8" t="str">
        <f>IF(C817="","",IF(AND(OR([1]Consulta!$C$29="",A817=[1]Consulta!$C$29),OR([1]Consulta!$E$29="",B817=[1]Consulta!$E$29),OR([1]Consulta!$G$29="",D817=[1]Consulta!$G$29,R817=[1]Consulta!$G$29)),ROW()-1,""))</f>
        <v/>
      </c>
    </row>
    <row r="818" spans="1:42" ht="1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 t="str">
        <f t="shared" si="108"/>
        <v/>
      </c>
      <c r="AG818" s="7" t="str">
        <f t="shared" si="116"/>
        <v/>
      </c>
      <c r="AH818" s="7" t="str">
        <f t="shared" si="109"/>
        <v/>
      </c>
      <c r="AI818" s="7" t="str">
        <f t="shared" si="110"/>
        <v/>
      </c>
      <c r="AJ818" s="7" t="str">
        <f t="shared" si="111"/>
        <v/>
      </c>
      <c r="AK818" s="7" t="str">
        <f t="shared" si="112"/>
        <v/>
      </c>
      <c r="AL818" s="7" t="str">
        <f t="shared" si="113"/>
        <v/>
      </c>
      <c r="AM818" s="7" t="str">
        <f t="shared" si="114"/>
        <v/>
      </c>
      <c r="AN818" s="8" t="str">
        <f>IF(C818="","",COUNTIF($C$2:C818,C818))</f>
        <v/>
      </c>
      <c r="AO818" s="8" t="str">
        <f t="shared" si="115"/>
        <v/>
      </c>
      <c r="AP818" s="8" t="str">
        <f>IF(C818="","",IF(AND(OR([1]Consulta!$C$29="",A818=[1]Consulta!$C$29),OR([1]Consulta!$E$29="",B818=[1]Consulta!$E$29),OR([1]Consulta!$G$29="",D818=[1]Consulta!$G$29,R818=[1]Consulta!$G$29)),ROW()-1,""))</f>
        <v/>
      </c>
    </row>
    <row r="819" spans="1:42" ht="1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 t="str">
        <f t="shared" si="108"/>
        <v/>
      </c>
      <c r="AG819" s="7" t="str">
        <f t="shared" si="116"/>
        <v/>
      </c>
      <c r="AH819" s="7" t="str">
        <f t="shared" si="109"/>
        <v/>
      </c>
      <c r="AI819" s="7" t="str">
        <f t="shared" si="110"/>
        <v/>
      </c>
      <c r="AJ819" s="7" t="str">
        <f t="shared" si="111"/>
        <v/>
      </c>
      <c r="AK819" s="7" t="str">
        <f t="shared" si="112"/>
        <v/>
      </c>
      <c r="AL819" s="7" t="str">
        <f t="shared" si="113"/>
        <v/>
      </c>
      <c r="AM819" s="7" t="str">
        <f t="shared" si="114"/>
        <v/>
      </c>
      <c r="AN819" s="8" t="str">
        <f>IF(C819="","",COUNTIF($C$2:C819,C819))</f>
        <v/>
      </c>
      <c r="AO819" s="8" t="str">
        <f t="shared" si="115"/>
        <v/>
      </c>
      <c r="AP819" s="8" t="str">
        <f>IF(C819="","",IF(AND(OR([1]Consulta!$C$29="",A819=[1]Consulta!$C$29),OR([1]Consulta!$E$29="",B819=[1]Consulta!$E$29),OR([1]Consulta!$G$29="",D819=[1]Consulta!$G$29,R819=[1]Consulta!$G$29)),ROW()-1,""))</f>
        <v/>
      </c>
    </row>
    <row r="820" spans="1:42" ht="1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 t="str">
        <f t="shared" si="108"/>
        <v/>
      </c>
      <c r="AG820" s="7" t="str">
        <f t="shared" si="116"/>
        <v/>
      </c>
      <c r="AH820" s="7" t="str">
        <f t="shared" si="109"/>
        <v/>
      </c>
      <c r="AI820" s="7" t="str">
        <f t="shared" si="110"/>
        <v/>
      </c>
      <c r="AJ820" s="7" t="str">
        <f t="shared" si="111"/>
        <v/>
      </c>
      <c r="AK820" s="7" t="str">
        <f t="shared" si="112"/>
        <v/>
      </c>
      <c r="AL820" s="7" t="str">
        <f t="shared" si="113"/>
        <v/>
      </c>
      <c r="AM820" s="7" t="str">
        <f t="shared" si="114"/>
        <v/>
      </c>
      <c r="AN820" s="8" t="str">
        <f>IF(C820="","",COUNTIF($C$2:C820,C820))</f>
        <v/>
      </c>
      <c r="AO820" s="8" t="str">
        <f t="shared" si="115"/>
        <v/>
      </c>
      <c r="AP820" s="8" t="str">
        <f>IF(C820="","",IF(AND(OR([1]Consulta!$C$29="",A820=[1]Consulta!$C$29),OR([1]Consulta!$E$29="",B820=[1]Consulta!$E$29),OR([1]Consulta!$G$29="",D820=[1]Consulta!$G$29,R820=[1]Consulta!$G$29)),ROW()-1,""))</f>
        <v/>
      </c>
    </row>
    <row r="821" spans="1:42" ht="1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 t="str">
        <f t="shared" si="108"/>
        <v/>
      </c>
      <c r="AG821" s="7" t="str">
        <f t="shared" si="116"/>
        <v/>
      </c>
      <c r="AH821" s="7" t="str">
        <f t="shared" si="109"/>
        <v/>
      </c>
      <c r="AI821" s="7" t="str">
        <f t="shared" si="110"/>
        <v/>
      </c>
      <c r="AJ821" s="7" t="str">
        <f t="shared" si="111"/>
        <v/>
      </c>
      <c r="AK821" s="7" t="str">
        <f t="shared" si="112"/>
        <v/>
      </c>
      <c r="AL821" s="7" t="str">
        <f t="shared" si="113"/>
        <v/>
      </c>
      <c r="AM821" s="7" t="str">
        <f t="shared" si="114"/>
        <v/>
      </c>
      <c r="AN821" s="8" t="str">
        <f>IF(C821="","",COUNTIF($C$2:C821,C821))</f>
        <v/>
      </c>
      <c r="AO821" s="8" t="str">
        <f t="shared" si="115"/>
        <v/>
      </c>
      <c r="AP821" s="8" t="str">
        <f>IF(C821="","",IF(AND(OR([1]Consulta!$C$29="",A821=[1]Consulta!$C$29),OR([1]Consulta!$E$29="",B821=[1]Consulta!$E$29),OR([1]Consulta!$G$29="",D821=[1]Consulta!$G$29,R821=[1]Consulta!$G$29)),ROW()-1,""))</f>
        <v/>
      </c>
    </row>
    <row r="822" spans="1:42" ht="1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 t="str">
        <f t="shared" si="108"/>
        <v/>
      </c>
      <c r="AG822" s="7" t="str">
        <f t="shared" si="116"/>
        <v/>
      </c>
      <c r="AH822" s="7" t="str">
        <f t="shared" si="109"/>
        <v/>
      </c>
      <c r="AI822" s="7" t="str">
        <f t="shared" si="110"/>
        <v/>
      </c>
      <c r="AJ822" s="7" t="str">
        <f t="shared" si="111"/>
        <v/>
      </c>
      <c r="AK822" s="7" t="str">
        <f t="shared" si="112"/>
        <v/>
      </c>
      <c r="AL822" s="7" t="str">
        <f t="shared" si="113"/>
        <v/>
      </c>
      <c r="AM822" s="7" t="str">
        <f t="shared" si="114"/>
        <v/>
      </c>
      <c r="AN822" s="8" t="str">
        <f>IF(C822="","",COUNTIF($C$2:C822,C822))</f>
        <v/>
      </c>
      <c r="AO822" s="8" t="str">
        <f t="shared" si="115"/>
        <v/>
      </c>
      <c r="AP822" s="8" t="str">
        <f>IF(C822="","",IF(AND(OR([1]Consulta!$C$29="",A822=[1]Consulta!$C$29),OR([1]Consulta!$E$29="",B822=[1]Consulta!$E$29),OR([1]Consulta!$G$29="",D822=[1]Consulta!$G$29,R822=[1]Consulta!$G$29)),ROW()-1,""))</f>
        <v/>
      </c>
    </row>
    <row r="823" spans="1:42" ht="1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 t="str">
        <f t="shared" si="108"/>
        <v/>
      </c>
      <c r="AG823" s="7" t="str">
        <f t="shared" si="116"/>
        <v/>
      </c>
      <c r="AH823" s="7" t="str">
        <f t="shared" si="109"/>
        <v/>
      </c>
      <c r="AI823" s="7" t="str">
        <f t="shared" si="110"/>
        <v/>
      </c>
      <c r="AJ823" s="7" t="str">
        <f t="shared" si="111"/>
        <v/>
      </c>
      <c r="AK823" s="7" t="str">
        <f t="shared" si="112"/>
        <v/>
      </c>
      <c r="AL823" s="7" t="str">
        <f t="shared" si="113"/>
        <v/>
      </c>
      <c r="AM823" s="7" t="str">
        <f t="shared" si="114"/>
        <v/>
      </c>
      <c r="AN823" s="8" t="str">
        <f>IF(C823="","",COUNTIF($C$2:C823,C823))</f>
        <v/>
      </c>
      <c r="AO823" s="8" t="str">
        <f t="shared" si="115"/>
        <v/>
      </c>
      <c r="AP823" s="8" t="str">
        <f>IF(C823="","",IF(AND(OR([1]Consulta!$C$29="",A823=[1]Consulta!$C$29),OR([1]Consulta!$E$29="",B823=[1]Consulta!$E$29),OR([1]Consulta!$G$29="",D823=[1]Consulta!$G$29,R823=[1]Consulta!$G$29)),ROW()-1,""))</f>
        <v/>
      </c>
    </row>
    <row r="824" spans="1:42" ht="1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 t="str">
        <f t="shared" si="108"/>
        <v/>
      </c>
      <c r="AG824" s="7" t="str">
        <f t="shared" si="116"/>
        <v/>
      </c>
      <c r="AH824" s="7" t="str">
        <f t="shared" si="109"/>
        <v/>
      </c>
      <c r="AI824" s="7" t="str">
        <f t="shared" si="110"/>
        <v/>
      </c>
      <c r="AJ824" s="7" t="str">
        <f t="shared" si="111"/>
        <v/>
      </c>
      <c r="AK824" s="7" t="str">
        <f t="shared" si="112"/>
        <v/>
      </c>
      <c r="AL824" s="7" t="str">
        <f t="shared" si="113"/>
        <v/>
      </c>
      <c r="AM824" s="7" t="str">
        <f t="shared" si="114"/>
        <v/>
      </c>
      <c r="AN824" s="8" t="str">
        <f>IF(C824="","",COUNTIF($C$2:C824,C824))</f>
        <v/>
      </c>
      <c r="AO824" s="8" t="str">
        <f t="shared" si="115"/>
        <v/>
      </c>
      <c r="AP824" s="8" t="str">
        <f>IF(C824="","",IF(AND(OR([1]Consulta!$C$29="",A824=[1]Consulta!$C$29),OR([1]Consulta!$E$29="",B824=[1]Consulta!$E$29),OR([1]Consulta!$G$29="",D824=[1]Consulta!$G$29,R824=[1]Consulta!$G$29)),ROW()-1,""))</f>
        <v/>
      </c>
    </row>
    <row r="825" spans="1:42" ht="1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 t="str">
        <f t="shared" si="108"/>
        <v/>
      </c>
      <c r="AG825" s="7" t="str">
        <f t="shared" si="116"/>
        <v/>
      </c>
      <c r="AH825" s="7" t="str">
        <f t="shared" si="109"/>
        <v/>
      </c>
      <c r="AI825" s="7" t="str">
        <f t="shared" si="110"/>
        <v/>
      </c>
      <c r="AJ825" s="7" t="str">
        <f t="shared" si="111"/>
        <v/>
      </c>
      <c r="AK825" s="7" t="str">
        <f t="shared" si="112"/>
        <v/>
      </c>
      <c r="AL825" s="7" t="str">
        <f t="shared" si="113"/>
        <v/>
      </c>
      <c r="AM825" s="7" t="str">
        <f t="shared" si="114"/>
        <v/>
      </c>
      <c r="AN825" s="8" t="str">
        <f>IF(C825="","",COUNTIF($C$2:C825,C825))</f>
        <v/>
      </c>
      <c r="AO825" s="8" t="str">
        <f t="shared" si="115"/>
        <v/>
      </c>
      <c r="AP825" s="8" t="str">
        <f>IF(C825="","",IF(AND(OR([1]Consulta!$C$29="",A825=[1]Consulta!$C$29),OR([1]Consulta!$E$29="",B825=[1]Consulta!$E$29),OR([1]Consulta!$G$29="",D825=[1]Consulta!$G$29,R825=[1]Consulta!$G$29)),ROW()-1,""))</f>
        <v/>
      </c>
    </row>
    <row r="826" spans="1:42" ht="1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 t="str">
        <f t="shared" si="108"/>
        <v/>
      </c>
      <c r="AG826" s="7" t="str">
        <f t="shared" si="116"/>
        <v/>
      </c>
      <c r="AH826" s="7" t="str">
        <f t="shared" si="109"/>
        <v/>
      </c>
      <c r="AI826" s="7" t="str">
        <f t="shared" si="110"/>
        <v/>
      </c>
      <c r="AJ826" s="7" t="str">
        <f t="shared" si="111"/>
        <v/>
      </c>
      <c r="AK826" s="7" t="str">
        <f t="shared" si="112"/>
        <v/>
      </c>
      <c r="AL826" s="7" t="str">
        <f t="shared" si="113"/>
        <v/>
      </c>
      <c r="AM826" s="7" t="str">
        <f t="shared" si="114"/>
        <v/>
      </c>
      <c r="AN826" s="8" t="str">
        <f>IF(C826="","",COUNTIF($C$2:C826,C826))</f>
        <v/>
      </c>
      <c r="AO826" s="8" t="str">
        <f t="shared" si="115"/>
        <v/>
      </c>
      <c r="AP826" s="8" t="str">
        <f>IF(C826="","",IF(AND(OR([1]Consulta!$C$29="",A826=[1]Consulta!$C$29),OR([1]Consulta!$E$29="",B826=[1]Consulta!$E$29),OR([1]Consulta!$G$29="",D826=[1]Consulta!$G$29,R826=[1]Consulta!$G$29)),ROW()-1,""))</f>
        <v/>
      </c>
    </row>
    <row r="827" spans="1:42" ht="1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 t="str">
        <f t="shared" si="108"/>
        <v/>
      </c>
      <c r="AG827" s="7" t="str">
        <f t="shared" si="116"/>
        <v/>
      </c>
      <c r="AH827" s="7" t="str">
        <f t="shared" si="109"/>
        <v/>
      </c>
      <c r="AI827" s="7" t="str">
        <f t="shared" si="110"/>
        <v/>
      </c>
      <c r="AJ827" s="7" t="str">
        <f t="shared" si="111"/>
        <v/>
      </c>
      <c r="AK827" s="7" t="str">
        <f t="shared" si="112"/>
        <v/>
      </c>
      <c r="AL827" s="7" t="str">
        <f t="shared" si="113"/>
        <v/>
      </c>
      <c r="AM827" s="7" t="str">
        <f t="shared" si="114"/>
        <v/>
      </c>
      <c r="AN827" s="8" t="str">
        <f>IF(C827="","",COUNTIF($C$2:C827,C827))</f>
        <v/>
      </c>
      <c r="AO827" s="8" t="str">
        <f t="shared" si="115"/>
        <v/>
      </c>
      <c r="AP827" s="8" t="str">
        <f>IF(C827="","",IF(AND(OR([1]Consulta!$C$29="",A827=[1]Consulta!$C$29),OR([1]Consulta!$E$29="",B827=[1]Consulta!$E$29),OR([1]Consulta!$G$29="",D827=[1]Consulta!$G$29,R827=[1]Consulta!$G$29)),ROW()-1,""))</f>
        <v/>
      </c>
    </row>
    <row r="828" spans="1:42" ht="1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 t="str">
        <f t="shared" si="108"/>
        <v/>
      </c>
      <c r="AG828" s="7" t="str">
        <f t="shared" si="116"/>
        <v/>
      </c>
      <c r="AH828" s="7" t="str">
        <f t="shared" si="109"/>
        <v/>
      </c>
      <c r="AI828" s="7" t="str">
        <f t="shared" si="110"/>
        <v/>
      </c>
      <c r="AJ828" s="7" t="str">
        <f t="shared" si="111"/>
        <v/>
      </c>
      <c r="AK828" s="7" t="str">
        <f t="shared" si="112"/>
        <v/>
      </c>
      <c r="AL828" s="7" t="str">
        <f t="shared" si="113"/>
        <v/>
      </c>
      <c r="AM828" s="7" t="str">
        <f t="shared" si="114"/>
        <v/>
      </c>
      <c r="AN828" s="8" t="str">
        <f>IF(C828="","",COUNTIF($C$2:C828,C828))</f>
        <v/>
      </c>
      <c r="AO828" s="8" t="str">
        <f t="shared" si="115"/>
        <v/>
      </c>
      <c r="AP828" s="8" t="str">
        <f>IF(C828="","",IF(AND(OR([1]Consulta!$C$29="",A828=[1]Consulta!$C$29),OR([1]Consulta!$E$29="",B828=[1]Consulta!$E$29),OR([1]Consulta!$G$29="",D828=[1]Consulta!$G$29,R828=[1]Consulta!$G$29)),ROW()-1,""))</f>
        <v/>
      </c>
    </row>
    <row r="829" spans="1:42" ht="1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 t="str">
        <f t="shared" si="108"/>
        <v/>
      </c>
      <c r="AG829" s="7" t="str">
        <f t="shared" si="116"/>
        <v/>
      </c>
      <c r="AH829" s="7" t="str">
        <f t="shared" si="109"/>
        <v/>
      </c>
      <c r="AI829" s="7" t="str">
        <f t="shared" si="110"/>
        <v/>
      </c>
      <c r="AJ829" s="7" t="str">
        <f t="shared" si="111"/>
        <v/>
      </c>
      <c r="AK829" s="7" t="str">
        <f t="shared" si="112"/>
        <v/>
      </c>
      <c r="AL829" s="7" t="str">
        <f t="shared" si="113"/>
        <v/>
      </c>
      <c r="AM829" s="7" t="str">
        <f t="shared" si="114"/>
        <v/>
      </c>
      <c r="AN829" s="8" t="str">
        <f>IF(C829="","",COUNTIF($C$2:C829,C829))</f>
        <v/>
      </c>
      <c r="AO829" s="8" t="str">
        <f t="shared" si="115"/>
        <v/>
      </c>
      <c r="AP829" s="8" t="str">
        <f>IF(C829="","",IF(AND(OR([1]Consulta!$C$29="",A829=[1]Consulta!$C$29),OR([1]Consulta!$E$29="",B829=[1]Consulta!$E$29),OR([1]Consulta!$G$29="",D829=[1]Consulta!$G$29,R829=[1]Consulta!$G$29)),ROW()-1,""))</f>
        <v/>
      </c>
    </row>
    <row r="830" spans="1:42" ht="1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 t="str">
        <f t="shared" si="108"/>
        <v/>
      </c>
      <c r="AG830" s="7" t="str">
        <f t="shared" si="116"/>
        <v/>
      </c>
      <c r="AH830" s="7" t="str">
        <f t="shared" si="109"/>
        <v/>
      </c>
      <c r="AI830" s="7" t="str">
        <f t="shared" si="110"/>
        <v/>
      </c>
      <c r="AJ830" s="7" t="str">
        <f t="shared" si="111"/>
        <v/>
      </c>
      <c r="AK830" s="7" t="str">
        <f t="shared" si="112"/>
        <v/>
      </c>
      <c r="AL830" s="7" t="str">
        <f t="shared" si="113"/>
        <v/>
      </c>
      <c r="AM830" s="7" t="str">
        <f t="shared" si="114"/>
        <v/>
      </c>
      <c r="AN830" s="8" t="str">
        <f>IF(C830="","",COUNTIF($C$2:C830,C830))</f>
        <v/>
      </c>
      <c r="AO830" s="8" t="str">
        <f t="shared" si="115"/>
        <v/>
      </c>
      <c r="AP830" s="8" t="str">
        <f>IF(C830="","",IF(AND(OR([1]Consulta!$C$29="",A830=[1]Consulta!$C$29),OR([1]Consulta!$E$29="",B830=[1]Consulta!$E$29),OR([1]Consulta!$G$29="",D830=[1]Consulta!$G$29,R830=[1]Consulta!$G$29)),ROW()-1,""))</f>
        <v/>
      </c>
    </row>
    <row r="831" spans="1:42" ht="1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 t="str">
        <f t="shared" si="108"/>
        <v/>
      </c>
      <c r="AG831" s="7" t="str">
        <f t="shared" si="116"/>
        <v/>
      </c>
      <c r="AH831" s="7" t="str">
        <f t="shared" si="109"/>
        <v/>
      </c>
      <c r="AI831" s="7" t="str">
        <f t="shared" si="110"/>
        <v/>
      </c>
      <c r="AJ831" s="7" t="str">
        <f t="shared" si="111"/>
        <v/>
      </c>
      <c r="AK831" s="7" t="str">
        <f t="shared" si="112"/>
        <v/>
      </c>
      <c r="AL831" s="7" t="str">
        <f t="shared" si="113"/>
        <v/>
      </c>
      <c r="AM831" s="7" t="str">
        <f t="shared" si="114"/>
        <v/>
      </c>
      <c r="AN831" s="8" t="str">
        <f>IF(C831="","",COUNTIF($C$2:C831,C831))</f>
        <v/>
      </c>
      <c r="AO831" s="8" t="str">
        <f t="shared" si="115"/>
        <v/>
      </c>
      <c r="AP831" s="8" t="str">
        <f>IF(C831="","",IF(AND(OR([1]Consulta!$C$29="",A831=[1]Consulta!$C$29),OR([1]Consulta!$E$29="",B831=[1]Consulta!$E$29),OR([1]Consulta!$G$29="",D831=[1]Consulta!$G$29,R831=[1]Consulta!$G$29)),ROW()-1,""))</f>
        <v/>
      </c>
    </row>
    <row r="832" spans="1:42" ht="1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 t="str">
        <f t="shared" si="108"/>
        <v/>
      </c>
      <c r="AG832" s="7" t="str">
        <f t="shared" si="116"/>
        <v/>
      </c>
      <c r="AH832" s="7" t="str">
        <f t="shared" si="109"/>
        <v/>
      </c>
      <c r="AI832" s="7" t="str">
        <f t="shared" si="110"/>
        <v/>
      </c>
      <c r="AJ832" s="7" t="str">
        <f t="shared" si="111"/>
        <v/>
      </c>
      <c r="AK832" s="7" t="str">
        <f t="shared" si="112"/>
        <v/>
      </c>
      <c r="AL832" s="7" t="str">
        <f t="shared" si="113"/>
        <v/>
      </c>
      <c r="AM832" s="7" t="str">
        <f t="shared" si="114"/>
        <v/>
      </c>
      <c r="AN832" s="8" t="str">
        <f>IF(C832="","",COUNTIF($C$2:C832,C832))</f>
        <v/>
      </c>
      <c r="AO832" s="8" t="str">
        <f t="shared" si="115"/>
        <v/>
      </c>
      <c r="AP832" s="8" t="str">
        <f>IF(C832="","",IF(AND(OR([1]Consulta!$C$29="",A832=[1]Consulta!$C$29),OR([1]Consulta!$E$29="",B832=[1]Consulta!$E$29),OR([1]Consulta!$G$29="",D832=[1]Consulta!$G$29,R832=[1]Consulta!$G$29)),ROW()-1,""))</f>
        <v/>
      </c>
    </row>
    <row r="833" spans="1:42" ht="1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 t="str">
        <f t="shared" si="108"/>
        <v/>
      </c>
      <c r="AG833" s="7" t="str">
        <f t="shared" si="116"/>
        <v/>
      </c>
      <c r="AH833" s="7" t="str">
        <f t="shared" si="109"/>
        <v/>
      </c>
      <c r="AI833" s="7" t="str">
        <f t="shared" si="110"/>
        <v/>
      </c>
      <c r="AJ833" s="7" t="str">
        <f t="shared" si="111"/>
        <v/>
      </c>
      <c r="AK833" s="7" t="str">
        <f t="shared" si="112"/>
        <v/>
      </c>
      <c r="AL833" s="7" t="str">
        <f t="shared" si="113"/>
        <v/>
      </c>
      <c r="AM833" s="7" t="str">
        <f t="shared" si="114"/>
        <v/>
      </c>
      <c r="AN833" s="8" t="str">
        <f>IF(C833="","",COUNTIF($C$2:C833,C833))</f>
        <v/>
      </c>
      <c r="AO833" s="8" t="str">
        <f t="shared" si="115"/>
        <v/>
      </c>
      <c r="AP833" s="8" t="str">
        <f>IF(C833="","",IF(AND(OR([1]Consulta!$C$29="",A833=[1]Consulta!$C$29),OR([1]Consulta!$E$29="",B833=[1]Consulta!$E$29),OR([1]Consulta!$G$29="",D833=[1]Consulta!$G$29,R833=[1]Consulta!$G$29)),ROW()-1,""))</f>
        <v/>
      </c>
    </row>
    <row r="834" spans="1:42" ht="1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 t="str">
        <f t="shared" ref="AF834:AF897" si="117">IF(C834="","",IF(AND(ISNUMBER(K834),ISNUMBER(L834)),K834-L834,""))</f>
        <v/>
      </c>
      <c r="AG834" s="7" t="str">
        <f t="shared" si="116"/>
        <v/>
      </c>
      <c r="AH834" s="7" t="str">
        <f t="shared" ref="AH834:AH897" si="118">IF(C834="","",IF(AND(ISNUMBER(Y834),ISNUMBER(Z834)),Y834-Z834,""))</f>
        <v/>
      </c>
      <c r="AI834" s="7" t="str">
        <f t="shared" ref="AI834:AI897" si="119">IF(C834="","",IF(AH834="","N/A",IF(AH834&lt;0,"ALARMA","OK")))</f>
        <v/>
      </c>
      <c r="AJ834" s="7" t="str">
        <f t="shared" ref="AJ834:AJ897" si="120">IF(C834="","",IF(ISNUMBER(M834),IF(M834&gt;0,"CON ERRORES","OK"),"N/A"))</f>
        <v/>
      </c>
      <c r="AK834" s="7" t="str">
        <f t="shared" ref="AK834:AK897" si="121">IF(C834="","",IF(ISNUMBER(AA834),IF(AA834&gt;0,"CON ERRORES","OK"),"N/A"))</f>
        <v/>
      </c>
      <c r="AL834" s="7" t="str">
        <f t="shared" ref="AL834:AL897" si="122">IF(C834="","",IF(OR(AG834="ALARMA",AI834="ALARMA",AJ834="CON ERRORES",AK834="CON ERRORES"),"REVISAR","OK"))</f>
        <v/>
      </c>
      <c r="AM834" s="7" t="str">
        <f t="shared" ref="AM834:AM897" si="123">IF(C834="","",IF(ISNUMBER(Q834),Q834,IF(ISNUMBER(AE834),AE834,"Ver detalle")))</f>
        <v/>
      </c>
      <c r="AN834" s="8" t="str">
        <f>IF(C834="","",COUNTIF($C$2:C834,C834))</f>
        <v/>
      </c>
      <c r="AO834" s="8" t="str">
        <f t="shared" ref="AO834:AO897" si="124">IF(C834="","",C834&amp;"|"&amp;AN834)</f>
        <v/>
      </c>
      <c r="AP834" s="8" t="str">
        <f>IF(C834="","",IF(AND(OR([1]Consulta!$C$29="",A834=[1]Consulta!$C$29),OR([1]Consulta!$E$29="",B834=[1]Consulta!$E$29),OR([1]Consulta!$G$29="",D834=[1]Consulta!$G$29,R834=[1]Consulta!$G$29)),ROW()-1,""))</f>
        <v/>
      </c>
    </row>
    <row r="835" spans="1:42" ht="1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 t="str">
        <f t="shared" si="117"/>
        <v/>
      </c>
      <c r="AG835" s="7" t="str">
        <f t="shared" ref="AG835:AG898" si="125">IF(C835="","",IF(AF835="","N/A",IF(AF835&lt;0,"ALARMA","OK")))</f>
        <v/>
      </c>
      <c r="AH835" s="7" t="str">
        <f t="shared" si="118"/>
        <v/>
      </c>
      <c r="AI835" s="7" t="str">
        <f t="shared" si="119"/>
        <v/>
      </c>
      <c r="AJ835" s="7" t="str">
        <f t="shared" si="120"/>
        <v/>
      </c>
      <c r="AK835" s="7" t="str">
        <f t="shared" si="121"/>
        <v/>
      </c>
      <c r="AL835" s="7" t="str">
        <f t="shared" si="122"/>
        <v/>
      </c>
      <c r="AM835" s="7" t="str">
        <f t="shared" si="123"/>
        <v/>
      </c>
      <c r="AN835" s="8" t="str">
        <f>IF(C835="","",COUNTIF($C$2:C835,C835))</f>
        <v/>
      </c>
      <c r="AO835" s="8" t="str">
        <f t="shared" si="124"/>
        <v/>
      </c>
      <c r="AP835" s="8" t="str">
        <f>IF(C835="","",IF(AND(OR([1]Consulta!$C$29="",A835=[1]Consulta!$C$29),OR([1]Consulta!$E$29="",B835=[1]Consulta!$E$29),OR([1]Consulta!$G$29="",D835=[1]Consulta!$G$29,R835=[1]Consulta!$G$29)),ROW()-1,""))</f>
        <v/>
      </c>
    </row>
    <row r="836" spans="1:42" ht="1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 t="str">
        <f t="shared" si="117"/>
        <v/>
      </c>
      <c r="AG836" s="7" t="str">
        <f t="shared" si="125"/>
        <v/>
      </c>
      <c r="AH836" s="7" t="str">
        <f t="shared" si="118"/>
        <v/>
      </c>
      <c r="AI836" s="7" t="str">
        <f t="shared" si="119"/>
        <v/>
      </c>
      <c r="AJ836" s="7" t="str">
        <f t="shared" si="120"/>
        <v/>
      </c>
      <c r="AK836" s="7" t="str">
        <f t="shared" si="121"/>
        <v/>
      </c>
      <c r="AL836" s="7" t="str">
        <f t="shared" si="122"/>
        <v/>
      </c>
      <c r="AM836" s="7" t="str">
        <f t="shared" si="123"/>
        <v/>
      </c>
      <c r="AN836" s="8" t="str">
        <f>IF(C836="","",COUNTIF($C$2:C836,C836))</f>
        <v/>
      </c>
      <c r="AO836" s="8" t="str">
        <f t="shared" si="124"/>
        <v/>
      </c>
      <c r="AP836" s="8" t="str">
        <f>IF(C836="","",IF(AND(OR([1]Consulta!$C$29="",A836=[1]Consulta!$C$29),OR([1]Consulta!$E$29="",B836=[1]Consulta!$E$29),OR([1]Consulta!$G$29="",D836=[1]Consulta!$G$29,R836=[1]Consulta!$G$29)),ROW()-1,""))</f>
        <v/>
      </c>
    </row>
    <row r="837" spans="1:42" ht="1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 t="str">
        <f t="shared" si="117"/>
        <v/>
      </c>
      <c r="AG837" s="7" t="str">
        <f t="shared" si="125"/>
        <v/>
      </c>
      <c r="AH837" s="7" t="str">
        <f t="shared" si="118"/>
        <v/>
      </c>
      <c r="AI837" s="7" t="str">
        <f t="shared" si="119"/>
        <v/>
      </c>
      <c r="AJ837" s="7" t="str">
        <f t="shared" si="120"/>
        <v/>
      </c>
      <c r="AK837" s="7" t="str">
        <f t="shared" si="121"/>
        <v/>
      </c>
      <c r="AL837" s="7" t="str">
        <f t="shared" si="122"/>
        <v/>
      </c>
      <c r="AM837" s="7" t="str">
        <f t="shared" si="123"/>
        <v/>
      </c>
      <c r="AN837" s="8" t="str">
        <f>IF(C837="","",COUNTIF($C$2:C837,C837))</f>
        <v/>
      </c>
      <c r="AO837" s="8" t="str">
        <f t="shared" si="124"/>
        <v/>
      </c>
      <c r="AP837" s="8" t="str">
        <f>IF(C837="","",IF(AND(OR([1]Consulta!$C$29="",A837=[1]Consulta!$C$29),OR([1]Consulta!$E$29="",B837=[1]Consulta!$E$29),OR([1]Consulta!$G$29="",D837=[1]Consulta!$G$29,R837=[1]Consulta!$G$29)),ROW()-1,""))</f>
        <v/>
      </c>
    </row>
    <row r="838" spans="1:42" ht="1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 t="str">
        <f t="shared" si="117"/>
        <v/>
      </c>
      <c r="AG838" s="7" t="str">
        <f t="shared" si="125"/>
        <v/>
      </c>
      <c r="AH838" s="7" t="str">
        <f t="shared" si="118"/>
        <v/>
      </c>
      <c r="AI838" s="7" t="str">
        <f t="shared" si="119"/>
        <v/>
      </c>
      <c r="AJ838" s="7" t="str">
        <f t="shared" si="120"/>
        <v/>
      </c>
      <c r="AK838" s="7" t="str">
        <f t="shared" si="121"/>
        <v/>
      </c>
      <c r="AL838" s="7" t="str">
        <f t="shared" si="122"/>
        <v/>
      </c>
      <c r="AM838" s="7" t="str">
        <f t="shared" si="123"/>
        <v/>
      </c>
      <c r="AN838" s="8" t="str">
        <f>IF(C838="","",COUNTIF($C$2:C838,C838))</f>
        <v/>
      </c>
      <c r="AO838" s="8" t="str">
        <f t="shared" si="124"/>
        <v/>
      </c>
      <c r="AP838" s="8" t="str">
        <f>IF(C838="","",IF(AND(OR([1]Consulta!$C$29="",A838=[1]Consulta!$C$29),OR([1]Consulta!$E$29="",B838=[1]Consulta!$E$29),OR([1]Consulta!$G$29="",D838=[1]Consulta!$G$29,R838=[1]Consulta!$G$29)),ROW()-1,""))</f>
        <v/>
      </c>
    </row>
    <row r="839" spans="1:42" ht="1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 t="str">
        <f t="shared" si="117"/>
        <v/>
      </c>
      <c r="AG839" s="7" t="str">
        <f t="shared" si="125"/>
        <v/>
      </c>
      <c r="AH839" s="7" t="str">
        <f t="shared" si="118"/>
        <v/>
      </c>
      <c r="AI839" s="7" t="str">
        <f t="shared" si="119"/>
        <v/>
      </c>
      <c r="AJ839" s="7" t="str">
        <f t="shared" si="120"/>
        <v/>
      </c>
      <c r="AK839" s="7" t="str">
        <f t="shared" si="121"/>
        <v/>
      </c>
      <c r="AL839" s="7" t="str">
        <f t="shared" si="122"/>
        <v/>
      </c>
      <c r="AM839" s="7" t="str">
        <f t="shared" si="123"/>
        <v/>
      </c>
      <c r="AN839" s="8" t="str">
        <f>IF(C839="","",COUNTIF($C$2:C839,C839))</f>
        <v/>
      </c>
      <c r="AO839" s="8" t="str">
        <f t="shared" si="124"/>
        <v/>
      </c>
      <c r="AP839" s="8" t="str">
        <f>IF(C839="","",IF(AND(OR([1]Consulta!$C$29="",A839=[1]Consulta!$C$29),OR([1]Consulta!$E$29="",B839=[1]Consulta!$E$29),OR([1]Consulta!$G$29="",D839=[1]Consulta!$G$29,R839=[1]Consulta!$G$29)),ROW()-1,""))</f>
        <v/>
      </c>
    </row>
    <row r="840" spans="1:42" ht="1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 t="str">
        <f t="shared" si="117"/>
        <v/>
      </c>
      <c r="AG840" s="7" t="str">
        <f t="shared" si="125"/>
        <v/>
      </c>
      <c r="AH840" s="7" t="str">
        <f t="shared" si="118"/>
        <v/>
      </c>
      <c r="AI840" s="7" t="str">
        <f t="shared" si="119"/>
        <v/>
      </c>
      <c r="AJ840" s="7" t="str">
        <f t="shared" si="120"/>
        <v/>
      </c>
      <c r="AK840" s="7" t="str">
        <f t="shared" si="121"/>
        <v/>
      </c>
      <c r="AL840" s="7" t="str">
        <f t="shared" si="122"/>
        <v/>
      </c>
      <c r="AM840" s="7" t="str">
        <f t="shared" si="123"/>
        <v/>
      </c>
      <c r="AN840" s="8" t="str">
        <f>IF(C840="","",COUNTIF($C$2:C840,C840))</f>
        <v/>
      </c>
      <c r="AO840" s="8" t="str">
        <f t="shared" si="124"/>
        <v/>
      </c>
      <c r="AP840" s="8" t="str">
        <f>IF(C840="","",IF(AND(OR([1]Consulta!$C$29="",A840=[1]Consulta!$C$29),OR([1]Consulta!$E$29="",B840=[1]Consulta!$E$29),OR([1]Consulta!$G$29="",D840=[1]Consulta!$G$29,R840=[1]Consulta!$G$29)),ROW()-1,""))</f>
        <v/>
      </c>
    </row>
    <row r="841" spans="1:42" ht="1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 t="str">
        <f t="shared" si="117"/>
        <v/>
      </c>
      <c r="AG841" s="7" t="str">
        <f t="shared" si="125"/>
        <v/>
      </c>
      <c r="AH841" s="7" t="str">
        <f t="shared" si="118"/>
        <v/>
      </c>
      <c r="AI841" s="7" t="str">
        <f t="shared" si="119"/>
        <v/>
      </c>
      <c r="AJ841" s="7" t="str">
        <f t="shared" si="120"/>
        <v/>
      </c>
      <c r="AK841" s="7" t="str">
        <f t="shared" si="121"/>
        <v/>
      </c>
      <c r="AL841" s="7" t="str">
        <f t="shared" si="122"/>
        <v/>
      </c>
      <c r="AM841" s="7" t="str">
        <f t="shared" si="123"/>
        <v/>
      </c>
      <c r="AN841" s="8" t="str">
        <f>IF(C841="","",COUNTIF($C$2:C841,C841))</f>
        <v/>
      </c>
      <c r="AO841" s="8" t="str">
        <f t="shared" si="124"/>
        <v/>
      </c>
      <c r="AP841" s="8" t="str">
        <f>IF(C841="","",IF(AND(OR([1]Consulta!$C$29="",A841=[1]Consulta!$C$29),OR([1]Consulta!$E$29="",B841=[1]Consulta!$E$29),OR([1]Consulta!$G$29="",D841=[1]Consulta!$G$29,R841=[1]Consulta!$G$29)),ROW()-1,""))</f>
        <v/>
      </c>
    </row>
    <row r="842" spans="1:42" ht="1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 t="str">
        <f t="shared" si="117"/>
        <v/>
      </c>
      <c r="AG842" s="7" t="str">
        <f t="shared" si="125"/>
        <v/>
      </c>
      <c r="AH842" s="7" t="str">
        <f t="shared" si="118"/>
        <v/>
      </c>
      <c r="AI842" s="7" t="str">
        <f t="shared" si="119"/>
        <v/>
      </c>
      <c r="AJ842" s="7" t="str">
        <f t="shared" si="120"/>
        <v/>
      </c>
      <c r="AK842" s="7" t="str">
        <f t="shared" si="121"/>
        <v/>
      </c>
      <c r="AL842" s="7" t="str">
        <f t="shared" si="122"/>
        <v/>
      </c>
      <c r="AM842" s="7" t="str">
        <f t="shared" si="123"/>
        <v/>
      </c>
      <c r="AN842" s="8" t="str">
        <f>IF(C842="","",COUNTIF($C$2:C842,C842))</f>
        <v/>
      </c>
      <c r="AO842" s="8" t="str">
        <f t="shared" si="124"/>
        <v/>
      </c>
      <c r="AP842" s="8" t="str">
        <f>IF(C842="","",IF(AND(OR([1]Consulta!$C$29="",A842=[1]Consulta!$C$29),OR([1]Consulta!$E$29="",B842=[1]Consulta!$E$29),OR([1]Consulta!$G$29="",D842=[1]Consulta!$G$29,R842=[1]Consulta!$G$29)),ROW()-1,""))</f>
        <v/>
      </c>
    </row>
    <row r="843" spans="1:42" ht="1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 t="str">
        <f t="shared" si="117"/>
        <v/>
      </c>
      <c r="AG843" s="7" t="str">
        <f t="shared" si="125"/>
        <v/>
      </c>
      <c r="AH843" s="7" t="str">
        <f t="shared" si="118"/>
        <v/>
      </c>
      <c r="AI843" s="7" t="str">
        <f t="shared" si="119"/>
        <v/>
      </c>
      <c r="AJ843" s="7" t="str">
        <f t="shared" si="120"/>
        <v/>
      </c>
      <c r="AK843" s="7" t="str">
        <f t="shared" si="121"/>
        <v/>
      </c>
      <c r="AL843" s="7" t="str">
        <f t="shared" si="122"/>
        <v/>
      </c>
      <c r="AM843" s="7" t="str">
        <f t="shared" si="123"/>
        <v/>
      </c>
      <c r="AN843" s="8" t="str">
        <f>IF(C843="","",COUNTIF($C$2:C843,C843))</f>
        <v/>
      </c>
      <c r="AO843" s="8" t="str">
        <f t="shared" si="124"/>
        <v/>
      </c>
      <c r="AP843" s="8" t="str">
        <f>IF(C843="","",IF(AND(OR([1]Consulta!$C$29="",A843=[1]Consulta!$C$29),OR([1]Consulta!$E$29="",B843=[1]Consulta!$E$29),OR([1]Consulta!$G$29="",D843=[1]Consulta!$G$29,R843=[1]Consulta!$G$29)),ROW()-1,""))</f>
        <v/>
      </c>
    </row>
    <row r="844" spans="1:42" ht="1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 t="str">
        <f t="shared" si="117"/>
        <v/>
      </c>
      <c r="AG844" s="7" t="str">
        <f t="shared" si="125"/>
        <v/>
      </c>
      <c r="AH844" s="7" t="str">
        <f t="shared" si="118"/>
        <v/>
      </c>
      <c r="AI844" s="7" t="str">
        <f t="shared" si="119"/>
        <v/>
      </c>
      <c r="AJ844" s="7" t="str">
        <f t="shared" si="120"/>
        <v/>
      </c>
      <c r="AK844" s="7" t="str">
        <f t="shared" si="121"/>
        <v/>
      </c>
      <c r="AL844" s="7" t="str">
        <f t="shared" si="122"/>
        <v/>
      </c>
      <c r="AM844" s="7" t="str">
        <f t="shared" si="123"/>
        <v/>
      </c>
      <c r="AN844" s="8" t="str">
        <f>IF(C844="","",COUNTIF($C$2:C844,C844))</f>
        <v/>
      </c>
      <c r="AO844" s="8" t="str">
        <f t="shared" si="124"/>
        <v/>
      </c>
      <c r="AP844" s="8" t="str">
        <f>IF(C844="","",IF(AND(OR([1]Consulta!$C$29="",A844=[1]Consulta!$C$29),OR([1]Consulta!$E$29="",B844=[1]Consulta!$E$29),OR([1]Consulta!$G$29="",D844=[1]Consulta!$G$29,R844=[1]Consulta!$G$29)),ROW()-1,""))</f>
        <v/>
      </c>
    </row>
    <row r="845" spans="1:42" ht="1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 t="str">
        <f t="shared" si="117"/>
        <v/>
      </c>
      <c r="AG845" s="7" t="str">
        <f t="shared" si="125"/>
        <v/>
      </c>
      <c r="AH845" s="7" t="str">
        <f t="shared" si="118"/>
        <v/>
      </c>
      <c r="AI845" s="7" t="str">
        <f t="shared" si="119"/>
        <v/>
      </c>
      <c r="AJ845" s="7" t="str">
        <f t="shared" si="120"/>
        <v/>
      </c>
      <c r="AK845" s="7" t="str">
        <f t="shared" si="121"/>
        <v/>
      </c>
      <c r="AL845" s="7" t="str">
        <f t="shared" si="122"/>
        <v/>
      </c>
      <c r="AM845" s="7" t="str">
        <f t="shared" si="123"/>
        <v/>
      </c>
      <c r="AN845" s="8" t="str">
        <f>IF(C845="","",COUNTIF($C$2:C845,C845))</f>
        <v/>
      </c>
      <c r="AO845" s="8" t="str">
        <f t="shared" si="124"/>
        <v/>
      </c>
      <c r="AP845" s="8" t="str">
        <f>IF(C845="","",IF(AND(OR([1]Consulta!$C$29="",A845=[1]Consulta!$C$29),OR([1]Consulta!$E$29="",B845=[1]Consulta!$E$29),OR([1]Consulta!$G$29="",D845=[1]Consulta!$G$29,R845=[1]Consulta!$G$29)),ROW()-1,""))</f>
        <v/>
      </c>
    </row>
    <row r="846" spans="1:42" ht="1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 t="str">
        <f t="shared" si="117"/>
        <v/>
      </c>
      <c r="AG846" s="7" t="str">
        <f t="shared" si="125"/>
        <v/>
      </c>
      <c r="AH846" s="7" t="str">
        <f t="shared" si="118"/>
        <v/>
      </c>
      <c r="AI846" s="7" t="str">
        <f t="shared" si="119"/>
        <v/>
      </c>
      <c r="AJ846" s="7" t="str">
        <f t="shared" si="120"/>
        <v/>
      </c>
      <c r="AK846" s="7" t="str">
        <f t="shared" si="121"/>
        <v/>
      </c>
      <c r="AL846" s="7" t="str">
        <f t="shared" si="122"/>
        <v/>
      </c>
      <c r="AM846" s="7" t="str">
        <f t="shared" si="123"/>
        <v/>
      </c>
      <c r="AN846" s="8" t="str">
        <f>IF(C846="","",COUNTIF($C$2:C846,C846))</f>
        <v/>
      </c>
      <c r="AO846" s="8" t="str">
        <f t="shared" si="124"/>
        <v/>
      </c>
      <c r="AP846" s="8" t="str">
        <f>IF(C846="","",IF(AND(OR([1]Consulta!$C$29="",A846=[1]Consulta!$C$29),OR([1]Consulta!$E$29="",B846=[1]Consulta!$E$29),OR([1]Consulta!$G$29="",D846=[1]Consulta!$G$29,R846=[1]Consulta!$G$29)),ROW()-1,""))</f>
        <v/>
      </c>
    </row>
    <row r="847" spans="1:42" ht="1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 t="str">
        <f t="shared" si="117"/>
        <v/>
      </c>
      <c r="AG847" s="7" t="str">
        <f t="shared" si="125"/>
        <v/>
      </c>
      <c r="AH847" s="7" t="str">
        <f t="shared" si="118"/>
        <v/>
      </c>
      <c r="AI847" s="7" t="str">
        <f t="shared" si="119"/>
        <v/>
      </c>
      <c r="AJ847" s="7" t="str">
        <f t="shared" si="120"/>
        <v/>
      </c>
      <c r="AK847" s="7" t="str">
        <f t="shared" si="121"/>
        <v/>
      </c>
      <c r="AL847" s="7" t="str">
        <f t="shared" si="122"/>
        <v/>
      </c>
      <c r="AM847" s="7" t="str">
        <f t="shared" si="123"/>
        <v/>
      </c>
      <c r="AN847" s="8" t="str">
        <f>IF(C847="","",COUNTIF($C$2:C847,C847))</f>
        <v/>
      </c>
      <c r="AO847" s="8" t="str">
        <f t="shared" si="124"/>
        <v/>
      </c>
      <c r="AP847" s="8" t="str">
        <f>IF(C847="","",IF(AND(OR([1]Consulta!$C$29="",A847=[1]Consulta!$C$29),OR([1]Consulta!$E$29="",B847=[1]Consulta!$E$29),OR([1]Consulta!$G$29="",D847=[1]Consulta!$G$29,R847=[1]Consulta!$G$29)),ROW()-1,""))</f>
        <v/>
      </c>
    </row>
    <row r="848" spans="1:42" ht="1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 t="str">
        <f t="shared" si="117"/>
        <v/>
      </c>
      <c r="AG848" s="7" t="str">
        <f t="shared" si="125"/>
        <v/>
      </c>
      <c r="AH848" s="7" t="str">
        <f t="shared" si="118"/>
        <v/>
      </c>
      <c r="AI848" s="7" t="str">
        <f t="shared" si="119"/>
        <v/>
      </c>
      <c r="AJ848" s="7" t="str">
        <f t="shared" si="120"/>
        <v/>
      </c>
      <c r="AK848" s="7" t="str">
        <f t="shared" si="121"/>
        <v/>
      </c>
      <c r="AL848" s="7" t="str">
        <f t="shared" si="122"/>
        <v/>
      </c>
      <c r="AM848" s="7" t="str">
        <f t="shared" si="123"/>
        <v/>
      </c>
      <c r="AN848" s="8" t="str">
        <f>IF(C848="","",COUNTIF($C$2:C848,C848))</f>
        <v/>
      </c>
      <c r="AO848" s="8" t="str">
        <f t="shared" si="124"/>
        <v/>
      </c>
      <c r="AP848" s="8" t="str">
        <f>IF(C848="","",IF(AND(OR([1]Consulta!$C$29="",A848=[1]Consulta!$C$29),OR([1]Consulta!$E$29="",B848=[1]Consulta!$E$29),OR([1]Consulta!$G$29="",D848=[1]Consulta!$G$29,R848=[1]Consulta!$G$29)),ROW()-1,""))</f>
        <v/>
      </c>
    </row>
    <row r="849" spans="1:42" ht="1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 t="str">
        <f t="shared" si="117"/>
        <v/>
      </c>
      <c r="AG849" s="7" t="str">
        <f t="shared" si="125"/>
        <v/>
      </c>
      <c r="AH849" s="7" t="str">
        <f t="shared" si="118"/>
        <v/>
      </c>
      <c r="AI849" s="7" t="str">
        <f t="shared" si="119"/>
        <v/>
      </c>
      <c r="AJ849" s="7" t="str">
        <f t="shared" si="120"/>
        <v/>
      </c>
      <c r="AK849" s="7" t="str">
        <f t="shared" si="121"/>
        <v/>
      </c>
      <c r="AL849" s="7" t="str">
        <f t="shared" si="122"/>
        <v/>
      </c>
      <c r="AM849" s="7" t="str">
        <f t="shared" si="123"/>
        <v/>
      </c>
      <c r="AN849" s="8" t="str">
        <f>IF(C849="","",COUNTIF($C$2:C849,C849))</f>
        <v/>
      </c>
      <c r="AO849" s="8" t="str">
        <f t="shared" si="124"/>
        <v/>
      </c>
      <c r="AP849" s="8" t="str">
        <f>IF(C849="","",IF(AND(OR([1]Consulta!$C$29="",A849=[1]Consulta!$C$29),OR([1]Consulta!$E$29="",B849=[1]Consulta!$E$29),OR([1]Consulta!$G$29="",D849=[1]Consulta!$G$29,R849=[1]Consulta!$G$29)),ROW()-1,""))</f>
        <v/>
      </c>
    </row>
    <row r="850" spans="1:42" ht="1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 t="str">
        <f t="shared" si="117"/>
        <v/>
      </c>
      <c r="AG850" s="7" t="str">
        <f t="shared" si="125"/>
        <v/>
      </c>
      <c r="AH850" s="7" t="str">
        <f t="shared" si="118"/>
        <v/>
      </c>
      <c r="AI850" s="7" t="str">
        <f t="shared" si="119"/>
        <v/>
      </c>
      <c r="AJ850" s="7" t="str">
        <f t="shared" si="120"/>
        <v/>
      </c>
      <c r="AK850" s="7" t="str">
        <f t="shared" si="121"/>
        <v/>
      </c>
      <c r="AL850" s="7" t="str">
        <f t="shared" si="122"/>
        <v/>
      </c>
      <c r="AM850" s="7" t="str">
        <f t="shared" si="123"/>
        <v/>
      </c>
      <c r="AN850" s="8" t="str">
        <f>IF(C850="","",COUNTIF($C$2:C850,C850))</f>
        <v/>
      </c>
      <c r="AO850" s="8" t="str">
        <f t="shared" si="124"/>
        <v/>
      </c>
      <c r="AP850" s="8" t="str">
        <f>IF(C850="","",IF(AND(OR([1]Consulta!$C$29="",A850=[1]Consulta!$C$29),OR([1]Consulta!$E$29="",B850=[1]Consulta!$E$29),OR([1]Consulta!$G$29="",D850=[1]Consulta!$G$29,R850=[1]Consulta!$G$29)),ROW()-1,""))</f>
        <v/>
      </c>
    </row>
    <row r="851" spans="1:42" ht="1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 t="str">
        <f t="shared" si="117"/>
        <v/>
      </c>
      <c r="AG851" s="7" t="str">
        <f t="shared" si="125"/>
        <v/>
      </c>
      <c r="AH851" s="7" t="str">
        <f t="shared" si="118"/>
        <v/>
      </c>
      <c r="AI851" s="7" t="str">
        <f t="shared" si="119"/>
        <v/>
      </c>
      <c r="AJ851" s="7" t="str">
        <f t="shared" si="120"/>
        <v/>
      </c>
      <c r="AK851" s="7" t="str">
        <f t="shared" si="121"/>
        <v/>
      </c>
      <c r="AL851" s="7" t="str">
        <f t="shared" si="122"/>
        <v/>
      </c>
      <c r="AM851" s="7" t="str">
        <f t="shared" si="123"/>
        <v/>
      </c>
      <c r="AN851" s="8" t="str">
        <f>IF(C851="","",COUNTIF($C$2:C851,C851))</f>
        <v/>
      </c>
      <c r="AO851" s="8" t="str">
        <f t="shared" si="124"/>
        <v/>
      </c>
      <c r="AP851" s="8" t="str">
        <f>IF(C851="","",IF(AND(OR([1]Consulta!$C$29="",A851=[1]Consulta!$C$29),OR([1]Consulta!$E$29="",B851=[1]Consulta!$E$29),OR([1]Consulta!$G$29="",D851=[1]Consulta!$G$29,R851=[1]Consulta!$G$29)),ROW()-1,""))</f>
        <v/>
      </c>
    </row>
    <row r="852" spans="1:42" ht="1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 t="str">
        <f t="shared" si="117"/>
        <v/>
      </c>
      <c r="AG852" s="7" t="str">
        <f t="shared" si="125"/>
        <v/>
      </c>
      <c r="AH852" s="7" t="str">
        <f t="shared" si="118"/>
        <v/>
      </c>
      <c r="AI852" s="7" t="str">
        <f t="shared" si="119"/>
        <v/>
      </c>
      <c r="AJ852" s="7" t="str">
        <f t="shared" si="120"/>
        <v/>
      </c>
      <c r="AK852" s="7" t="str">
        <f t="shared" si="121"/>
        <v/>
      </c>
      <c r="AL852" s="7" t="str">
        <f t="shared" si="122"/>
        <v/>
      </c>
      <c r="AM852" s="7" t="str">
        <f t="shared" si="123"/>
        <v/>
      </c>
      <c r="AN852" s="8" t="str">
        <f>IF(C852="","",COUNTIF($C$2:C852,C852))</f>
        <v/>
      </c>
      <c r="AO852" s="8" t="str">
        <f t="shared" si="124"/>
        <v/>
      </c>
      <c r="AP852" s="8" t="str">
        <f>IF(C852="","",IF(AND(OR([1]Consulta!$C$29="",A852=[1]Consulta!$C$29),OR([1]Consulta!$E$29="",B852=[1]Consulta!$E$29),OR([1]Consulta!$G$29="",D852=[1]Consulta!$G$29,R852=[1]Consulta!$G$29)),ROW()-1,""))</f>
        <v/>
      </c>
    </row>
    <row r="853" spans="1:42" ht="1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 t="str">
        <f t="shared" si="117"/>
        <v/>
      </c>
      <c r="AG853" s="7" t="str">
        <f t="shared" si="125"/>
        <v/>
      </c>
      <c r="AH853" s="7" t="str">
        <f t="shared" si="118"/>
        <v/>
      </c>
      <c r="AI853" s="7" t="str">
        <f t="shared" si="119"/>
        <v/>
      </c>
      <c r="AJ853" s="7" t="str">
        <f t="shared" si="120"/>
        <v/>
      </c>
      <c r="AK853" s="7" t="str">
        <f t="shared" si="121"/>
        <v/>
      </c>
      <c r="AL853" s="7" t="str">
        <f t="shared" si="122"/>
        <v/>
      </c>
      <c r="AM853" s="7" t="str">
        <f t="shared" si="123"/>
        <v/>
      </c>
      <c r="AN853" s="8" t="str">
        <f>IF(C853="","",COUNTIF($C$2:C853,C853))</f>
        <v/>
      </c>
      <c r="AO853" s="8" t="str">
        <f t="shared" si="124"/>
        <v/>
      </c>
      <c r="AP853" s="8" t="str">
        <f>IF(C853="","",IF(AND(OR([1]Consulta!$C$29="",A853=[1]Consulta!$C$29),OR([1]Consulta!$E$29="",B853=[1]Consulta!$E$29),OR([1]Consulta!$G$29="",D853=[1]Consulta!$G$29,R853=[1]Consulta!$G$29)),ROW()-1,""))</f>
        <v/>
      </c>
    </row>
    <row r="854" spans="1:42" ht="1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 t="str">
        <f t="shared" si="117"/>
        <v/>
      </c>
      <c r="AG854" s="7" t="str">
        <f t="shared" si="125"/>
        <v/>
      </c>
      <c r="AH854" s="7" t="str">
        <f t="shared" si="118"/>
        <v/>
      </c>
      <c r="AI854" s="7" t="str">
        <f t="shared" si="119"/>
        <v/>
      </c>
      <c r="AJ854" s="7" t="str">
        <f t="shared" si="120"/>
        <v/>
      </c>
      <c r="AK854" s="7" t="str">
        <f t="shared" si="121"/>
        <v/>
      </c>
      <c r="AL854" s="7" t="str">
        <f t="shared" si="122"/>
        <v/>
      </c>
      <c r="AM854" s="7" t="str">
        <f t="shared" si="123"/>
        <v/>
      </c>
      <c r="AN854" s="8" t="str">
        <f>IF(C854="","",COUNTIF($C$2:C854,C854))</f>
        <v/>
      </c>
      <c r="AO854" s="8" t="str">
        <f t="shared" si="124"/>
        <v/>
      </c>
      <c r="AP854" s="8" t="str">
        <f>IF(C854="","",IF(AND(OR([1]Consulta!$C$29="",A854=[1]Consulta!$C$29),OR([1]Consulta!$E$29="",B854=[1]Consulta!$E$29),OR([1]Consulta!$G$29="",D854=[1]Consulta!$G$29,R854=[1]Consulta!$G$29)),ROW()-1,""))</f>
        <v/>
      </c>
    </row>
    <row r="855" spans="1:42" ht="1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 t="str">
        <f t="shared" si="117"/>
        <v/>
      </c>
      <c r="AG855" s="7" t="str">
        <f t="shared" si="125"/>
        <v/>
      </c>
      <c r="AH855" s="7" t="str">
        <f t="shared" si="118"/>
        <v/>
      </c>
      <c r="AI855" s="7" t="str">
        <f t="shared" si="119"/>
        <v/>
      </c>
      <c r="AJ855" s="7" t="str">
        <f t="shared" si="120"/>
        <v/>
      </c>
      <c r="AK855" s="7" t="str">
        <f t="shared" si="121"/>
        <v/>
      </c>
      <c r="AL855" s="7" t="str">
        <f t="shared" si="122"/>
        <v/>
      </c>
      <c r="AM855" s="7" t="str">
        <f t="shared" si="123"/>
        <v/>
      </c>
      <c r="AN855" s="8" t="str">
        <f>IF(C855="","",COUNTIF($C$2:C855,C855))</f>
        <v/>
      </c>
      <c r="AO855" s="8" t="str">
        <f t="shared" si="124"/>
        <v/>
      </c>
      <c r="AP855" s="8" t="str">
        <f>IF(C855="","",IF(AND(OR([1]Consulta!$C$29="",A855=[1]Consulta!$C$29),OR([1]Consulta!$E$29="",B855=[1]Consulta!$E$29),OR([1]Consulta!$G$29="",D855=[1]Consulta!$G$29,R855=[1]Consulta!$G$29)),ROW()-1,""))</f>
        <v/>
      </c>
    </row>
    <row r="856" spans="1:42" ht="1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 t="str">
        <f t="shared" si="117"/>
        <v/>
      </c>
      <c r="AG856" s="7" t="str">
        <f t="shared" si="125"/>
        <v/>
      </c>
      <c r="AH856" s="7" t="str">
        <f t="shared" si="118"/>
        <v/>
      </c>
      <c r="AI856" s="7" t="str">
        <f t="shared" si="119"/>
        <v/>
      </c>
      <c r="AJ856" s="7" t="str">
        <f t="shared" si="120"/>
        <v/>
      </c>
      <c r="AK856" s="7" t="str">
        <f t="shared" si="121"/>
        <v/>
      </c>
      <c r="AL856" s="7" t="str">
        <f t="shared" si="122"/>
        <v/>
      </c>
      <c r="AM856" s="7" t="str">
        <f t="shared" si="123"/>
        <v/>
      </c>
      <c r="AN856" s="8" t="str">
        <f>IF(C856="","",COUNTIF($C$2:C856,C856))</f>
        <v/>
      </c>
      <c r="AO856" s="8" t="str">
        <f t="shared" si="124"/>
        <v/>
      </c>
      <c r="AP856" s="8" t="str">
        <f>IF(C856="","",IF(AND(OR([1]Consulta!$C$29="",A856=[1]Consulta!$C$29),OR([1]Consulta!$E$29="",B856=[1]Consulta!$E$29),OR([1]Consulta!$G$29="",D856=[1]Consulta!$G$29,R856=[1]Consulta!$G$29)),ROW()-1,""))</f>
        <v/>
      </c>
    </row>
    <row r="857" spans="1:42" ht="1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 t="str">
        <f t="shared" si="117"/>
        <v/>
      </c>
      <c r="AG857" s="7" t="str">
        <f t="shared" si="125"/>
        <v/>
      </c>
      <c r="AH857" s="7" t="str">
        <f t="shared" si="118"/>
        <v/>
      </c>
      <c r="AI857" s="7" t="str">
        <f t="shared" si="119"/>
        <v/>
      </c>
      <c r="AJ857" s="7" t="str">
        <f t="shared" si="120"/>
        <v/>
      </c>
      <c r="AK857" s="7" t="str">
        <f t="shared" si="121"/>
        <v/>
      </c>
      <c r="AL857" s="7" t="str">
        <f t="shared" si="122"/>
        <v/>
      </c>
      <c r="AM857" s="7" t="str">
        <f t="shared" si="123"/>
        <v/>
      </c>
      <c r="AN857" s="8" t="str">
        <f>IF(C857="","",COUNTIF($C$2:C857,C857))</f>
        <v/>
      </c>
      <c r="AO857" s="8" t="str">
        <f t="shared" si="124"/>
        <v/>
      </c>
      <c r="AP857" s="8" t="str">
        <f>IF(C857="","",IF(AND(OR([1]Consulta!$C$29="",A857=[1]Consulta!$C$29),OR([1]Consulta!$E$29="",B857=[1]Consulta!$E$29),OR([1]Consulta!$G$29="",D857=[1]Consulta!$G$29,R857=[1]Consulta!$G$29)),ROW()-1,""))</f>
        <v/>
      </c>
    </row>
    <row r="858" spans="1:42" ht="1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 t="str">
        <f t="shared" si="117"/>
        <v/>
      </c>
      <c r="AG858" s="7" t="str">
        <f t="shared" si="125"/>
        <v/>
      </c>
      <c r="AH858" s="7" t="str">
        <f t="shared" si="118"/>
        <v/>
      </c>
      <c r="AI858" s="7" t="str">
        <f t="shared" si="119"/>
        <v/>
      </c>
      <c r="AJ858" s="7" t="str">
        <f t="shared" si="120"/>
        <v/>
      </c>
      <c r="AK858" s="7" t="str">
        <f t="shared" si="121"/>
        <v/>
      </c>
      <c r="AL858" s="7" t="str">
        <f t="shared" si="122"/>
        <v/>
      </c>
      <c r="AM858" s="7" t="str">
        <f t="shared" si="123"/>
        <v/>
      </c>
      <c r="AN858" s="8" t="str">
        <f>IF(C858="","",COUNTIF($C$2:C858,C858))</f>
        <v/>
      </c>
      <c r="AO858" s="8" t="str">
        <f t="shared" si="124"/>
        <v/>
      </c>
      <c r="AP858" s="8" t="str">
        <f>IF(C858="","",IF(AND(OR([1]Consulta!$C$29="",A858=[1]Consulta!$C$29),OR([1]Consulta!$E$29="",B858=[1]Consulta!$E$29),OR([1]Consulta!$G$29="",D858=[1]Consulta!$G$29,R858=[1]Consulta!$G$29)),ROW()-1,""))</f>
        <v/>
      </c>
    </row>
    <row r="859" spans="1:42" ht="1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 t="str">
        <f t="shared" si="117"/>
        <v/>
      </c>
      <c r="AG859" s="7" t="str">
        <f t="shared" si="125"/>
        <v/>
      </c>
      <c r="AH859" s="7" t="str">
        <f t="shared" si="118"/>
        <v/>
      </c>
      <c r="AI859" s="7" t="str">
        <f t="shared" si="119"/>
        <v/>
      </c>
      <c r="AJ859" s="7" t="str">
        <f t="shared" si="120"/>
        <v/>
      </c>
      <c r="AK859" s="7" t="str">
        <f t="shared" si="121"/>
        <v/>
      </c>
      <c r="AL859" s="7" t="str">
        <f t="shared" si="122"/>
        <v/>
      </c>
      <c r="AM859" s="7" t="str">
        <f t="shared" si="123"/>
        <v/>
      </c>
      <c r="AN859" s="8" t="str">
        <f>IF(C859="","",COUNTIF($C$2:C859,C859))</f>
        <v/>
      </c>
      <c r="AO859" s="8" t="str">
        <f t="shared" si="124"/>
        <v/>
      </c>
      <c r="AP859" s="8" t="str">
        <f>IF(C859="","",IF(AND(OR([1]Consulta!$C$29="",A859=[1]Consulta!$C$29),OR([1]Consulta!$E$29="",B859=[1]Consulta!$E$29),OR([1]Consulta!$G$29="",D859=[1]Consulta!$G$29,R859=[1]Consulta!$G$29)),ROW()-1,""))</f>
        <v/>
      </c>
    </row>
    <row r="860" spans="1:42" ht="1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 t="str">
        <f t="shared" si="117"/>
        <v/>
      </c>
      <c r="AG860" s="7" t="str">
        <f t="shared" si="125"/>
        <v/>
      </c>
      <c r="AH860" s="7" t="str">
        <f t="shared" si="118"/>
        <v/>
      </c>
      <c r="AI860" s="7" t="str">
        <f t="shared" si="119"/>
        <v/>
      </c>
      <c r="AJ860" s="7" t="str">
        <f t="shared" si="120"/>
        <v/>
      </c>
      <c r="AK860" s="7" t="str">
        <f t="shared" si="121"/>
        <v/>
      </c>
      <c r="AL860" s="7" t="str">
        <f t="shared" si="122"/>
        <v/>
      </c>
      <c r="AM860" s="7" t="str">
        <f t="shared" si="123"/>
        <v/>
      </c>
      <c r="AN860" s="8" t="str">
        <f>IF(C860="","",COUNTIF($C$2:C860,C860))</f>
        <v/>
      </c>
      <c r="AO860" s="8" t="str">
        <f t="shared" si="124"/>
        <v/>
      </c>
      <c r="AP860" s="8" t="str">
        <f>IF(C860="","",IF(AND(OR([1]Consulta!$C$29="",A860=[1]Consulta!$C$29),OR([1]Consulta!$E$29="",B860=[1]Consulta!$E$29),OR([1]Consulta!$G$29="",D860=[1]Consulta!$G$29,R860=[1]Consulta!$G$29)),ROW()-1,""))</f>
        <v/>
      </c>
    </row>
    <row r="861" spans="1:42" ht="1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 t="str">
        <f t="shared" si="117"/>
        <v/>
      </c>
      <c r="AG861" s="7" t="str">
        <f t="shared" si="125"/>
        <v/>
      </c>
      <c r="AH861" s="7" t="str">
        <f t="shared" si="118"/>
        <v/>
      </c>
      <c r="AI861" s="7" t="str">
        <f t="shared" si="119"/>
        <v/>
      </c>
      <c r="AJ861" s="7" t="str">
        <f t="shared" si="120"/>
        <v/>
      </c>
      <c r="AK861" s="7" t="str">
        <f t="shared" si="121"/>
        <v/>
      </c>
      <c r="AL861" s="7" t="str">
        <f t="shared" si="122"/>
        <v/>
      </c>
      <c r="AM861" s="7" t="str">
        <f t="shared" si="123"/>
        <v/>
      </c>
      <c r="AN861" s="8" t="str">
        <f>IF(C861="","",COUNTIF($C$2:C861,C861))</f>
        <v/>
      </c>
      <c r="AO861" s="8" t="str">
        <f t="shared" si="124"/>
        <v/>
      </c>
      <c r="AP861" s="8" t="str">
        <f>IF(C861="","",IF(AND(OR([1]Consulta!$C$29="",A861=[1]Consulta!$C$29),OR([1]Consulta!$E$29="",B861=[1]Consulta!$E$29),OR([1]Consulta!$G$29="",D861=[1]Consulta!$G$29,R861=[1]Consulta!$G$29)),ROW()-1,""))</f>
        <v/>
      </c>
    </row>
    <row r="862" spans="1:42" ht="1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 t="str">
        <f t="shared" si="117"/>
        <v/>
      </c>
      <c r="AG862" s="7" t="str">
        <f t="shared" si="125"/>
        <v/>
      </c>
      <c r="AH862" s="7" t="str">
        <f t="shared" si="118"/>
        <v/>
      </c>
      <c r="AI862" s="7" t="str">
        <f t="shared" si="119"/>
        <v/>
      </c>
      <c r="AJ862" s="7" t="str">
        <f t="shared" si="120"/>
        <v/>
      </c>
      <c r="AK862" s="7" t="str">
        <f t="shared" si="121"/>
        <v/>
      </c>
      <c r="AL862" s="7" t="str">
        <f t="shared" si="122"/>
        <v/>
      </c>
      <c r="AM862" s="7" t="str">
        <f t="shared" si="123"/>
        <v/>
      </c>
      <c r="AN862" s="8" t="str">
        <f>IF(C862="","",COUNTIF($C$2:C862,C862))</f>
        <v/>
      </c>
      <c r="AO862" s="8" t="str">
        <f t="shared" si="124"/>
        <v/>
      </c>
      <c r="AP862" s="8" t="str">
        <f>IF(C862="","",IF(AND(OR([1]Consulta!$C$29="",A862=[1]Consulta!$C$29),OR([1]Consulta!$E$29="",B862=[1]Consulta!$E$29),OR([1]Consulta!$G$29="",D862=[1]Consulta!$G$29,R862=[1]Consulta!$G$29)),ROW()-1,""))</f>
        <v/>
      </c>
    </row>
    <row r="863" spans="1:42" ht="1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 t="str">
        <f t="shared" si="117"/>
        <v/>
      </c>
      <c r="AG863" s="7" t="str">
        <f t="shared" si="125"/>
        <v/>
      </c>
      <c r="AH863" s="7" t="str">
        <f t="shared" si="118"/>
        <v/>
      </c>
      <c r="AI863" s="7" t="str">
        <f t="shared" si="119"/>
        <v/>
      </c>
      <c r="AJ863" s="7" t="str">
        <f t="shared" si="120"/>
        <v/>
      </c>
      <c r="AK863" s="7" t="str">
        <f t="shared" si="121"/>
        <v/>
      </c>
      <c r="AL863" s="7" t="str">
        <f t="shared" si="122"/>
        <v/>
      </c>
      <c r="AM863" s="7" t="str">
        <f t="shared" si="123"/>
        <v/>
      </c>
      <c r="AN863" s="8" t="str">
        <f>IF(C863="","",COUNTIF($C$2:C863,C863))</f>
        <v/>
      </c>
      <c r="AO863" s="8" t="str">
        <f t="shared" si="124"/>
        <v/>
      </c>
      <c r="AP863" s="8" t="str">
        <f>IF(C863="","",IF(AND(OR([1]Consulta!$C$29="",A863=[1]Consulta!$C$29),OR([1]Consulta!$E$29="",B863=[1]Consulta!$E$29),OR([1]Consulta!$G$29="",D863=[1]Consulta!$G$29,R863=[1]Consulta!$G$29)),ROW()-1,""))</f>
        <v/>
      </c>
    </row>
    <row r="864" spans="1:42" ht="1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 t="str">
        <f t="shared" si="117"/>
        <v/>
      </c>
      <c r="AG864" s="7" t="str">
        <f t="shared" si="125"/>
        <v/>
      </c>
      <c r="AH864" s="7" t="str">
        <f t="shared" si="118"/>
        <v/>
      </c>
      <c r="AI864" s="7" t="str">
        <f t="shared" si="119"/>
        <v/>
      </c>
      <c r="AJ864" s="7" t="str">
        <f t="shared" si="120"/>
        <v/>
      </c>
      <c r="AK864" s="7" t="str">
        <f t="shared" si="121"/>
        <v/>
      </c>
      <c r="AL864" s="7" t="str">
        <f t="shared" si="122"/>
        <v/>
      </c>
      <c r="AM864" s="7" t="str">
        <f t="shared" si="123"/>
        <v/>
      </c>
      <c r="AN864" s="8" t="str">
        <f>IF(C864="","",COUNTIF($C$2:C864,C864))</f>
        <v/>
      </c>
      <c r="AO864" s="8" t="str">
        <f t="shared" si="124"/>
        <v/>
      </c>
      <c r="AP864" s="8" t="str">
        <f>IF(C864="","",IF(AND(OR([1]Consulta!$C$29="",A864=[1]Consulta!$C$29),OR([1]Consulta!$E$29="",B864=[1]Consulta!$E$29),OR([1]Consulta!$G$29="",D864=[1]Consulta!$G$29,R864=[1]Consulta!$G$29)),ROW()-1,""))</f>
        <v/>
      </c>
    </row>
    <row r="865" spans="1:42" ht="1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 t="str">
        <f t="shared" si="117"/>
        <v/>
      </c>
      <c r="AG865" s="7" t="str">
        <f t="shared" si="125"/>
        <v/>
      </c>
      <c r="AH865" s="7" t="str">
        <f t="shared" si="118"/>
        <v/>
      </c>
      <c r="AI865" s="7" t="str">
        <f t="shared" si="119"/>
        <v/>
      </c>
      <c r="AJ865" s="7" t="str">
        <f t="shared" si="120"/>
        <v/>
      </c>
      <c r="AK865" s="7" t="str">
        <f t="shared" si="121"/>
        <v/>
      </c>
      <c r="AL865" s="7" t="str">
        <f t="shared" si="122"/>
        <v/>
      </c>
      <c r="AM865" s="7" t="str">
        <f t="shared" si="123"/>
        <v/>
      </c>
      <c r="AN865" s="8" t="str">
        <f>IF(C865="","",COUNTIF($C$2:C865,C865))</f>
        <v/>
      </c>
      <c r="AO865" s="8" t="str">
        <f t="shared" si="124"/>
        <v/>
      </c>
      <c r="AP865" s="8" t="str">
        <f>IF(C865="","",IF(AND(OR([1]Consulta!$C$29="",A865=[1]Consulta!$C$29),OR([1]Consulta!$E$29="",B865=[1]Consulta!$E$29),OR([1]Consulta!$G$29="",D865=[1]Consulta!$G$29,R865=[1]Consulta!$G$29)),ROW()-1,""))</f>
        <v/>
      </c>
    </row>
    <row r="866" spans="1:42" ht="1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 t="str">
        <f t="shared" si="117"/>
        <v/>
      </c>
      <c r="AG866" s="7" t="str">
        <f t="shared" si="125"/>
        <v/>
      </c>
      <c r="AH866" s="7" t="str">
        <f t="shared" si="118"/>
        <v/>
      </c>
      <c r="AI866" s="7" t="str">
        <f t="shared" si="119"/>
        <v/>
      </c>
      <c r="AJ866" s="7" t="str">
        <f t="shared" si="120"/>
        <v/>
      </c>
      <c r="AK866" s="7" t="str">
        <f t="shared" si="121"/>
        <v/>
      </c>
      <c r="AL866" s="7" t="str">
        <f t="shared" si="122"/>
        <v/>
      </c>
      <c r="AM866" s="7" t="str">
        <f t="shared" si="123"/>
        <v/>
      </c>
      <c r="AN866" s="8" t="str">
        <f>IF(C866="","",COUNTIF($C$2:C866,C866))</f>
        <v/>
      </c>
      <c r="AO866" s="8" t="str">
        <f t="shared" si="124"/>
        <v/>
      </c>
      <c r="AP866" s="8" t="str">
        <f>IF(C866="","",IF(AND(OR([1]Consulta!$C$29="",A866=[1]Consulta!$C$29),OR([1]Consulta!$E$29="",B866=[1]Consulta!$E$29),OR([1]Consulta!$G$29="",D866=[1]Consulta!$G$29,R866=[1]Consulta!$G$29)),ROW()-1,""))</f>
        <v/>
      </c>
    </row>
    <row r="867" spans="1:42" ht="1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 t="str">
        <f t="shared" si="117"/>
        <v/>
      </c>
      <c r="AG867" s="7" t="str">
        <f t="shared" si="125"/>
        <v/>
      </c>
      <c r="AH867" s="7" t="str">
        <f t="shared" si="118"/>
        <v/>
      </c>
      <c r="AI867" s="7" t="str">
        <f t="shared" si="119"/>
        <v/>
      </c>
      <c r="AJ867" s="7" t="str">
        <f t="shared" si="120"/>
        <v/>
      </c>
      <c r="AK867" s="7" t="str">
        <f t="shared" si="121"/>
        <v/>
      </c>
      <c r="AL867" s="7" t="str">
        <f t="shared" si="122"/>
        <v/>
      </c>
      <c r="AM867" s="7" t="str">
        <f t="shared" si="123"/>
        <v/>
      </c>
      <c r="AN867" s="8" t="str">
        <f>IF(C867="","",COUNTIF($C$2:C867,C867))</f>
        <v/>
      </c>
      <c r="AO867" s="8" t="str">
        <f t="shared" si="124"/>
        <v/>
      </c>
      <c r="AP867" s="8" t="str">
        <f>IF(C867="","",IF(AND(OR([1]Consulta!$C$29="",A867=[1]Consulta!$C$29),OR([1]Consulta!$E$29="",B867=[1]Consulta!$E$29),OR([1]Consulta!$G$29="",D867=[1]Consulta!$G$29,R867=[1]Consulta!$G$29)),ROW()-1,""))</f>
        <v/>
      </c>
    </row>
    <row r="868" spans="1:42" ht="1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 t="str">
        <f t="shared" si="117"/>
        <v/>
      </c>
      <c r="AG868" s="7" t="str">
        <f t="shared" si="125"/>
        <v/>
      </c>
      <c r="AH868" s="7" t="str">
        <f t="shared" si="118"/>
        <v/>
      </c>
      <c r="AI868" s="7" t="str">
        <f t="shared" si="119"/>
        <v/>
      </c>
      <c r="AJ868" s="7" t="str">
        <f t="shared" si="120"/>
        <v/>
      </c>
      <c r="AK868" s="7" t="str">
        <f t="shared" si="121"/>
        <v/>
      </c>
      <c r="AL868" s="7" t="str">
        <f t="shared" si="122"/>
        <v/>
      </c>
      <c r="AM868" s="7" t="str">
        <f t="shared" si="123"/>
        <v/>
      </c>
      <c r="AN868" s="8" t="str">
        <f>IF(C868="","",COUNTIF($C$2:C868,C868))</f>
        <v/>
      </c>
      <c r="AO868" s="8" t="str">
        <f t="shared" si="124"/>
        <v/>
      </c>
      <c r="AP868" s="8" t="str">
        <f>IF(C868="","",IF(AND(OR([1]Consulta!$C$29="",A868=[1]Consulta!$C$29),OR([1]Consulta!$E$29="",B868=[1]Consulta!$E$29),OR([1]Consulta!$G$29="",D868=[1]Consulta!$G$29,R868=[1]Consulta!$G$29)),ROW()-1,""))</f>
        <v/>
      </c>
    </row>
    <row r="869" spans="1:42" ht="1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 t="str">
        <f t="shared" si="117"/>
        <v/>
      </c>
      <c r="AG869" s="7" t="str">
        <f t="shared" si="125"/>
        <v/>
      </c>
      <c r="AH869" s="7" t="str">
        <f t="shared" si="118"/>
        <v/>
      </c>
      <c r="AI869" s="7" t="str">
        <f t="shared" si="119"/>
        <v/>
      </c>
      <c r="AJ869" s="7" t="str">
        <f t="shared" si="120"/>
        <v/>
      </c>
      <c r="AK869" s="7" t="str">
        <f t="shared" si="121"/>
        <v/>
      </c>
      <c r="AL869" s="7" t="str">
        <f t="shared" si="122"/>
        <v/>
      </c>
      <c r="AM869" s="7" t="str">
        <f t="shared" si="123"/>
        <v/>
      </c>
      <c r="AN869" s="8" t="str">
        <f>IF(C869="","",COUNTIF($C$2:C869,C869))</f>
        <v/>
      </c>
      <c r="AO869" s="8" t="str">
        <f t="shared" si="124"/>
        <v/>
      </c>
      <c r="AP869" s="8" t="str">
        <f>IF(C869="","",IF(AND(OR([1]Consulta!$C$29="",A869=[1]Consulta!$C$29),OR([1]Consulta!$E$29="",B869=[1]Consulta!$E$29),OR([1]Consulta!$G$29="",D869=[1]Consulta!$G$29,R869=[1]Consulta!$G$29)),ROW()-1,""))</f>
        <v/>
      </c>
    </row>
    <row r="870" spans="1:42" ht="1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 t="str">
        <f t="shared" si="117"/>
        <v/>
      </c>
      <c r="AG870" s="7" t="str">
        <f t="shared" si="125"/>
        <v/>
      </c>
      <c r="AH870" s="7" t="str">
        <f t="shared" si="118"/>
        <v/>
      </c>
      <c r="AI870" s="7" t="str">
        <f t="shared" si="119"/>
        <v/>
      </c>
      <c r="AJ870" s="7" t="str">
        <f t="shared" si="120"/>
        <v/>
      </c>
      <c r="AK870" s="7" t="str">
        <f t="shared" si="121"/>
        <v/>
      </c>
      <c r="AL870" s="7" t="str">
        <f t="shared" si="122"/>
        <v/>
      </c>
      <c r="AM870" s="7" t="str">
        <f t="shared" si="123"/>
        <v/>
      </c>
      <c r="AN870" s="8" t="str">
        <f>IF(C870="","",COUNTIF($C$2:C870,C870))</f>
        <v/>
      </c>
      <c r="AO870" s="8" t="str">
        <f t="shared" si="124"/>
        <v/>
      </c>
      <c r="AP870" s="8" t="str">
        <f>IF(C870="","",IF(AND(OR([1]Consulta!$C$29="",A870=[1]Consulta!$C$29),OR([1]Consulta!$E$29="",B870=[1]Consulta!$E$29),OR([1]Consulta!$G$29="",D870=[1]Consulta!$G$29,R870=[1]Consulta!$G$29)),ROW()-1,""))</f>
        <v/>
      </c>
    </row>
    <row r="871" spans="1:42" ht="1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 t="str">
        <f t="shared" si="117"/>
        <v/>
      </c>
      <c r="AG871" s="7" t="str">
        <f t="shared" si="125"/>
        <v/>
      </c>
      <c r="AH871" s="7" t="str">
        <f t="shared" si="118"/>
        <v/>
      </c>
      <c r="AI871" s="7" t="str">
        <f t="shared" si="119"/>
        <v/>
      </c>
      <c r="AJ871" s="7" t="str">
        <f t="shared" si="120"/>
        <v/>
      </c>
      <c r="AK871" s="7" t="str">
        <f t="shared" si="121"/>
        <v/>
      </c>
      <c r="AL871" s="7" t="str">
        <f t="shared" si="122"/>
        <v/>
      </c>
      <c r="AM871" s="7" t="str">
        <f t="shared" si="123"/>
        <v/>
      </c>
      <c r="AN871" s="8" t="str">
        <f>IF(C871="","",COUNTIF($C$2:C871,C871))</f>
        <v/>
      </c>
      <c r="AO871" s="8" t="str">
        <f t="shared" si="124"/>
        <v/>
      </c>
      <c r="AP871" s="8" t="str">
        <f>IF(C871="","",IF(AND(OR([1]Consulta!$C$29="",A871=[1]Consulta!$C$29),OR([1]Consulta!$E$29="",B871=[1]Consulta!$E$29),OR([1]Consulta!$G$29="",D871=[1]Consulta!$G$29,R871=[1]Consulta!$G$29)),ROW()-1,""))</f>
        <v/>
      </c>
    </row>
    <row r="872" spans="1:42" ht="1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 t="str">
        <f t="shared" si="117"/>
        <v/>
      </c>
      <c r="AG872" s="7" t="str">
        <f t="shared" si="125"/>
        <v/>
      </c>
      <c r="AH872" s="7" t="str">
        <f t="shared" si="118"/>
        <v/>
      </c>
      <c r="AI872" s="7" t="str">
        <f t="shared" si="119"/>
        <v/>
      </c>
      <c r="AJ872" s="7" t="str">
        <f t="shared" si="120"/>
        <v/>
      </c>
      <c r="AK872" s="7" t="str">
        <f t="shared" si="121"/>
        <v/>
      </c>
      <c r="AL872" s="7" t="str">
        <f t="shared" si="122"/>
        <v/>
      </c>
      <c r="AM872" s="7" t="str">
        <f t="shared" si="123"/>
        <v/>
      </c>
      <c r="AN872" s="8" t="str">
        <f>IF(C872="","",COUNTIF($C$2:C872,C872))</f>
        <v/>
      </c>
      <c r="AO872" s="8" t="str">
        <f t="shared" si="124"/>
        <v/>
      </c>
      <c r="AP872" s="8" t="str">
        <f>IF(C872="","",IF(AND(OR([1]Consulta!$C$29="",A872=[1]Consulta!$C$29),OR([1]Consulta!$E$29="",B872=[1]Consulta!$E$29),OR([1]Consulta!$G$29="",D872=[1]Consulta!$G$29,R872=[1]Consulta!$G$29)),ROW()-1,""))</f>
        <v/>
      </c>
    </row>
    <row r="873" spans="1:42" ht="1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 t="str">
        <f t="shared" si="117"/>
        <v/>
      </c>
      <c r="AG873" s="7" t="str">
        <f t="shared" si="125"/>
        <v/>
      </c>
      <c r="AH873" s="7" t="str">
        <f t="shared" si="118"/>
        <v/>
      </c>
      <c r="AI873" s="7" t="str">
        <f t="shared" si="119"/>
        <v/>
      </c>
      <c r="AJ873" s="7" t="str">
        <f t="shared" si="120"/>
        <v/>
      </c>
      <c r="AK873" s="7" t="str">
        <f t="shared" si="121"/>
        <v/>
      </c>
      <c r="AL873" s="7" t="str">
        <f t="shared" si="122"/>
        <v/>
      </c>
      <c r="AM873" s="7" t="str">
        <f t="shared" si="123"/>
        <v/>
      </c>
      <c r="AN873" s="8" t="str">
        <f>IF(C873="","",COUNTIF($C$2:C873,C873))</f>
        <v/>
      </c>
      <c r="AO873" s="8" t="str">
        <f t="shared" si="124"/>
        <v/>
      </c>
      <c r="AP873" s="8" t="str">
        <f>IF(C873="","",IF(AND(OR([1]Consulta!$C$29="",A873=[1]Consulta!$C$29),OR([1]Consulta!$E$29="",B873=[1]Consulta!$E$29),OR([1]Consulta!$G$29="",D873=[1]Consulta!$G$29,R873=[1]Consulta!$G$29)),ROW()-1,""))</f>
        <v/>
      </c>
    </row>
    <row r="874" spans="1:42" ht="1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 t="str">
        <f t="shared" si="117"/>
        <v/>
      </c>
      <c r="AG874" s="7" t="str">
        <f t="shared" si="125"/>
        <v/>
      </c>
      <c r="AH874" s="7" t="str">
        <f t="shared" si="118"/>
        <v/>
      </c>
      <c r="AI874" s="7" t="str">
        <f t="shared" si="119"/>
        <v/>
      </c>
      <c r="AJ874" s="7" t="str">
        <f t="shared" si="120"/>
        <v/>
      </c>
      <c r="AK874" s="7" t="str">
        <f t="shared" si="121"/>
        <v/>
      </c>
      <c r="AL874" s="7" t="str">
        <f t="shared" si="122"/>
        <v/>
      </c>
      <c r="AM874" s="7" t="str">
        <f t="shared" si="123"/>
        <v/>
      </c>
      <c r="AN874" s="8" t="str">
        <f>IF(C874="","",COUNTIF($C$2:C874,C874))</f>
        <v/>
      </c>
      <c r="AO874" s="8" t="str">
        <f t="shared" si="124"/>
        <v/>
      </c>
      <c r="AP874" s="8" t="str">
        <f>IF(C874="","",IF(AND(OR([1]Consulta!$C$29="",A874=[1]Consulta!$C$29),OR([1]Consulta!$E$29="",B874=[1]Consulta!$E$29),OR([1]Consulta!$G$29="",D874=[1]Consulta!$G$29,R874=[1]Consulta!$G$29)),ROW()-1,""))</f>
        <v/>
      </c>
    </row>
    <row r="875" spans="1:42" ht="1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 t="str">
        <f t="shared" si="117"/>
        <v/>
      </c>
      <c r="AG875" s="7" t="str">
        <f t="shared" si="125"/>
        <v/>
      </c>
      <c r="AH875" s="7" t="str">
        <f t="shared" si="118"/>
        <v/>
      </c>
      <c r="AI875" s="7" t="str">
        <f t="shared" si="119"/>
        <v/>
      </c>
      <c r="AJ875" s="7" t="str">
        <f t="shared" si="120"/>
        <v/>
      </c>
      <c r="AK875" s="7" t="str">
        <f t="shared" si="121"/>
        <v/>
      </c>
      <c r="AL875" s="7" t="str">
        <f t="shared" si="122"/>
        <v/>
      </c>
      <c r="AM875" s="7" t="str">
        <f t="shared" si="123"/>
        <v/>
      </c>
      <c r="AN875" s="8" t="str">
        <f>IF(C875="","",COUNTIF($C$2:C875,C875))</f>
        <v/>
      </c>
      <c r="AO875" s="8" t="str">
        <f t="shared" si="124"/>
        <v/>
      </c>
      <c r="AP875" s="8" t="str">
        <f>IF(C875="","",IF(AND(OR([1]Consulta!$C$29="",A875=[1]Consulta!$C$29),OR([1]Consulta!$E$29="",B875=[1]Consulta!$E$29),OR([1]Consulta!$G$29="",D875=[1]Consulta!$G$29,R875=[1]Consulta!$G$29)),ROW()-1,""))</f>
        <v/>
      </c>
    </row>
    <row r="876" spans="1:42" ht="1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 t="str">
        <f t="shared" si="117"/>
        <v/>
      </c>
      <c r="AG876" s="7" t="str">
        <f t="shared" si="125"/>
        <v/>
      </c>
      <c r="AH876" s="7" t="str">
        <f t="shared" si="118"/>
        <v/>
      </c>
      <c r="AI876" s="7" t="str">
        <f t="shared" si="119"/>
        <v/>
      </c>
      <c r="AJ876" s="7" t="str">
        <f t="shared" si="120"/>
        <v/>
      </c>
      <c r="AK876" s="7" t="str">
        <f t="shared" si="121"/>
        <v/>
      </c>
      <c r="AL876" s="7" t="str">
        <f t="shared" si="122"/>
        <v/>
      </c>
      <c r="AM876" s="7" t="str">
        <f t="shared" si="123"/>
        <v/>
      </c>
      <c r="AN876" s="8" t="str">
        <f>IF(C876="","",COUNTIF($C$2:C876,C876))</f>
        <v/>
      </c>
      <c r="AO876" s="8" t="str">
        <f t="shared" si="124"/>
        <v/>
      </c>
      <c r="AP876" s="8" t="str">
        <f>IF(C876="","",IF(AND(OR([1]Consulta!$C$29="",A876=[1]Consulta!$C$29),OR([1]Consulta!$E$29="",B876=[1]Consulta!$E$29),OR([1]Consulta!$G$29="",D876=[1]Consulta!$G$29,R876=[1]Consulta!$G$29)),ROW()-1,""))</f>
        <v/>
      </c>
    </row>
    <row r="877" spans="1:42" ht="1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 t="str">
        <f t="shared" si="117"/>
        <v/>
      </c>
      <c r="AG877" s="7" t="str">
        <f t="shared" si="125"/>
        <v/>
      </c>
      <c r="AH877" s="7" t="str">
        <f t="shared" si="118"/>
        <v/>
      </c>
      <c r="AI877" s="7" t="str">
        <f t="shared" si="119"/>
        <v/>
      </c>
      <c r="AJ877" s="7" t="str">
        <f t="shared" si="120"/>
        <v/>
      </c>
      <c r="AK877" s="7" t="str">
        <f t="shared" si="121"/>
        <v/>
      </c>
      <c r="AL877" s="7" t="str">
        <f t="shared" si="122"/>
        <v/>
      </c>
      <c r="AM877" s="7" t="str">
        <f t="shared" si="123"/>
        <v/>
      </c>
      <c r="AN877" s="8" t="str">
        <f>IF(C877="","",COUNTIF($C$2:C877,C877))</f>
        <v/>
      </c>
      <c r="AO877" s="8" t="str">
        <f t="shared" si="124"/>
        <v/>
      </c>
      <c r="AP877" s="8" t="str">
        <f>IF(C877="","",IF(AND(OR([1]Consulta!$C$29="",A877=[1]Consulta!$C$29),OR([1]Consulta!$E$29="",B877=[1]Consulta!$E$29),OR([1]Consulta!$G$29="",D877=[1]Consulta!$G$29,R877=[1]Consulta!$G$29)),ROW()-1,""))</f>
        <v/>
      </c>
    </row>
    <row r="878" spans="1:42" ht="1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 t="str">
        <f t="shared" si="117"/>
        <v/>
      </c>
      <c r="AG878" s="7" t="str">
        <f t="shared" si="125"/>
        <v/>
      </c>
      <c r="AH878" s="7" t="str">
        <f t="shared" si="118"/>
        <v/>
      </c>
      <c r="AI878" s="7" t="str">
        <f t="shared" si="119"/>
        <v/>
      </c>
      <c r="AJ878" s="7" t="str">
        <f t="shared" si="120"/>
        <v/>
      </c>
      <c r="AK878" s="7" t="str">
        <f t="shared" si="121"/>
        <v/>
      </c>
      <c r="AL878" s="7" t="str">
        <f t="shared" si="122"/>
        <v/>
      </c>
      <c r="AM878" s="7" t="str">
        <f t="shared" si="123"/>
        <v/>
      </c>
      <c r="AN878" s="8" t="str">
        <f>IF(C878="","",COUNTIF($C$2:C878,C878))</f>
        <v/>
      </c>
      <c r="AO878" s="8" t="str">
        <f t="shared" si="124"/>
        <v/>
      </c>
      <c r="AP878" s="8" t="str">
        <f>IF(C878="","",IF(AND(OR([1]Consulta!$C$29="",A878=[1]Consulta!$C$29),OR([1]Consulta!$E$29="",B878=[1]Consulta!$E$29),OR([1]Consulta!$G$29="",D878=[1]Consulta!$G$29,R878=[1]Consulta!$G$29)),ROW()-1,""))</f>
        <v/>
      </c>
    </row>
    <row r="879" spans="1:42" ht="1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 t="str">
        <f t="shared" si="117"/>
        <v/>
      </c>
      <c r="AG879" s="7" t="str">
        <f t="shared" si="125"/>
        <v/>
      </c>
      <c r="AH879" s="7" t="str">
        <f t="shared" si="118"/>
        <v/>
      </c>
      <c r="AI879" s="7" t="str">
        <f t="shared" si="119"/>
        <v/>
      </c>
      <c r="AJ879" s="7" t="str">
        <f t="shared" si="120"/>
        <v/>
      </c>
      <c r="AK879" s="7" t="str">
        <f t="shared" si="121"/>
        <v/>
      </c>
      <c r="AL879" s="7" t="str">
        <f t="shared" si="122"/>
        <v/>
      </c>
      <c r="AM879" s="7" t="str">
        <f t="shared" si="123"/>
        <v/>
      </c>
      <c r="AN879" s="8" t="str">
        <f>IF(C879="","",COUNTIF($C$2:C879,C879))</f>
        <v/>
      </c>
      <c r="AO879" s="8" t="str">
        <f t="shared" si="124"/>
        <v/>
      </c>
      <c r="AP879" s="8" t="str">
        <f>IF(C879="","",IF(AND(OR([1]Consulta!$C$29="",A879=[1]Consulta!$C$29),OR([1]Consulta!$E$29="",B879=[1]Consulta!$E$29),OR([1]Consulta!$G$29="",D879=[1]Consulta!$G$29,R879=[1]Consulta!$G$29)),ROW()-1,""))</f>
        <v/>
      </c>
    </row>
    <row r="880" spans="1:42" ht="1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 t="str">
        <f t="shared" si="117"/>
        <v/>
      </c>
      <c r="AG880" s="7" t="str">
        <f t="shared" si="125"/>
        <v/>
      </c>
      <c r="AH880" s="7" t="str">
        <f t="shared" si="118"/>
        <v/>
      </c>
      <c r="AI880" s="7" t="str">
        <f t="shared" si="119"/>
        <v/>
      </c>
      <c r="AJ880" s="7" t="str">
        <f t="shared" si="120"/>
        <v/>
      </c>
      <c r="AK880" s="7" t="str">
        <f t="shared" si="121"/>
        <v/>
      </c>
      <c r="AL880" s="7" t="str">
        <f t="shared" si="122"/>
        <v/>
      </c>
      <c r="AM880" s="7" t="str">
        <f t="shared" si="123"/>
        <v/>
      </c>
      <c r="AN880" s="8" t="str">
        <f>IF(C880="","",COUNTIF($C$2:C880,C880))</f>
        <v/>
      </c>
      <c r="AO880" s="8" t="str">
        <f t="shared" si="124"/>
        <v/>
      </c>
      <c r="AP880" s="8" t="str">
        <f>IF(C880="","",IF(AND(OR([1]Consulta!$C$29="",A880=[1]Consulta!$C$29),OR([1]Consulta!$E$29="",B880=[1]Consulta!$E$29),OR([1]Consulta!$G$29="",D880=[1]Consulta!$G$29,R880=[1]Consulta!$G$29)),ROW()-1,""))</f>
        <v/>
      </c>
    </row>
    <row r="881" spans="1:42" ht="1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 t="str">
        <f t="shared" si="117"/>
        <v/>
      </c>
      <c r="AG881" s="7" t="str">
        <f t="shared" si="125"/>
        <v/>
      </c>
      <c r="AH881" s="7" t="str">
        <f t="shared" si="118"/>
        <v/>
      </c>
      <c r="AI881" s="7" t="str">
        <f t="shared" si="119"/>
        <v/>
      </c>
      <c r="AJ881" s="7" t="str">
        <f t="shared" si="120"/>
        <v/>
      </c>
      <c r="AK881" s="7" t="str">
        <f t="shared" si="121"/>
        <v/>
      </c>
      <c r="AL881" s="7" t="str">
        <f t="shared" si="122"/>
        <v/>
      </c>
      <c r="AM881" s="7" t="str">
        <f t="shared" si="123"/>
        <v/>
      </c>
      <c r="AN881" s="8" t="str">
        <f>IF(C881="","",COUNTIF($C$2:C881,C881))</f>
        <v/>
      </c>
      <c r="AO881" s="8" t="str">
        <f t="shared" si="124"/>
        <v/>
      </c>
      <c r="AP881" s="8" t="str">
        <f>IF(C881="","",IF(AND(OR([1]Consulta!$C$29="",A881=[1]Consulta!$C$29),OR([1]Consulta!$E$29="",B881=[1]Consulta!$E$29),OR([1]Consulta!$G$29="",D881=[1]Consulta!$G$29,R881=[1]Consulta!$G$29)),ROW()-1,""))</f>
        <v/>
      </c>
    </row>
    <row r="882" spans="1:42" ht="1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 t="str">
        <f t="shared" si="117"/>
        <v/>
      </c>
      <c r="AG882" s="7" t="str">
        <f t="shared" si="125"/>
        <v/>
      </c>
      <c r="AH882" s="7" t="str">
        <f t="shared" si="118"/>
        <v/>
      </c>
      <c r="AI882" s="7" t="str">
        <f t="shared" si="119"/>
        <v/>
      </c>
      <c r="AJ882" s="7" t="str">
        <f t="shared" si="120"/>
        <v/>
      </c>
      <c r="AK882" s="7" t="str">
        <f t="shared" si="121"/>
        <v/>
      </c>
      <c r="AL882" s="7" t="str">
        <f t="shared" si="122"/>
        <v/>
      </c>
      <c r="AM882" s="7" t="str">
        <f t="shared" si="123"/>
        <v/>
      </c>
      <c r="AN882" s="8" t="str">
        <f>IF(C882="","",COUNTIF($C$2:C882,C882))</f>
        <v/>
      </c>
      <c r="AO882" s="8" t="str">
        <f t="shared" si="124"/>
        <v/>
      </c>
      <c r="AP882" s="8" t="str">
        <f>IF(C882="","",IF(AND(OR([1]Consulta!$C$29="",A882=[1]Consulta!$C$29),OR([1]Consulta!$E$29="",B882=[1]Consulta!$E$29),OR([1]Consulta!$G$29="",D882=[1]Consulta!$G$29,R882=[1]Consulta!$G$29)),ROW()-1,""))</f>
        <v/>
      </c>
    </row>
    <row r="883" spans="1:42" ht="1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 t="str">
        <f t="shared" si="117"/>
        <v/>
      </c>
      <c r="AG883" s="7" t="str">
        <f t="shared" si="125"/>
        <v/>
      </c>
      <c r="AH883" s="7" t="str">
        <f t="shared" si="118"/>
        <v/>
      </c>
      <c r="AI883" s="7" t="str">
        <f t="shared" si="119"/>
        <v/>
      </c>
      <c r="AJ883" s="7" t="str">
        <f t="shared" si="120"/>
        <v/>
      </c>
      <c r="AK883" s="7" t="str">
        <f t="shared" si="121"/>
        <v/>
      </c>
      <c r="AL883" s="7" t="str">
        <f t="shared" si="122"/>
        <v/>
      </c>
      <c r="AM883" s="7" t="str">
        <f t="shared" si="123"/>
        <v/>
      </c>
      <c r="AN883" s="8" t="str">
        <f>IF(C883="","",COUNTIF($C$2:C883,C883))</f>
        <v/>
      </c>
      <c r="AO883" s="8" t="str">
        <f t="shared" si="124"/>
        <v/>
      </c>
      <c r="AP883" s="8" t="str">
        <f>IF(C883="","",IF(AND(OR([1]Consulta!$C$29="",A883=[1]Consulta!$C$29),OR([1]Consulta!$E$29="",B883=[1]Consulta!$E$29),OR([1]Consulta!$G$29="",D883=[1]Consulta!$G$29,R883=[1]Consulta!$G$29)),ROW()-1,""))</f>
        <v/>
      </c>
    </row>
    <row r="884" spans="1:42" ht="1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 t="str">
        <f t="shared" si="117"/>
        <v/>
      </c>
      <c r="AG884" s="7" t="str">
        <f t="shared" si="125"/>
        <v/>
      </c>
      <c r="AH884" s="7" t="str">
        <f t="shared" si="118"/>
        <v/>
      </c>
      <c r="AI884" s="7" t="str">
        <f t="shared" si="119"/>
        <v/>
      </c>
      <c r="AJ884" s="7" t="str">
        <f t="shared" si="120"/>
        <v/>
      </c>
      <c r="AK884" s="7" t="str">
        <f t="shared" si="121"/>
        <v/>
      </c>
      <c r="AL884" s="7" t="str">
        <f t="shared" si="122"/>
        <v/>
      </c>
      <c r="AM884" s="7" t="str">
        <f t="shared" si="123"/>
        <v/>
      </c>
      <c r="AN884" s="8" t="str">
        <f>IF(C884="","",COUNTIF($C$2:C884,C884))</f>
        <v/>
      </c>
      <c r="AO884" s="8" t="str">
        <f t="shared" si="124"/>
        <v/>
      </c>
      <c r="AP884" s="8" t="str">
        <f>IF(C884="","",IF(AND(OR([1]Consulta!$C$29="",A884=[1]Consulta!$C$29),OR([1]Consulta!$E$29="",B884=[1]Consulta!$E$29),OR([1]Consulta!$G$29="",D884=[1]Consulta!$G$29,R884=[1]Consulta!$G$29)),ROW()-1,""))</f>
        <v/>
      </c>
    </row>
    <row r="885" spans="1:42" ht="1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 t="str">
        <f t="shared" si="117"/>
        <v/>
      </c>
      <c r="AG885" s="7" t="str">
        <f t="shared" si="125"/>
        <v/>
      </c>
      <c r="AH885" s="7" t="str">
        <f t="shared" si="118"/>
        <v/>
      </c>
      <c r="AI885" s="7" t="str">
        <f t="shared" si="119"/>
        <v/>
      </c>
      <c r="AJ885" s="7" t="str">
        <f t="shared" si="120"/>
        <v/>
      </c>
      <c r="AK885" s="7" t="str">
        <f t="shared" si="121"/>
        <v/>
      </c>
      <c r="AL885" s="7" t="str">
        <f t="shared" si="122"/>
        <v/>
      </c>
      <c r="AM885" s="7" t="str">
        <f t="shared" si="123"/>
        <v/>
      </c>
      <c r="AN885" s="8" t="str">
        <f>IF(C885="","",COUNTIF($C$2:C885,C885))</f>
        <v/>
      </c>
      <c r="AO885" s="8" t="str">
        <f t="shared" si="124"/>
        <v/>
      </c>
      <c r="AP885" s="8" t="str">
        <f>IF(C885="","",IF(AND(OR([1]Consulta!$C$29="",A885=[1]Consulta!$C$29),OR([1]Consulta!$E$29="",B885=[1]Consulta!$E$29),OR([1]Consulta!$G$29="",D885=[1]Consulta!$G$29,R885=[1]Consulta!$G$29)),ROW()-1,""))</f>
        <v/>
      </c>
    </row>
    <row r="886" spans="1:42" ht="1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 t="str">
        <f t="shared" si="117"/>
        <v/>
      </c>
      <c r="AG886" s="7" t="str">
        <f t="shared" si="125"/>
        <v/>
      </c>
      <c r="AH886" s="7" t="str">
        <f t="shared" si="118"/>
        <v/>
      </c>
      <c r="AI886" s="7" t="str">
        <f t="shared" si="119"/>
        <v/>
      </c>
      <c r="AJ886" s="7" t="str">
        <f t="shared" si="120"/>
        <v/>
      </c>
      <c r="AK886" s="7" t="str">
        <f t="shared" si="121"/>
        <v/>
      </c>
      <c r="AL886" s="7" t="str">
        <f t="shared" si="122"/>
        <v/>
      </c>
      <c r="AM886" s="7" t="str">
        <f t="shared" si="123"/>
        <v/>
      </c>
      <c r="AN886" s="8" t="str">
        <f>IF(C886="","",COUNTIF($C$2:C886,C886))</f>
        <v/>
      </c>
      <c r="AO886" s="8" t="str">
        <f t="shared" si="124"/>
        <v/>
      </c>
      <c r="AP886" s="8" t="str">
        <f>IF(C886="","",IF(AND(OR([1]Consulta!$C$29="",A886=[1]Consulta!$C$29),OR([1]Consulta!$E$29="",B886=[1]Consulta!$E$29),OR([1]Consulta!$G$29="",D886=[1]Consulta!$G$29,R886=[1]Consulta!$G$29)),ROW()-1,""))</f>
        <v/>
      </c>
    </row>
    <row r="887" spans="1:42" ht="1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 t="str">
        <f t="shared" si="117"/>
        <v/>
      </c>
      <c r="AG887" s="7" t="str">
        <f t="shared" si="125"/>
        <v/>
      </c>
      <c r="AH887" s="7" t="str">
        <f t="shared" si="118"/>
        <v/>
      </c>
      <c r="AI887" s="7" t="str">
        <f t="shared" si="119"/>
        <v/>
      </c>
      <c r="AJ887" s="7" t="str">
        <f t="shared" si="120"/>
        <v/>
      </c>
      <c r="AK887" s="7" t="str">
        <f t="shared" si="121"/>
        <v/>
      </c>
      <c r="AL887" s="7" t="str">
        <f t="shared" si="122"/>
        <v/>
      </c>
      <c r="AM887" s="7" t="str">
        <f t="shared" si="123"/>
        <v/>
      </c>
      <c r="AN887" s="8" t="str">
        <f>IF(C887="","",COUNTIF($C$2:C887,C887))</f>
        <v/>
      </c>
      <c r="AO887" s="8" t="str">
        <f t="shared" si="124"/>
        <v/>
      </c>
      <c r="AP887" s="8" t="str">
        <f>IF(C887="","",IF(AND(OR([1]Consulta!$C$29="",A887=[1]Consulta!$C$29),OR([1]Consulta!$E$29="",B887=[1]Consulta!$E$29),OR([1]Consulta!$G$29="",D887=[1]Consulta!$G$29,R887=[1]Consulta!$G$29)),ROW()-1,""))</f>
        <v/>
      </c>
    </row>
    <row r="888" spans="1:42" ht="1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 t="str">
        <f t="shared" si="117"/>
        <v/>
      </c>
      <c r="AG888" s="7" t="str">
        <f t="shared" si="125"/>
        <v/>
      </c>
      <c r="AH888" s="7" t="str">
        <f t="shared" si="118"/>
        <v/>
      </c>
      <c r="AI888" s="7" t="str">
        <f t="shared" si="119"/>
        <v/>
      </c>
      <c r="AJ888" s="7" t="str">
        <f t="shared" si="120"/>
        <v/>
      </c>
      <c r="AK888" s="7" t="str">
        <f t="shared" si="121"/>
        <v/>
      </c>
      <c r="AL888" s="7" t="str">
        <f t="shared" si="122"/>
        <v/>
      </c>
      <c r="AM888" s="7" t="str">
        <f t="shared" si="123"/>
        <v/>
      </c>
      <c r="AN888" s="8" t="str">
        <f>IF(C888="","",COUNTIF($C$2:C888,C888))</f>
        <v/>
      </c>
      <c r="AO888" s="8" t="str">
        <f t="shared" si="124"/>
        <v/>
      </c>
      <c r="AP888" s="8" t="str">
        <f>IF(C888="","",IF(AND(OR([1]Consulta!$C$29="",A888=[1]Consulta!$C$29),OR([1]Consulta!$E$29="",B888=[1]Consulta!$E$29),OR([1]Consulta!$G$29="",D888=[1]Consulta!$G$29,R888=[1]Consulta!$G$29)),ROW()-1,""))</f>
        <v/>
      </c>
    </row>
    <row r="889" spans="1:42" ht="1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 t="str">
        <f t="shared" si="117"/>
        <v/>
      </c>
      <c r="AG889" s="7" t="str">
        <f t="shared" si="125"/>
        <v/>
      </c>
      <c r="AH889" s="7" t="str">
        <f t="shared" si="118"/>
        <v/>
      </c>
      <c r="AI889" s="7" t="str">
        <f t="shared" si="119"/>
        <v/>
      </c>
      <c r="AJ889" s="7" t="str">
        <f t="shared" si="120"/>
        <v/>
      </c>
      <c r="AK889" s="7" t="str">
        <f t="shared" si="121"/>
        <v/>
      </c>
      <c r="AL889" s="7" t="str">
        <f t="shared" si="122"/>
        <v/>
      </c>
      <c r="AM889" s="7" t="str">
        <f t="shared" si="123"/>
        <v/>
      </c>
      <c r="AN889" s="8" t="str">
        <f>IF(C889="","",COUNTIF($C$2:C889,C889))</f>
        <v/>
      </c>
      <c r="AO889" s="8" t="str">
        <f t="shared" si="124"/>
        <v/>
      </c>
      <c r="AP889" s="8" t="str">
        <f>IF(C889="","",IF(AND(OR([1]Consulta!$C$29="",A889=[1]Consulta!$C$29),OR([1]Consulta!$E$29="",B889=[1]Consulta!$E$29),OR([1]Consulta!$G$29="",D889=[1]Consulta!$G$29,R889=[1]Consulta!$G$29)),ROW()-1,""))</f>
        <v/>
      </c>
    </row>
    <row r="890" spans="1:42" ht="1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 t="str">
        <f t="shared" si="117"/>
        <v/>
      </c>
      <c r="AG890" s="7" t="str">
        <f t="shared" si="125"/>
        <v/>
      </c>
      <c r="AH890" s="7" t="str">
        <f t="shared" si="118"/>
        <v/>
      </c>
      <c r="AI890" s="7" t="str">
        <f t="shared" si="119"/>
        <v/>
      </c>
      <c r="AJ890" s="7" t="str">
        <f t="shared" si="120"/>
        <v/>
      </c>
      <c r="AK890" s="7" t="str">
        <f t="shared" si="121"/>
        <v/>
      </c>
      <c r="AL890" s="7" t="str">
        <f t="shared" si="122"/>
        <v/>
      </c>
      <c r="AM890" s="7" t="str">
        <f t="shared" si="123"/>
        <v/>
      </c>
      <c r="AN890" s="8" t="str">
        <f>IF(C890="","",COUNTIF($C$2:C890,C890))</f>
        <v/>
      </c>
      <c r="AO890" s="8" t="str">
        <f t="shared" si="124"/>
        <v/>
      </c>
      <c r="AP890" s="8" t="str">
        <f>IF(C890="","",IF(AND(OR([1]Consulta!$C$29="",A890=[1]Consulta!$C$29),OR([1]Consulta!$E$29="",B890=[1]Consulta!$E$29),OR([1]Consulta!$G$29="",D890=[1]Consulta!$G$29,R890=[1]Consulta!$G$29)),ROW()-1,""))</f>
        <v/>
      </c>
    </row>
    <row r="891" spans="1:42" ht="1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 t="str">
        <f t="shared" si="117"/>
        <v/>
      </c>
      <c r="AG891" s="7" t="str">
        <f t="shared" si="125"/>
        <v/>
      </c>
      <c r="AH891" s="7" t="str">
        <f t="shared" si="118"/>
        <v/>
      </c>
      <c r="AI891" s="7" t="str">
        <f t="shared" si="119"/>
        <v/>
      </c>
      <c r="AJ891" s="7" t="str">
        <f t="shared" si="120"/>
        <v/>
      </c>
      <c r="AK891" s="7" t="str">
        <f t="shared" si="121"/>
        <v/>
      </c>
      <c r="AL891" s="7" t="str">
        <f t="shared" si="122"/>
        <v/>
      </c>
      <c r="AM891" s="7" t="str">
        <f t="shared" si="123"/>
        <v/>
      </c>
      <c r="AN891" s="8" t="str">
        <f>IF(C891="","",COUNTIF($C$2:C891,C891))</f>
        <v/>
      </c>
      <c r="AO891" s="8" t="str">
        <f t="shared" si="124"/>
        <v/>
      </c>
      <c r="AP891" s="8" t="str">
        <f>IF(C891="","",IF(AND(OR([1]Consulta!$C$29="",A891=[1]Consulta!$C$29),OR([1]Consulta!$E$29="",B891=[1]Consulta!$E$29),OR([1]Consulta!$G$29="",D891=[1]Consulta!$G$29,R891=[1]Consulta!$G$29)),ROW()-1,""))</f>
        <v/>
      </c>
    </row>
    <row r="892" spans="1:42" ht="1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 t="str">
        <f t="shared" si="117"/>
        <v/>
      </c>
      <c r="AG892" s="7" t="str">
        <f t="shared" si="125"/>
        <v/>
      </c>
      <c r="AH892" s="7" t="str">
        <f t="shared" si="118"/>
        <v/>
      </c>
      <c r="AI892" s="7" t="str">
        <f t="shared" si="119"/>
        <v/>
      </c>
      <c r="AJ892" s="7" t="str">
        <f t="shared" si="120"/>
        <v/>
      </c>
      <c r="AK892" s="7" t="str">
        <f t="shared" si="121"/>
        <v/>
      </c>
      <c r="AL892" s="7" t="str">
        <f t="shared" si="122"/>
        <v/>
      </c>
      <c r="AM892" s="7" t="str">
        <f t="shared" si="123"/>
        <v/>
      </c>
      <c r="AN892" s="8" t="str">
        <f>IF(C892="","",COUNTIF($C$2:C892,C892))</f>
        <v/>
      </c>
      <c r="AO892" s="8" t="str">
        <f t="shared" si="124"/>
        <v/>
      </c>
      <c r="AP892" s="8" t="str">
        <f>IF(C892="","",IF(AND(OR([1]Consulta!$C$29="",A892=[1]Consulta!$C$29),OR([1]Consulta!$E$29="",B892=[1]Consulta!$E$29),OR([1]Consulta!$G$29="",D892=[1]Consulta!$G$29,R892=[1]Consulta!$G$29)),ROW()-1,""))</f>
        <v/>
      </c>
    </row>
    <row r="893" spans="1:42" ht="1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 t="str">
        <f t="shared" si="117"/>
        <v/>
      </c>
      <c r="AG893" s="7" t="str">
        <f t="shared" si="125"/>
        <v/>
      </c>
      <c r="AH893" s="7" t="str">
        <f t="shared" si="118"/>
        <v/>
      </c>
      <c r="AI893" s="7" t="str">
        <f t="shared" si="119"/>
        <v/>
      </c>
      <c r="AJ893" s="7" t="str">
        <f t="shared" si="120"/>
        <v/>
      </c>
      <c r="AK893" s="7" t="str">
        <f t="shared" si="121"/>
        <v/>
      </c>
      <c r="AL893" s="7" t="str">
        <f t="shared" si="122"/>
        <v/>
      </c>
      <c r="AM893" s="7" t="str">
        <f t="shared" si="123"/>
        <v/>
      </c>
      <c r="AN893" s="8" t="str">
        <f>IF(C893="","",COUNTIF($C$2:C893,C893))</f>
        <v/>
      </c>
      <c r="AO893" s="8" t="str">
        <f t="shared" si="124"/>
        <v/>
      </c>
      <c r="AP893" s="8" t="str">
        <f>IF(C893="","",IF(AND(OR([1]Consulta!$C$29="",A893=[1]Consulta!$C$29),OR([1]Consulta!$E$29="",B893=[1]Consulta!$E$29),OR([1]Consulta!$G$29="",D893=[1]Consulta!$G$29,R893=[1]Consulta!$G$29)),ROW()-1,""))</f>
        <v/>
      </c>
    </row>
    <row r="894" spans="1:42" ht="1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 t="str">
        <f t="shared" si="117"/>
        <v/>
      </c>
      <c r="AG894" s="7" t="str">
        <f t="shared" si="125"/>
        <v/>
      </c>
      <c r="AH894" s="7" t="str">
        <f t="shared" si="118"/>
        <v/>
      </c>
      <c r="AI894" s="7" t="str">
        <f t="shared" si="119"/>
        <v/>
      </c>
      <c r="AJ894" s="7" t="str">
        <f t="shared" si="120"/>
        <v/>
      </c>
      <c r="AK894" s="7" t="str">
        <f t="shared" si="121"/>
        <v/>
      </c>
      <c r="AL894" s="7" t="str">
        <f t="shared" si="122"/>
        <v/>
      </c>
      <c r="AM894" s="7" t="str">
        <f t="shared" si="123"/>
        <v/>
      </c>
      <c r="AN894" s="8" t="str">
        <f>IF(C894="","",COUNTIF($C$2:C894,C894))</f>
        <v/>
      </c>
      <c r="AO894" s="8" t="str">
        <f t="shared" si="124"/>
        <v/>
      </c>
      <c r="AP894" s="8" t="str">
        <f>IF(C894="","",IF(AND(OR([1]Consulta!$C$29="",A894=[1]Consulta!$C$29),OR([1]Consulta!$E$29="",B894=[1]Consulta!$E$29),OR([1]Consulta!$G$29="",D894=[1]Consulta!$G$29,R894=[1]Consulta!$G$29)),ROW()-1,""))</f>
        <v/>
      </c>
    </row>
    <row r="895" spans="1:42" ht="1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 t="str">
        <f t="shared" si="117"/>
        <v/>
      </c>
      <c r="AG895" s="7" t="str">
        <f t="shared" si="125"/>
        <v/>
      </c>
      <c r="AH895" s="7" t="str">
        <f t="shared" si="118"/>
        <v/>
      </c>
      <c r="AI895" s="7" t="str">
        <f t="shared" si="119"/>
        <v/>
      </c>
      <c r="AJ895" s="7" t="str">
        <f t="shared" si="120"/>
        <v/>
      </c>
      <c r="AK895" s="7" t="str">
        <f t="shared" si="121"/>
        <v/>
      </c>
      <c r="AL895" s="7" t="str">
        <f t="shared" si="122"/>
        <v/>
      </c>
      <c r="AM895" s="7" t="str">
        <f t="shared" si="123"/>
        <v/>
      </c>
      <c r="AN895" s="8" t="str">
        <f>IF(C895="","",COUNTIF($C$2:C895,C895))</f>
        <v/>
      </c>
      <c r="AO895" s="8" t="str">
        <f t="shared" si="124"/>
        <v/>
      </c>
      <c r="AP895" s="8" t="str">
        <f>IF(C895="","",IF(AND(OR([1]Consulta!$C$29="",A895=[1]Consulta!$C$29),OR([1]Consulta!$E$29="",B895=[1]Consulta!$E$29),OR([1]Consulta!$G$29="",D895=[1]Consulta!$G$29,R895=[1]Consulta!$G$29)),ROW()-1,""))</f>
        <v/>
      </c>
    </row>
    <row r="896" spans="1:42" ht="1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 t="str">
        <f t="shared" si="117"/>
        <v/>
      </c>
      <c r="AG896" s="7" t="str">
        <f t="shared" si="125"/>
        <v/>
      </c>
      <c r="AH896" s="7" t="str">
        <f t="shared" si="118"/>
        <v/>
      </c>
      <c r="AI896" s="7" t="str">
        <f t="shared" si="119"/>
        <v/>
      </c>
      <c r="AJ896" s="7" t="str">
        <f t="shared" si="120"/>
        <v/>
      </c>
      <c r="AK896" s="7" t="str">
        <f t="shared" si="121"/>
        <v/>
      </c>
      <c r="AL896" s="7" t="str">
        <f t="shared" si="122"/>
        <v/>
      </c>
      <c r="AM896" s="7" t="str">
        <f t="shared" si="123"/>
        <v/>
      </c>
      <c r="AN896" s="8" t="str">
        <f>IF(C896="","",COUNTIF($C$2:C896,C896))</f>
        <v/>
      </c>
      <c r="AO896" s="8" t="str">
        <f t="shared" si="124"/>
        <v/>
      </c>
      <c r="AP896" s="8" t="str">
        <f>IF(C896="","",IF(AND(OR([1]Consulta!$C$29="",A896=[1]Consulta!$C$29),OR([1]Consulta!$E$29="",B896=[1]Consulta!$E$29),OR([1]Consulta!$G$29="",D896=[1]Consulta!$G$29,R896=[1]Consulta!$G$29)),ROW()-1,""))</f>
        <v/>
      </c>
    </row>
    <row r="897" spans="1:42" ht="1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 t="str">
        <f t="shared" si="117"/>
        <v/>
      </c>
      <c r="AG897" s="7" t="str">
        <f t="shared" si="125"/>
        <v/>
      </c>
      <c r="AH897" s="7" t="str">
        <f t="shared" si="118"/>
        <v/>
      </c>
      <c r="AI897" s="7" t="str">
        <f t="shared" si="119"/>
        <v/>
      </c>
      <c r="AJ897" s="7" t="str">
        <f t="shared" si="120"/>
        <v/>
      </c>
      <c r="AK897" s="7" t="str">
        <f t="shared" si="121"/>
        <v/>
      </c>
      <c r="AL897" s="7" t="str">
        <f t="shared" si="122"/>
        <v/>
      </c>
      <c r="AM897" s="7" t="str">
        <f t="shared" si="123"/>
        <v/>
      </c>
      <c r="AN897" s="8" t="str">
        <f>IF(C897="","",COUNTIF($C$2:C897,C897))</f>
        <v/>
      </c>
      <c r="AO897" s="8" t="str">
        <f t="shared" si="124"/>
        <v/>
      </c>
      <c r="AP897" s="8" t="str">
        <f>IF(C897="","",IF(AND(OR([1]Consulta!$C$29="",A897=[1]Consulta!$C$29),OR([1]Consulta!$E$29="",B897=[1]Consulta!$E$29),OR([1]Consulta!$G$29="",D897=[1]Consulta!$G$29,R897=[1]Consulta!$G$29)),ROW()-1,""))</f>
        <v/>
      </c>
    </row>
    <row r="898" spans="1:42" ht="1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 t="str">
        <f t="shared" ref="AF898:AF961" si="126">IF(C898="","",IF(AND(ISNUMBER(K898),ISNUMBER(L898)),K898-L898,""))</f>
        <v/>
      </c>
      <c r="AG898" s="7" t="str">
        <f t="shared" si="125"/>
        <v/>
      </c>
      <c r="AH898" s="7" t="str">
        <f t="shared" ref="AH898:AH961" si="127">IF(C898="","",IF(AND(ISNUMBER(Y898),ISNUMBER(Z898)),Y898-Z898,""))</f>
        <v/>
      </c>
      <c r="AI898" s="7" t="str">
        <f t="shared" ref="AI898:AI961" si="128">IF(C898="","",IF(AH898="","N/A",IF(AH898&lt;0,"ALARMA","OK")))</f>
        <v/>
      </c>
      <c r="AJ898" s="7" t="str">
        <f t="shared" ref="AJ898:AJ961" si="129">IF(C898="","",IF(ISNUMBER(M898),IF(M898&gt;0,"CON ERRORES","OK"),"N/A"))</f>
        <v/>
      </c>
      <c r="AK898" s="7" t="str">
        <f t="shared" ref="AK898:AK961" si="130">IF(C898="","",IF(ISNUMBER(AA898),IF(AA898&gt;0,"CON ERRORES","OK"),"N/A"))</f>
        <v/>
      </c>
      <c r="AL898" s="7" t="str">
        <f t="shared" ref="AL898:AL961" si="131">IF(C898="","",IF(OR(AG898="ALARMA",AI898="ALARMA",AJ898="CON ERRORES",AK898="CON ERRORES"),"REVISAR","OK"))</f>
        <v/>
      </c>
      <c r="AM898" s="7" t="str">
        <f t="shared" ref="AM898:AM961" si="132">IF(C898="","",IF(ISNUMBER(Q898),Q898,IF(ISNUMBER(AE898),AE898,"Ver detalle")))</f>
        <v/>
      </c>
      <c r="AN898" s="8" t="str">
        <f>IF(C898="","",COUNTIF($C$2:C898,C898))</f>
        <v/>
      </c>
      <c r="AO898" s="8" t="str">
        <f t="shared" ref="AO898:AO961" si="133">IF(C898="","",C898&amp;"|"&amp;AN898)</f>
        <v/>
      </c>
      <c r="AP898" s="8" t="str">
        <f>IF(C898="","",IF(AND(OR([1]Consulta!$C$29="",A898=[1]Consulta!$C$29),OR([1]Consulta!$E$29="",B898=[1]Consulta!$E$29),OR([1]Consulta!$G$29="",D898=[1]Consulta!$G$29,R898=[1]Consulta!$G$29)),ROW()-1,""))</f>
        <v/>
      </c>
    </row>
    <row r="899" spans="1:42" ht="1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 t="str">
        <f t="shared" si="126"/>
        <v/>
      </c>
      <c r="AG899" s="7" t="str">
        <f t="shared" ref="AG899:AG962" si="134">IF(C899="","",IF(AF899="","N/A",IF(AF899&lt;0,"ALARMA","OK")))</f>
        <v/>
      </c>
      <c r="AH899" s="7" t="str">
        <f t="shared" si="127"/>
        <v/>
      </c>
      <c r="AI899" s="7" t="str">
        <f t="shared" si="128"/>
        <v/>
      </c>
      <c r="AJ899" s="7" t="str">
        <f t="shared" si="129"/>
        <v/>
      </c>
      <c r="AK899" s="7" t="str">
        <f t="shared" si="130"/>
        <v/>
      </c>
      <c r="AL899" s="7" t="str">
        <f t="shared" si="131"/>
        <v/>
      </c>
      <c r="AM899" s="7" t="str">
        <f t="shared" si="132"/>
        <v/>
      </c>
      <c r="AN899" s="8" t="str">
        <f>IF(C899="","",COUNTIF($C$2:C899,C899))</f>
        <v/>
      </c>
      <c r="AO899" s="8" t="str">
        <f t="shared" si="133"/>
        <v/>
      </c>
      <c r="AP899" s="8" t="str">
        <f>IF(C899="","",IF(AND(OR([1]Consulta!$C$29="",A899=[1]Consulta!$C$29),OR([1]Consulta!$E$29="",B899=[1]Consulta!$E$29),OR([1]Consulta!$G$29="",D899=[1]Consulta!$G$29,R899=[1]Consulta!$G$29)),ROW()-1,""))</f>
        <v/>
      </c>
    </row>
    <row r="900" spans="1:42" ht="1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 t="str">
        <f t="shared" si="126"/>
        <v/>
      </c>
      <c r="AG900" s="7" t="str">
        <f t="shared" si="134"/>
        <v/>
      </c>
      <c r="AH900" s="7" t="str">
        <f t="shared" si="127"/>
        <v/>
      </c>
      <c r="AI900" s="7" t="str">
        <f t="shared" si="128"/>
        <v/>
      </c>
      <c r="AJ900" s="7" t="str">
        <f t="shared" si="129"/>
        <v/>
      </c>
      <c r="AK900" s="7" t="str">
        <f t="shared" si="130"/>
        <v/>
      </c>
      <c r="AL900" s="7" t="str">
        <f t="shared" si="131"/>
        <v/>
      </c>
      <c r="AM900" s="7" t="str">
        <f t="shared" si="132"/>
        <v/>
      </c>
      <c r="AN900" s="8" t="str">
        <f>IF(C900="","",COUNTIF($C$2:C900,C900))</f>
        <v/>
      </c>
      <c r="AO900" s="8" t="str">
        <f t="shared" si="133"/>
        <v/>
      </c>
      <c r="AP900" s="8" t="str">
        <f>IF(C900="","",IF(AND(OR([1]Consulta!$C$29="",A900=[1]Consulta!$C$29),OR([1]Consulta!$E$29="",B900=[1]Consulta!$E$29),OR([1]Consulta!$G$29="",D900=[1]Consulta!$G$29,R900=[1]Consulta!$G$29)),ROW()-1,""))</f>
        <v/>
      </c>
    </row>
    <row r="901" spans="1:42" ht="1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 t="str">
        <f t="shared" si="126"/>
        <v/>
      </c>
      <c r="AG901" s="7" t="str">
        <f t="shared" si="134"/>
        <v/>
      </c>
      <c r="AH901" s="7" t="str">
        <f t="shared" si="127"/>
        <v/>
      </c>
      <c r="AI901" s="7" t="str">
        <f t="shared" si="128"/>
        <v/>
      </c>
      <c r="AJ901" s="7" t="str">
        <f t="shared" si="129"/>
        <v/>
      </c>
      <c r="AK901" s="7" t="str">
        <f t="shared" si="130"/>
        <v/>
      </c>
      <c r="AL901" s="7" t="str">
        <f t="shared" si="131"/>
        <v/>
      </c>
      <c r="AM901" s="7" t="str">
        <f t="shared" si="132"/>
        <v/>
      </c>
      <c r="AN901" s="8" t="str">
        <f>IF(C901="","",COUNTIF($C$2:C901,C901))</f>
        <v/>
      </c>
      <c r="AO901" s="8" t="str">
        <f t="shared" si="133"/>
        <v/>
      </c>
      <c r="AP901" s="8" t="str">
        <f>IF(C901="","",IF(AND(OR([1]Consulta!$C$29="",A901=[1]Consulta!$C$29),OR([1]Consulta!$E$29="",B901=[1]Consulta!$E$29),OR([1]Consulta!$G$29="",D901=[1]Consulta!$G$29,R901=[1]Consulta!$G$29)),ROW()-1,""))</f>
        <v/>
      </c>
    </row>
    <row r="902" spans="1:42" ht="1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 t="str">
        <f t="shared" si="126"/>
        <v/>
      </c>
      <c r="AG902" s="7" t="str">
        <f t="shared" si="134"/>
        <v/>
      </c>
      <c r="AH902" s="7" t="str">
        <f t="shared" si="127"/>
        <v/>
      </c>
      <c r="AI902" s="7" t="str">
        <f t="shared" si="128"/>
        <v/>
      </c>
      <c r="AJ902" s="7" t="str">
        <f t="shared" si="129"/>
        <v/>
      </c>
      <c r="AK902" s="7" t="str">
        <f t="shared" si="130"/>
        <v/>
      </c>
      <c r="AL902" s="7" t="str">
        <f t="shared" si="131"/>
        <v/>
      </c>
      <c r="AM902" s="7" t="str">
        <f t="shared" si="132"/>
        <v/>
      </c>
      <c r="AN902" s="8" t="str">
        <f>IF(C902="","",COUNTIF($C$2:C902,C902))</f>
        <v/>
      </c>
      <c r="AO902" s="8" t="str">
        <f t="shared" si="133"/>
        <v/>
      </c>
      <c r="AP902" s="8" t="str">
        <f>IF(C902="","",IF(AND(OR([1]Consulta!$C$29="",A902=[1]Consulta!$C$29),OR([1]Consulta!$E$29="",B902=[1]Consulta!$E$29),OR([1]Consulta!$G$29="",D902=[1]Consulta!$G$29,R902=[1]Consulta!$G$29)),ROW()-1,""))</f>
        <v/>
      </c>
    </row>
    <row r="903" spans="1:42" ht="1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 t="str">
        <f t="shared" si="126"/>
        <v/>
      </c>
      <c r="AG903" s="7" t="str">
        <f t="shared" si="134"/>
        <v/>
      </c>
      <c r="AH903" s="7" t="str">
        <f t="shared" si="127"/>
        <v/>
      </c>
      <c r="AI903" s="7" t="str">
        <f t="shared" si="128"/>
        <v/>
      </c>
      <c r="AJ903" s="7" t="str">
        <f t="shared" si="129"/>
        <v/>
      </c>
      <c r="AK903" s="7" t="str">
        <f t="shared" si="130"/>
        <v/>
      </c>
      <c r="AL903" s="7" t="str">
        <f t="shared" si="131"/>
        <v/>
      </c>
      <c r="AM903" s="7" t="str">
        <f t="shared" si="132"/>
        <v/>
      </c>
      <c r="AN903" s="8" t="str">
        <f>IF(C903="","",COUNTIF($C$2:C903,C903))</f>
        <v/>
      </c>
      <c r="AO903" s="8" t="str">
        <f t="shared" si="133"/>
        <v/>
      </c>
      <c r="AP903" s="8" t="str">
        <f>IF(C903="","",IF(AND(OR([1]Consulta!$C$29="",A903=[1]Consulta!$C$29),OR([1]Consulta!$E$29="",B903=[1]Consulta!$E$29),OR([1]Consulta!$G$29="",D903=[1]Consulta!$G$29,R903=[1]Consulta!$G$29)),ROW()-1,""))</f>
        <v/>
      </c>
    </row>
    <row r="904" spans="1:42" ht="1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 t="str">
        <f t="shared" si="126"/>
        <v/>
      </c>
      <c r="AG904" s="7" t="str">
        <f t="shared" si="134"/>
        <v/>
      </c>
      <c r="AH904" s="7" t="str">
        <f t="shared" si="127"/>
        <v/>
      </c>
      <c r="AI904" s="7" t="str">
        <f t="shared" si="128"/>
        <v/>
      </c>
      <c r="AJ904" s="7" t="str">
        <f t="shared" si="129"/>
        <v/>
      </c>
      <c r="AK904" s="7" t="str">
        <f t="shared" si="130"/>
        <v/>
      </c>
      <c r="AL904" s="7" t="str">
        <f t="shared" si="131"/>
        <v/>
      </c>
      <c r="AM904" s="7" t="str">
        <f t="shared" si="132"/>
        <v/>
      </c>
      <c r="AN904" s="8" t="str">
        <f>IF(C904="","",COUNTIF($C$2:C904,C904))</f>
        <v/>
      </c>
      <c r="AO904" s="8" t="str">
        <f t="shared" si="133"/>
        <v/>
      </c>
      <c r="AP904" s="8" t="str">
        <f>IF(C904="","",IF(AND(OR([1]Consulta!$C$29="",A904=[1]Consulta!$C$29),OR([1]Consulta!$E$29="",B904=[1]Consulta!$E$29),OR([1]Consulta!$G$29="",D904=[1]Consulta!$G$29,R904=[1]Consulta!$G$29)),ROW()-1,""))</f>
        <v/>
      </c>
    </row>
    <row r="905" spans="1:42" ht="1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 t="str">
        <f t="shared" si="126"/>
        <v/>
      </c>
      <c r="AG905" s="7" t="str">
        <f t="shared" si="134"/>
        <v/>
      </c>
      <c r="AH905" s="7" t="str">
        <f t="shared" si="127"/>
        <v/>
      </c>
      <c r="AI905" s="7" t="str">
        <f t="shared" si="128"/>
        <v/>
      </c>
      <c r="AJ905" s="7" t="str">
        <f t="shared" si="129"/>
        <v/>
      </c>
      <c r="AK905" s="7" t="str">
        <f t="shared" si="130"/>
        <v/>
      </c>
      <c r="AL905" s="7" t="str">
        <f t="shared" si="131"/>
        <v/>
      </c>
      <c r="AM905" s="7" t="str">
        <f t="shared" si="132"/>
        <v/>
      </c>
      <c r="AN905" s="8" t="str">
        <f>IF(C905="","",COUNTIF($C$2:C905,C905))</f>
        <v/>
      </c>
      <c r="AO905" s="8" t="str">
        <f t="shared" si="133"/>
        <v/>
      </c>
      <c r="AP905" s="8" t="str">
        <f>IF(C905="","",IF(AND(OR([1]Consulta!$C$29="",A905=[1]Consulta!$C$29),OR([1]Consulta!$E$29="",B905=[1]Consulta!$E$29),OR([1]Consulta!$G$29="",D905=[1]Consulta!$G$29,R905=[1]Consulta!$G$29)),ROW()-1,""))</f>
        <v/>
      </c>
    </row>
    <row r="906" spans="1:42" ht="1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 t="str">
        <f t="shared" si="126"/>
        <v/>
      </c>
      <c r="AG906" s="7" t="str">
        <f t="shared" si="134"/>
        <v/>
      </c>
      <c r="AH906" s="7" t="str">
        <f t="shared" si="127"/>
        <v/>
      </c>
      <c r="AI906" s="7" t="str">
        <f t="shared" si="128"/>
        <v/>
      </c>
      <c r="AJ906" s="7" t="str">
        <f t="shared" si="129"/>
        <v/>
      </c>
      <c r="AK906" s="7" t="str">
        <f t="shared" si="130"/>
        <v/>
      </c>
      <c r="AL906" s="7" t="str">
        <f t="shared" si="131"/>
        <v/>
      </c>
      <c r="AM906" s="7" t="str">
        <f t="shared" si="132"/>
        <v/>
      </c>
      <c r="AN906" s="8" t="str">
        <f>IF(C906="","",COUNTIF($C$2:C906,C906))</f>
        <v/>
      </c>
      <c r="AO906" s="8" t="str">
        <f t="shared" si="133"/>
        <v/>
      </c>
      <c r="AP906" s="8" t="str">
        <f>IF(C906="","",IF(AND(OR([1]Consulta!$C$29="",A906=[1]Consulta!$C$29),OR([1]Consulta!$E$29="",B906=[1]Consulta!$E$29),OR([1]Consulta!$G$29="",D906=[1]Consulta!$G$29,R906=[1]Consulta!$G$29)),ROW()-1,""))</f>
        <v/>
      </c>
    </row>
    <row r="907" spans="1:42" ht="1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 t="str">
        <f t="shared" si="126"/>
        <v/>
      </c>
      <c r="AG907" s="7" t="str">
        <f t="shared" si="134"/>
        <v/>
      </c>
      <c r="AH907" s="7" t="str">
        <f t="shared" si="127"/>
        <v/>
      </c>
      <c r="AI907" s="7" t="str">
        <f t="shared" si="128"/>
        <v/>
      </c>
      <c r="AJ907" s="7" t="str">
        <f t="shared" si="129"/>
        <v/>
      </c>
      <c r="AK907" s="7" t="str">
        <f t="shared" si="130"/>
        <v/>
      </c>
      <c r="AL907" s="7" t="str">
        <f t="shared" si="131"/>
        <v/>
      </c>
      <c r="AM907" s="7" t="str">
        <f t="shared" si="132"/>
        <v/>
      </c>
      <c r="AN907" s="8" t="str">
        <f>IF(C907="","",COUNTIF($C$2:C907,C907))</f>
        <v/>
      </c>
      <c r="AO907" s="8" t="str">
        <f t="shared" si="133"/>
        <v/>
      </c>
      <c r="AP907" s="8" t="str">
        <f>IF(C907="","",IF(AND(OR([1]Consulta!$C$29="",A907=[1]Consulta!$C$29),OR([1]Consulta!$E$29="",B907=[1]Consulta!$E$29),OR([1]Consulta!$G$29="",D907=[1]Consulta!$G$29,R907=[1]Consulta!$G$29)),ROW()-1,""))</f>
        <v/>
      </c>
    </row>
    <row r="908" spans="1:42" ht="1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 t="str">
        <f t="shared" si="126"/>
        <v/>
      </c>
      <c r="AG908" s="7" t="str">
        <f t="shared" si="134"/>
        <v/>
      </c>
      <c r="AH908" s="7" t="str">
        <f t="shared" si="127"/>
        <v/>
      </c>
      <c r="AI908" s="7" t="str">
        <f t="shared" si="128"/>
        <v/>
      </c>
      <c r="AJ908" s="7" t="str">
        <f t="shared" si="129"/>
        <v/>
      </c>
      <c r="AK908" s="7" t="str">
        <f t="shared" si="130"/>
        <v/>
      </c>
      <c r="AL908" s="7" t="str">
        <f t="shared" si="131"/>
        <v/>
      </c>
      <c r="AM908" s="7" t="str">
        <f t="shared" si="132"/>
        <v/>
      </c>
      <c r="AN908" s="8" t="str">
        <f>IF(C908="","",COUNTIF($C$2:C908,C908))</f>
        <v/>
      </c>
      <c r="AO908" s="8" t="str">
        <f t="shared" si="133"/>
        <v/>
      </c>
      <c r="AP908" s="8" t="str">
        <f>IF(C908="","",IF(AND(OR([1]Consulta!$C$29="",A908=[1]Consulta!$C$29),OR([1]Consulta!$E$29="",B908=[1]Consulta!$E$29),OR([1]Consulta!$G$29="",D908=[1]Consulta!$G$29,R908=[1]Consulta!$G$29)),ROW()-1,""))</f>
        <v/>
      </c>
    </row>
    <row r="909" spans="1:42" ht="1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 t="str">
        <f t="shared" si="126"/>
        <v/>
      </c>
      <c r="AG909" s="7" t="str">
        <f t="shared" si="134"/>
        <v/>
      </c>
      <c r="AH909" s="7" t="str">
        <f t="shared" si="127"/>
        <v/>
      </c>
      <c r="AI909" s="7" t="str">
        <f t="shared" si="128"/>
        <v/>
      </c>
      <c r="AJ909" s="7" t="str">
        <f t="shared" si="129"/>
        <v/>
      </c>
      <c r="AK909" s="7" t="str">
        <f t="shared" si="130"/>
        <v/>
      </c>
      <c r="AL909" s="7" t="str">
        <f t="shared" si="131"/>
        <v/>
      </c>
      <c r="AM909" s="7" t="str">
        <f t="shared" si="132"/>
        <v/>
      </c>
      <c r="AN909" s="8" t="str">
        <f>IF(C909="","",COUNTIF($C$2:C909,C909))</f>
        <v/>
      </c>
      <c r="AO909" s="8" t="str">
        <f t="shared" si="133"/>
        <v/>
      </c>
      <c r="AP909" s="8" t="str">
        <f>IF(C909="","",IF(AND(OR([1]Consulta!$C$29="",A909=[1]Consulta!$C$29),OR([1]Consulta!$E$29="",B909=[1]Consulta!$E$29),OR([1]Consulta!$G$29="",D909=[1]Consulta!$G$29,R909=[1]Consulta!$G$29)),ROW()-1,""))</f>
        <v/>
      </c>
    </row>
    <row r="910" spans="1:42" ht="1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 t="str">
        <f t="shared" si="126"/>
        <v/>
      </c>
      <c r="AG910" s="7" t="str">
        <f t="shared" si="134"/>
        <v/>
      </c>
      <c r="AH910" s="7" t="str">
        <f t="shared" si="127"/>
        <v/>
      </c>
      <c r="AI910" s="7" t="str">
        <f t="shared" si="128"/>
        <v/>
      </c>
      <c r="AJ910" s="7" t="str">
        <f t="shared" si="129"/>
        <v/>
      </c>
      <c r="AK910" s="7" t="str">
        <f t="shared" si="130"/>
        <v/>
      </c>
      <c r="AL910" s="7" t="str">
        <f t="shared" si="131"/>
        <v/>
      </c>
      <c r="AM910" s="7" t="str">
        <f t="shared" si="132"/>
        <v/>
      </c>
      <c r="AN910" s="8" t="str">
        <f>IF(C910="","",COUNTIF($C$2:C910,C910))</f>
        <v/>
      </c>
      <c r="AO910" s="8" t="str">
        <f t="shared" si="133"/>
        <v/>
      </c>
      <c r="AP910" s="8" t="str">
        <f>IF(C910="","",IF(AND(OR([1]Consulta!$C$29="",A910=[1]Consulta!$C$29),OR([1]Consulta!$E$29="",B910=[1]Consulta!$E$29),OR([1]Consulta!$G$29="",D910=[1]Consulta!$G$29,R910=[1]Consulta!$G$29)),ROW()-1,""))</f>
        <v/>
      </c>
    </row>
    <row r="911" spans="1:42" ht="1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 t="str">
        <f t="shared" si="126"/>
        <v/>
      </c>
      <c r="AG911" s="7" t="str">
        <f t="shared" si="134"/>
        <v/>
      </c>
      <c r="AH911" s="7" t="str">
        <f t="shared" si="127"/>
        <v/>
      </c>
      <c r="AI911" s="7" t="str">
        <f t="shared" si="128"/>
        <v/>
      </c>
      <c r="AJ911" s="7" t="str">
        <f t="shared" si="129"/>
        <v/>
      </c>
      <c r="AK911" s="7" t="str">
        <f t="shared" si="130"/>
        <v/>
      </c>
      <c r="AL911" s="7" t="str">
        <f t="shared" si="131"/>
        <v/>
      </c>
      <c r="AM911" s="7" t="str">
        <f t="shared" si="132"/>
        <v/>
      </c>
      <c r="AN911" s="8" t="str">
        <f>IF(C911="","",COUNTIF($C$2:C911,C911))</f>
        <v/>
      </c>
      <c r="AO911" s="8" t="str">
        <f t="shared" si="133"/>
        <v/>
      </c>
      <c r="AP911" s="8" t="str">
        <f>IF(C911="","",IF(AND(OR([1]Consulta!$C$29="",A911=[1]Consulta!$C$29),OR([1]Consulta!$E$29="",B911=[1]Consulta!$E$29),OR([1]Consulta!$G$29="",D911=[1]Consulta!$G$29,R911=[1]Consulta!$G$29)),ROW()-1,""))</f>
        <v/>
      </c>
    </row>
    <row r="912" spans="1:42" ht="1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 t="str">
        <f t="shared" si="126"/>
        <v/>
      </c>
      <c r="AG912" s="7" t="str">
        <f t="shared" si="134"/>
        <v/>
      </c>
      <c r="AH912" s="7" t="str">
        <f t="shared" si="127"/>
        <v/>
      </c>
      <c r="AI912" s="7" t="str">
        <f t="shared" si="128"/>
        <v/>
      </c>
      <c r="AJ912" s="7" t="str">
        <f t="shared" si="129"/>
        <v/>
      </c>
      <c r="AK912" s="7" t="str">
        <f t="shared" si="130"/>
        <v/>
      </c>
      <c r="AL912" s="7" t="str">
        <f t="shared" si="131"/>
        <v/>
      </c>
      <c r="AM912" s="7" t="str">
        <f t="shared" si="132"/>
        <v/>
      </c>
      <c r="AN912" s="8" t="str">
        <f>IF(C912="","",COUNTIF($C$2:C912,C912))</f>
        <v/>
      </c>
      <c r="AO912" s="8" t="str">
        <f t="shared" si="133"/>
        <v/>
      </c>
      <c r="AP912" s="8" t="str">
        <f>IF(C912="","",IF(AND(OR([1]Consulta!$C$29="",A912=[1]Consulta!$C$29),OR([1]Consulta!$E$29="",B912=[1]Consulta!$E$29),OR([1]Consulta!$G$29="",D912=[1]Consulta!$G$29,R912=[1]Consulta!$G$29)),ROW()-1,""))</f>
        <v/>
      </c>
    </row>
    <row r="913" spans="1:42" ht="1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 t="str">
        <f t="shared" si="126"/>
        <v/>
      </c>
      <c r="AG913" s="7" t="str">
        <f t="shared" si="134"/>
        <v/>
      </c>
      <c r="AH913" s="7" t="str">
        <f t="shared" si="127"/>
        <v/>
      </c>
      <c r="AI913" s="7" t="str">
        <f t="shared" si="128"/>
        <v/>
      </c>
      <c r="AJ913" s="7" t="str">
        <f t="shared" si="129"/>
        <v/>
      </c>
      <c r="AK913" s="7" t="str">
        <f t="shared" si="130"/>
        <v/>
      </c>
      <c r="AL913" s="7" t="str">
        <f t="shared" si="131"/>
        <v/>
      </c>
      <c r="AM913" s="7" t="str">
        <f t="shared" si="132"/>
        <v/>
      </c>
      <c r="AN913" s="8" t="str">
        <f>IF(C913="","",COUNTIF($C$2:C913,C913))</f>
        <v/>
      </c>
      <c r="AO913" s="8" t="str">
        <f t="shared" si="133"/>
        <v/>
      </c>
      <c r="AP913" s="8" t="str">
        <f>IF(C913="","",IF(AND(OR([1]Consulta!$C$29="",A913=[1]Consulta!$C$29),OR([1]Consulta!$E$29="",B913=[1]Consulta!$E$29),OR([1]Consulta!$G$29="",D913=[1]Consulta!$G$29,R913=[1]Consulta!$G$29)),ROW()-1,""))</f>
        <v/>
      </c>
    </row>
    <row r="914" spans="1:42" ht="1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 t="str">
        <f t="shared" si="126"/>
        <v/>
      </c>
      <c r="AG914" s="7" t="str">
        <f t="shared" si="134"/>
        <v/>
      </c>
      <c r="AH914" s="7" t="str">
        <f t="shared" si="127"/>
        <v/>
      </c>
      <c r="AI914" s="7" t="str">
        <f t="shared" si="128"/>
        <v/>
      </c>
      <c r="AJ914" s="7" t="str">
        <f t="shared" si="129"/>
        <v/>
      </c>
      <c r="AK914" s="7" t="str">
        <f t="shared" si="130"/>
        <v/>
      </c>
      <c r="AL914" s="7" t="str">
        <f t="shared" si="131"/>
        <v/>
      </c>
      <c r="AM914" s="7" t="str">
        <f t="shared" si="132"/>
        <v/>
      </c>
      <c r="AN914" s="8" t="str">
        <f>IF(C914="","",COUNTIF($C$2:C914,C914))</f>
        <v/>
      </c>
      <c r="AO914" s="8" t="str">
        <f t="shared" si="133"/>
        <v/>
      </c>
      <c r="AP914" s="8" t="str">
        <f>IF(C914="","",IF(AND(OR([1]Consulta!$C$29="",A914=[1]Consulta!$C$29),OR([1]Consulta!$E$29="",B914=[1]Consulta!$E$29),OR([1]Consulta!$G$29="",D914=[1]Consulta!$G$29,R914=[1]Consulta!$G$29)),ROW()-1,""))</f>
        <v/>
      </c>
    </row>
    <row r="915" spans="1:42" ht="1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 t="str">
        <f t="shared" si="126"/>
        <v/>
      </c>
      <c r="AG915" s="7" t="str">
        <f t="shared" si="134"/>
        <v/>
      </c>
      <c r="AH915" s="7" t="str">
        <f t="shared" si="127"/>
        <v/>
      </c>
      <c r="AI915" s="7" t="str">
        <f t="shared" si="128"/>
        <v/>
      </c>
      <c r="AJ915" s="7" t="str">
        <f t="shared" si="129"/>
        <v/>
      </c>
      <c r="AK915" s="7" t="str">
        <f t="shared" si="130"/>
        <v/>
      </c>
      <c r="AL915" s="7" t="str">
        <f t="shared" si="131"/>
        <v/>
      </c>
      <c r="AM915" s="7" t="str">
        <f t="shared" si="132"/>
        <v/>
      </c>
      <c r="AN915" s="8" t="str">
        <f>IF(C915="","",COUNTIF($C$2:C915,C915))</f>
        <v/>
      </c>
      <c r="AO915" s="8" t="str">
        <f t="shared" si="133"/>
        <v/>
      </c>
      <c r="AP915" s="8" t="str">
        <f>IF(C915="","",IF(AND(OR([1]Consulta!$C$29="",A915=[1]Consulta!$C$29),OR([1]Consulta!$E$29="",B915=[1]Consulta!$E$29),OR([1]Consulta!$G$29="",D915=[1]Consulta!$G$29,R915=[1]Consulta!$G$29)),ROW()-1,""))</f>
        <v/>
      </c>
    </row>
    <row r="916" spans="1:42" ht="1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 t="str">
        <f t="shared" si="126"/>
        <v/>
      </c>
      <c r="AG916" s="7" t="str">
        <f t="shared" si="134"/>
        <v/>
      </c>
      <c r="AH916" s="7" t="str">
        <f t="shared" si="127"/>
        <v/>
      </c>
      <c r="AI916" s="7" t="str">
        <f t="shared" si="128"/>
        <v/>
      </c>
      <c r="AJ916" s="7" t="str">
        <f t="shared" si="129"/>
        <v/>
      </c>
      <c r="AK916" s="7" t="str">
        <f t="shared" si="130"/>
        <v/>
      </c>
      <c r="AL916" s="7" t="str">
        <f t="shared" si="131"/>
        <v/>
      </c>
      <c r="AM916" s="7" t="str">
        <f t="shared" si="132"/>
        <v/>
      </c>
      <c r="AN916" s="8" t="str">
        <f>IF(C916="","",COUNTIF($C$2:C916,C916))</f>
        <v/>
      </c>
      <c r="AO916" s="8" t="str">
        <f t="shared" si="133"/>
        <v/>
      </c>
      <c r="AP916" s="8" t="str">
        <f>IF(C916="","",IF(AND(OR([1]Consulta!$C$29="",A916=[1]Consulta!$C$29),OR([1]Consulta!$E$29="",B916=[1]Consulta!$E$29),OR([1]Consulta!$G$29="",D916=[1]Consulta!$G$29,R916=[1]Consulta!$G$29)),ROW()-1,""))</f>
        <v/>
      </c>
    </row>
    <row r="917" spans="1:42" ht="1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 t="str">
        <f t="shared" si="126"/>
        <v/>
      </c>
      <c r="AG917" s="7" t="str">
        <f t="shared" si="134"/>
        <v/>
      </c>
      <c r="AH917" s="7" t="str">
        <f t="shared" si="127"/>
        <v/>
      </c>
      <c r="AI917" s="7" t="str">
        <f t="shared" si="128"/>
        <v/>
      </c>
      <c r="AJ917" s="7" t="str">
        <f t="shared" si="129"/>
        <v/>
      </c>
      <c r="AK917" s="7" t="str">
        <f t="shared" si="130"/>
        <v/>
      </c>
      <c r="AL917" s="7" t="str">
        <f t="shared" si="131"/>
        <v/>
      </c>
      <c r="AM917" s="7" t="str">
        <f t="shared" si="132"/>
        <v/>
      </c>
      <c r="AN917" s="8" t="str">
        <f>IF(C917="","",COUNTIF($C$2:C917,C917))</f>
        <v/>
      </c>
      <c r="AO917" s="8" t="str">
        <f t="shared" si="133"/>
        <v/>
      </c>
      <c r="AP917" s="8" t="str">
        <f>IF(C917="","",IF(AND(OR([1]Consulta!$C$29="",A917=[1]Consulta!$C$29),OR([1]Consulta!$E$29="",B917=[1]Consulta!$E$29),OR([1]Consulta!$G$29="",D917=[1]Consulta!$G$29,R917=[1]Consulta!$G$29)),ROW()-1,""))</f>
        <v/>
      </c>
    </row>
    <row r="918" spans="1:42" ht="1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 t="str">
        <f t="shared" si="126"/>
        <v/>
      </c>
      <c r="AG918" s="7" t="str">
        <f t="shared" si="134"/>
        <v/>
      </c>
      <c r="AH918" s="7" t="str">
        <f t="shared" si="127"/>
        <v/>
      </c>
      <c r="AI918" s="7" t="str">
        <f t="shared" si="128"/>
        <v/>
      </c>
      <c r="AJ918" s="7" t="str">
        <f t="shared" si="129"/>
        <v/>
      </c>
      <c r="AK918" s="7" t="str">
        <f t="shared" si="130"/>
        <v/>
      </c>
      <c r="AL918" s="7" t="str">
        <f t="shared" si="131"/>
        <v/>
      </c>
      <c r="AM918" s="7" t="str">
        <f t="shared" si="132"/>
        <v/>
      </c>
      <c r="AN918" s="8" t="str">
        <f>IF(C918="","",COUNTIF($C$2:C918,C918))</f>
        <v/>
      </c>
      <c r="AO918" s="8" t="str">
        <f t="shared" si="133"/>
        <v/>
      </c>
      <c r="AP918" s="8" t="str">
        <f>IF(C918="","",IF(AND(OR([1]Consulta!$C$29="",A918=[1]Consulta!$C$29),OR([1]Consulta!$E$29="",B918=[1]Consulta!$E$29),OR([1]Consulta!$G$29="",D918=[1]Consulta!$G$29,R918=[1]Consulta!$G$29)),ROW()-1,""))</f>
        <v/>
      </c>
    </row>
    <row r="919" spans="1:42" ht="1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 t="str">
        <f t="shared" si="126"/>
        <v/>
      </c>
      <c r="AG919" s="7" t="str">
        <f t="shared" si="134"/>
        <v/>
      </c>
      <c r="AH919" s="7" t="str">
        <f t="shared" si="127"/>
        <v/>
      </c>
      <c r="AI919" s="7" t="str">
        <f t="shared" si="128"/>
        <v/>
      </c>
      <c r="AJ919" s="7" t="str">
        <f t="shared" si="129"/>
        <v/>
      </c>
      <c r="AK919" s="7" t="str">
        <f t="shared" si="130"/>
        <v/>
      </c>
      <c r="AL919" s="7" t="str">
        <f t="shared" si="131"/>
        <v/>
      </c>
      <c r="AM919" s="7" t="str">
        <f t="shared" si="132"/>
        <v/>
      </c>
      <c r="AN919" s="8" t="str">
        <f>IF(C919="","",COUNTIF($C$2:C919,C919))</f>
        <v/>
      </c>
      <c r="AO919" s="8" t="str">
        <f t="shared" si="133"/>
        <v/>
      </c>
      <c r="AP919" s="8" t="str">
        <f>IF(C919="","",IF(AND(OR([1]Consulta!$C$29="",A919=[1]Consulta!$C$29),OR([1]Consulta!$E$29="",B919=[1]Consulta!$E$29),OR([1]Consulta!$G$29="",D919=[1]Consulta!$G$29,R919=[1]Consulta!$G$29)),ROW()-1,""))</f>
        <v/>
      </c>
    </row>
    <row r="920" spans="1:42" ht="1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 t="str">
        <f t="shared" si="126"/>
        <v/>
      </c>
      <c r="AG920" s="7" t="str">
        <f t="shared" si="134"/>
        <v/>
      </c>
      <c r="AH920" s="7" t="str">
        <f t="shared" si="127"/>
        <v/>
      </c>
      <c r="AI920" s="7" t="str">
        <f t="shared" si="128"/>
        <v/>
      </c>
      <c r="AJ920" s="7" t="str">
        <f t="shared" si="129"/>
        <v/>
      </c>
      <c r="AK920" s="7" t="str">
        <f t="shared" si="130"/>
        <v/>
      </c>
      <c r="AL920" s="7" t="str">
        <f t="shared" si="131"/>
        <v/>
      </c>
      <c r="AM920" s="7" t="str">
        <f t="shared" si="132"/>
        <v/>
      </c>
      <c r="AN920" s="8" t="str">
        <f>IF(C920="","",COUNTIF($C$2:C920,C920))</f>
        <v/>
      </c>
      <c r="AO920" s="8" t="str">
        <f t="shared" si="133"/>
        <v/>
      </c>
      <c r="AP920" s="8" t="str">
        <f>IF(C920="","",IF(AND(OR([1]Consulta!$C$29="",A920=[1]Consulta!$C$29),OR([1]Consulta!$E$29="",B920=[1]Consulta!$E$29),OR([1]Consulta!$G$29="",D920=[1]Consulta!$G$29,R920=[1]Consulta!$G$29)),ROW()-1,""))</f>
        <v/>
      </c>
    </row>
    <row r="921" spans="1:42" ht="1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 t="str">
        <f t="shared" si="126"/>
        <v/>
      </c>
      <c r="AG921" s="7" t="str">
        <f t="shared" si="134"/>
        <v/>
      </c>
      <c r="AH921" s="7" t="str">
        <f t="shared" si="127"/>
        <v/>
      </c>
      <c r="AI921" s="7" t="str">
        <f t="shared" si="128"/>
        <v/>
      </c>
      <c r="AJ921" s="7" t="str">
        <f t="shared" si="129"/>
        <v/>
      </c>
      <c r="AK921" s="7" t="str">
        <f t="shared" si="130"/>
        <v/>
      </c>
      <c r="AL921" s="7" t="str">
        <f t="shared" si="131"/>
        <v/>
      </c>
      <c r="AM921" s="7" t="str">
        <f t="shared" si="132"/>
        <v/>
      </c>
      <c r="AN921" s="8" t="str">
        <f>IF(C921="","",COUNTIF($C$2:C921,C921))</f>
        <v/>
      </c>
      <c r="AO921" s="8" t="str">
        <f t="shared" si="133"/>
        <v/>
      </c>
      <c r="AP921" s="8" t="str">
        <f>IF(C921="","",IF(AND(OR([1]Consulta!$C$29="",A921=[1]Consulta!$C$29),OR([1]Consulta!$E$29="",B921=[1]Consulta!$E$29),OR([1]Consulta!$G$29="",D921=[1]Consulta!$G$29,R921=[1]Consulta!$G$29)),ROW()-1,""))</f>
        <v/>
      </c>
    </row>
    <row r="922" spans="1:42" ht="1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 t="str">
        <f t="shared" si="126"/>
        <v/>
      </c>
      <c r="AG922" s="7" t="str">
        <f t="shared" si="134"/>
        <v/>
      </c>
      <c r="AH922" s="7" t="str">
        <f t="shared" si="127"/>
        <v/>
      </c>
      <c r="AI922" s="7" t="str">
        <f t="shared" si="128"/>
        <v/>
      </c>
      <c r="AJ922" s="7" t="str">
        <f t="shared" si="129"/>
        <v/>
      </c>
      <c r="AK922" s="7" t="str">
        <f t="shared" si="130"/>
        <v/>
      </c>
      <c r="AL922" s="7" t="str">
        <f t="shared" si="131"/>
        <v/>
      </c>
      <c r="AM922" s="7" t="str">
        <f t="shared" si="132"/>
        <v/>
      </c>
      <c r="AN922" s="8" t="str">
        <f>IF(C922="","",COUNTIF($C$2:C922,C922))</f>
        <v/>
      </c>
      <c r="AO922" s="8" t="str">
        <f t="shared" si="133"/>
        <v/>
      </c>
      <c r="AP922" s="8" t="str">
        <f>IF(C922="","",IF(AND(OR([1]Consulta!$C$29="",A922=[1]Consulta!$C$29),OR([1]Consulta!$E$29="",B922=[1]Consulta!$E$29),OR([1]Consulta!$G$29="",D922=[1]Consulta!$G$29,R922=[1]Consulta!$G$29)),ROW()-1,""))</f>
        <v/>
      </c>
    </row>
    <row r="923" spans="1:42" ht="1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 t="str">
        <f t="shared" si="126"/>
        <v/>
      </c>
      <c r="AG923" s="7" t="str">
        <f t="shared" si="134"/>
        <v/>
      </c>
      <c r="AH923" s="7" t="str">
        <f t="shared" si="127"/>
        <v/>
      </c>
      <c r="AI923" s="7" t="str">
        <f t="shared" si="128"/>
        <v/>
      </c>
      <c r="AJ923" s="7" t="str">
        <f t="shared" si="129"/>
        <v/>
      </c>
      <c r="AK923" s="7" t="str">
        <f t="shared" si="130"/>
        <v/>
      </c>
      <c r="AL923" s="7" t="str">
        <f t="shared" si="131"/>
        <v/>
      </c>
      <c r="AM923" s="7" t="str">
        <f t="shared" si="132"/>
        <v/>
      </c>
      <c r="AN923" s="8" t="str">
        <f>IF(C923="","",COUNTIF($C$2:C923,C923))</f>
        <v/>
      </c>
      <c r="AO923" s="8" t="str">
        <f t="shared" si="133"/>
        <v/>
      </c>
      <c r="AP923" s="8" t="str">
        <f>IF(C923="","",IF(AND(OR([1]Consulta!$C$29="",A923=[1]Consulta!$C$29),OR([1]Consulta!$E$29="",B923=[1]Consulta!$E$29),OR([1]Consulta!$G$29="",D923=[1]Consulta!$G$29,R923=[1]Consulta!$G$29)),ROW()-1,""))</f>
        <v/>
      </c>
    </row>
    <row r="924" spans="1:42" ht="1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 t="str">
        <f t="shared" si="126"/>
        <v/>
      </c>
      <c r="AG924" s="7" t="str">
        <f t="shared" si="134"/>
        <v/>
      </c>
      <c r="AH924" s="7" t="str">
        <f t="shared" si="127"/>
        <v/>
      </c>
      <c r="AI924" s="7" t="str">
        <f t="shared" si="128"/>
        <v/>
      </c>
      <c r="AJ924" s="7" t="str">
        <f t="shared" si="129"/>
        <v/>
      </c>
      <c r="AK924" s="7" t="str">
        <f t="shared" si="130"/>
        <v/>
      </c>
      <c r="AL924" s="7" t="str">
        <f t="shared" si="131"/>
        <v/>
      </c>
      <c r="AM924" s="7" t="str">
        <f t="shared" si="132"/>
        <v/>
      </c>
      <c r="AN924" s="8" t="str">
        <f>IF(C924="","",COUNTIF($C$2:C924,C924))</f>
        <v/>
      </c>
      <c r="AO924" s="8" t="str">
        <f t="shared" si="133"/>
        <v/>
      </c>
      <c r="AP924" s="8" t="str">
        <f>IF(C924="","",IF(AND(OR([1]Consulta!$C$29="",A924=[1]Consulta!$C$29),OR([1]Consulta!$E$29="",B924=[1]Consulta!$E$29),OR([1]Consulta!$G$29="",D924=[1]Consulta!$G$29,R924=[1]Consulta!$G$29)),ROW()-1,""))</f>
        <v/>
      </c>
    </row>
    <row r="925" spans="1:42" ht="1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 t="str">
        <f t="shared" si="126"/>
        <v/>
      </c>
      <c r="AG925" s="7" t="str">
        <f t="shared" si="134"/>
        <v/>
      </c>
      <c r="AH925" s="7" t="str">
        <f t="shared" si="127"/>
        <v/>
      </c>
      <c r="AI925" s="7" t="str">
        <f t="shared" si="128"/>
        <v/>
      </c>
      <c r="AJ925" s="7" t="str">
        <f t="shared" si="129"/>
        <v/>
      </c>
      <c r="AK925" s="7" t="str">
        <f t="shared" si="130"/>
        <v/>
      </c>
      <c r="AL925" s="7" t="str">
        <f t="shared" si="131"/>
        <v/>
      </c>
      <c r="AM925" s="7" t="str">
        <f t="shared" si="132"/>
        <v/>
      </c>
      <c r="AN925" s="8" t="str">
        <f>IF(C925="","",COUNTIF($C$2:C925,C925))</f>
        <v/>
      </c>
      <c r="AO925" s="8" t="str">
        <f t="shared" si="133"/>
        <v/>
      </c>
      <c r="AP925" s="8" t="str">
        <f>IF(C925="","",IF(AND(OR([1]Consulta!$C$29="",A925=[1]Consulta!$C$29),OR([1]Consulta!$E$29="",B925=[1]Consulta!$E$29),OR([1]Consulta!$G$29="",D925=[1]Consulta!$G$29,R925=[1]Consulta!$G$29)),ROW()-1,""))</f>
        <v/>
      </c>
    </row>
    <row r="926" spans="1:42" ht="1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 t="str">
        <f t="shared" si="126"/>
        <v/>
      </c>
      <c r="AG926" s="7" t="str">
        <f t="shared" si="134"/>
        <v/>
      </c>
      <c r="AH926" s="7" t="str">
        <f t="shared" si="127"/>
        <v/>
      </c>
      <c r="AI926" s="7" t="str">
        <f t="shared" si="128"/>
        <v/>
      </c>
      <c r="AJ926" s="7" t="str">
        <f t="shared" si="129"/>
        <v/>
      </c>
      <c r="AK926" s="7" t="str">
        <f t="shared" si="130"/>
        <v/>
      </c>
      <c r="AL926" s="7" t="str">
        <f t="shared" si="131"/>
        <v/>
      </c>
      <c r="AM926" s="7" t="str">
        <f t="shared" si="132"/>
        <v/>
      </c>
      <c r="AN926" s="8" t="str">
        <f>IF(C926="","",COUNTIF($C$2:C926,C926))</f>
        <v/>
      </c>
      <c r="AO926" s="8" t="str">
        <f t="shared" si="133"/>
        <v/>
      </c>
      <c r="AP926" s="8" t="str">
        <f>IF(C926="","",IF(AND(OR([1]Consulta!$C$29="",A926=[1]Consulta!$C$29),OR([1]Consulta!$E$29="",B926=[1]Consulta!$E$29),OR([1]Consulta!$G$29="",D926=[1]Consulta!$G$29,R926=[1]Consulta!$G$29)),ROW()-1,""))</f>
        <v/>
      </c>
    </row>
    <row r="927" spans="1:42" ht="1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 t="str">
        <f t="shared" si="126"/>
        <v/>
      </c>
      <c r="AG927" s="7" t="str">
        <f t="shared" si="134"/>
        <v/>
      </c>
      <c r="AH927" s="7" t="str">
        <f t="shared" si="127"/>
        <v/>
      </c>
      <c r="AI927" s="7" t="str">
        <f t="shared" si="128"/>
        <v/>
      </c>
      <c r="AJ927" s="7" t="str">
        <f t="shared" si="129"/>
        <v/>
      </c>
      <c r="AK927" s="7" t="str">
        <f t="shared" si="130"/>
        <v/>
      </c>
      <c r="AL927" s="7" t="str">
        <f t="shared" si="131"/>
        <v/>
      </c>
      <c r="AM927" s="7" t="str">
        <f t="shared" si="132"/>
        <v/>
      </c>
      <c r="AN927" s="8" t="str">
        <f>IF(C927="","",COUNTIF($C$2:C927,C927))</f>
        <v/>
      </c>
      <c r="AO927" s="8" t="str">
        <f t="shared" si="133"/>
        <v/>
      </c>
      <c r="AP927" s="8" t="str">
        <f>IF(C927="","",IF(AND(OR([1]Consulta!$C$29="",A927=[1]Consulta!$C$29),OR([1]Consulta!$E$29="",B927=[1]Consulta!$E$29),OR([1]Consulta!$G$29="",D927=[1]Consulta!$G$29,R927=[1]Consulta!$G$29)),ROW()-1,""))</f>
        <v/>
      </c>
    </row>
    <row r="928" spans="1:42" ht="1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 t="str">
        <f t="shared" si="126"/>
        <v/>
      </c>
      <c r="AG928" s="7" t="str">
        <f t="shared" si="134"/>
        <v/>
      </c>
      <c r="AH928" s="7" t="str">
        <f t="shared" si="127"/>
        <v/>
      </c>
      <c r="AI928" s="7" t="str">
        <f t="shared" si="128"/>
        <v/>
      </c>
      <c r="AJ928" s="7" t="str">
        <f t="shared" si="129"/>
        <v/>
      </c>
      <c r="AK928" s="7" t="str">
        <f t="shared" si="130"/>
        <v/>
      </c>
      <c r="AL928" s="7" t="str">
        <f t="shared" si="131"/>
        <v/>
      </c>
      <c r="AM928" s="7" t="str">
        <f t="shared" si="132"/>
        <v/>
      </c>
      <c r="AN928" s="8" t="str">
        <f>IF(C928="","",COUNTIF($C$2:C928,C928))</f>
        <v/>
      </c>
      <c r="AO928" s="8" t="str">
        <f t="shared" si="133"/>
        <v/>
      </c>
      <c r="AP928" s="8" t="str">
        <f>IF(C928="","",IF(AND(OR([1]Consulta!$C$29="",A928=[1]Consulta!$C$29),OR([1]Consulta!$E$29="",B928=[1]Consulta!$E$29),OR([1]Consulta!$G$29="",D928=[1]Consulta!$G$29,R928=[1]Consulta!$G$29)),ROW()-1,""))</f>
        <v/>
      </c>
    </row>
    <row r="929" spans="1:42" ht="1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 t="str">
        <f t="shared" si="126"/>
        <v/>
      </c>
      <c r="AG929" s="7" t="str">
        <f t="shared" si="134"/>
        <v/>
      </c>
      <c r="AH929" s="7" t="str">
        <f t="shared" si="127"/>
        <v/>
      </c>
      <c r="AI929" s="7" t="str">
        <f t="shared" si="128"/>
        <v/>
      </c>
      <c r="AJ929" s="7" t="str">
        <f t="shared" si="129"/>
        <v/>
      </c>
      <c r="AK929" s="7" t="str">
        <f t="shared" si="130"/>
        <v/>
      </c>
      <c r="AL929" s="7" t="str">
        <f t="shared" si="131"/>
        <v/>
      </c>
      <c r="AM929" s="7" t="str">
        <f t="shared" si="132"/>
        <v/>
      </c>
      <c r="AN929" s="8" t="str">
        <f>IF(C929="","",COUNTIF($C$2:C929,C929))</f>
        <v/>
      </c>
      <c r="AO929" s="8" t="str">
        <f t="shared" si="133"/>
        <v/>
      </c>
      <c r="AP929" s="8" t="str">
        <f>IF(C929="","",IF(AND(OR([1]Consulta!$C$29="",A929=[1]Consulta!$C$29),OR([1]Consulta!$E$29="",B929=[1]Consulta!$E$29),OR([1]Consulta!$G$29="",D929=[1]Consulta!$G$29,R929=[1]Consulta!$G$29)),ROW()-1,""))</f>
        <v/>
      </c>
    </row>
    <row r="930" spans="1:42" ht="1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 t="str">
        <f t="shared" si="126"/>
        <v/>
      </c>
      <c r="AG930" s="7" t="str">
        <f t="shared" si="134"/>
        <v/>
      </c>
      <c r="AH930" s="7" t="str">
        <f t="shared" si="127"/>
        <v/>
      </c>
      <c r="AI930" s="7" t="str">
        <f t="shared" si="128"/>
        <v/>
      </c>
      <c r="AJ930" s="7" t="str">
        <f t="shared" si="129"/>
        <v/>
      </c>
      <c r="AK930" s="7" t="str">
        <f t="shared" si="130"/>
        <v/>
      </c>
      <c r="AL930" s="7" t="str">
        <f t="shared" si="131"/>
        <v/>
      </c>
      <c r="AM930" s="7" t="str">
        <f t="shared" si="132"/>
        <v/>
      </c>
      <c r="AN930" s="8" t="str">
        <f>IF(C930="","",COUNTIF($C$2:C930,C930))</f>
        <v/>
      </c>
      <c r="AO930" s="8" t="str">
        <f t="shared" si="133"/>
        <v/>
      </c>
      <c r="AP930" s="8" t="str">
        <f>IF(C930="","",IF(AND(OR([1]Consulta!$C$29="",A930=[1]Consulta!$C$29),OR([1]Consulta!$E$29="",B930=[1]Consulta!$E$29),OR([1]Consulta!$G$29="",D930=[1]Consulta!$G$29,R930=[1]Consulta!$G$29)),ROW()-1,""))</f>
        <v/>
      </c>
    </row>
    <row r="931" spans="1:42" ht="1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 t="str">
        <f t="shared" si="126"/>
        <v/>
      </c>
      <c r="AG931" s="7" t="str">
        <f t="shared" si="134"/>
        <v/>
      </c>
      <c r="AH931" s="7" t="str">
        <f t="shared" si="127"/>
        <v/>
      </c>
      <c r="AI931" s="7" t="str">
        <f t="shared" si="128"/>
        <v/>
      </c>
      <c r="AJ931" s="7" t="str">
        <f t="shared" si="129"/>
        <v/>
      </c>
      <c r="AK931" s="7" t="str">
        <f t="shared" si="130"/>
        <v/>
      </c>
      <c r="AL931" s="7" t="str">
        <f t="shared" si="131"/>
        <v/>
      </c>
      <c r="AM931" s="7" t="str">
        <f t="shared" si="132"/>
        <v/>
      </c>
      <c r="AN931" s="8" t="str">
        <f>IF(C931="","",COUNTIF($C$2:C931,C931))</f>
        <v/>
      </c>
      <c r="AO931" s="8" t="str">
        <f t="shared" si="133"/>
        <v/>
      </c>
      <c r="AP931" s="8" t="str">
        <f>IF(C931="","",IF(AND(OR([1]Consulta!$C$29="",A931=[1]Consulta!$C$29),OR([1]Consulta!$E$29="",B931=[1]Consulta!$E$29),OR([1]Consulta!$G$29="",D931=[1]Consulta!$G$29,R931=[1]Consulta!$G$29)),ROW()-1,""))</f>
        <v/>
      </c>
    </row>
    <row r="932" spans="1:42" ht="1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 t="str">
        <f t="shared" si="126"/>
        <v/>
      </c>
      <c r="AG932" s="7" t="str">
        <f t="shared" si="134"/>
        <v/>
      </c>
      <c r="AH932" s="7" t="str">
        <f t="shared" si="127"/>
        <v/>
      </c>
      <c r="AI932" s="7" t="str">
        <f t="shared" si="128"/>
        <v/>
      </c>
      <c r="AJ932" s="7" t="str">
        <f t="shared" si="129"/>
        <v/>
      </c>
      <c r="AK932" s="7" t="str">
        <f t="shared" si="130"/>
        <v/>
      </c>
      <c r="AL932" s="7" t="str">
        <f t="shared" si="131"/>
        <v/>
      </c>
      <c r="AM932" s="7" t="str">
        <f t="shared" si="132"/>
        <v/>
      </c>
      <c r="AN932" s="8" t="str">
        <f>IF(C932="","",COUNTIF($C$2:C932,C932))</f>
        <v/>
      </c>
      <c r="AO932" s="8" t="str">
        <f t="shared" si="133"/>
        <v/>
      </c>
      <c r="AP932" s="8" t="str">
        <f>IF(C932="","",IF(AND(OR([1]Consulta!$C$29="",A932=[1]Consulta!$C$29),OR([1]Consulta!$E$29="",B932=[1]Consulta!$E$29),OR([1]Consulta!$G$29="",D932=[1]Consulta!$G$29,R932=[1]Consulta!$G$29)),ROW()-1,""))</f>
        <v/>
      </c>
    </row>
    <row r="933" spans="1:42" ht="1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 t="str">
        <f t="shared" si="126"/>
        <v/>
      </c>
      <c r="AG933" s="7" t="str">
        <f t="shared" si="134"/>
        <v/>
      </c>
      <c r="AH933" s="7" t="str">
        <f t="shared" si="127"/>
        <v/>
      </c>
      <c r="AI933" s="7" t="str">
        <f t="shared" si="128"/>
        <v/>
      </c>
      <c r="AJ933" s="7" t="str">
        <f t="shared" si="129"/>
        <v/>
      </c>
      <c r="AK933" s="7" t="str">
        <f t="shared" si="130"/>
        <v/>
      </c>
      <c r="AL933" s="7" t="str">
        <f t="shared" si="131"/>
        <v/>
      </c>
      <c r="AM933" s="7" t="str">
        <f t="shared" si="132"/>
        <v/>
      </c>
      <c r="AN933" s="8" t="str">
        <f>IF(C933="","",COUNTIF($C$2:C933,C933))</f>
        <v/>
      </c>
      <c r="AO933" s="8" t="str">
        <f t="shared" si="133"/>
        <v/>
      </c>
      <c r="AP933" s="8" t="str">
        <f>IF(C933="","",IF(AND(OR([1]Consulta!$C$29="",A933=[1]Consulta!$C$29),OR([1]Consulta!$E$29="",B933=[1]Consulta!$E$29),OR([1]Consulta!$G$29="",D933=[1]Consulta!$G$29,R933=[1]Consulta!$G$29)),ROW()-1,""))</f>
        <v/>
      </c>
    </row>
    <row r="934" spans="1:42" ht="1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 t="str">
        <f t="shared" si="126"/>
        <v/>
      </c>
      <c r="AG934" s="7" t="str">
        <f t="shared" si="134"/>
        <v/>
      </c>
      <c r="AH934" s="7" t="str">
        <f t="shared" si="127"/>
        <v/>
      </c>
      <c r="AI934" s="7" t="str">
        <f t="shared" si="128"/>
        <v/>
      </c>
      <c r="AJ934" s="7" t="str">
        <f t="shared" si="129"/>
        <v/>
      </c>
      <c r="AK934" s="7" t="str">
        <f t="shared" si="130"/>
        <v/>
      </c>
      <c r="AL934" s="7" t="str">
        <f t="shared" si="131"/>
        <v/>
      </c>
      <c r="AM934" s="7" t="str">
        <f t="shared" si="132"/>
        <v/>
      </c>
      <c r="AN934" s="8" t="str">
        <f>IF(C934="","",COUNTIF($C$2:C934,C934))</f>
        <v/>
      </c>
      <c r="AO934" s="8" t="str">
        <f t="shared" si="133"/>
        <v/>
      </c>
      <c r="AP934" s="8" t="str">
        <f>IF(C934="","",IF(AND(OR([1]Consulta!$C$29="",A934=[1]Consulta!$C$29),OR([1]Consulta!$E$29="",B934=[1]Consulta!$E$29),OR([1]Consulta!$G$29="",D934=[1]Consulta!$G$29,R934=[1]Consulta!$G$29)),ROW()-1,""))</f>
        <v/>
      </c>
    </row>
    <row r="935" spans="1:42" ht="1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 t="str">
        <f t="shared" si="126"/>
        <v/>
      </c>
      <c r="AG935" s="7" t="str">
        <f t="shared" si="134"/>
        <v/>
      </c>
      <c r="AH935" s="7" t="str">
        <f t="shared" si="127"/>
        <v/>
      </c>
      <c r="AI935" s="7" t="str">
        <f t="shared" si="128"/>
        <v/>
      </c>
      <c r="AJ935" s="7" t="str">
        <f t="shared" si="129"/>
        <v/>
      </c>
      <c r="AK935" s="7" t="str">
        <f t="shared" si="130"/>
        <v/>
      </c>
      <c r="AL935" s="7" t="str">
        <f t="shared" si="131"/>
        <v/>
      </c>
      <c r="AM935" s="7" t="str">
        <f t="shared" si="132"/>
        <v/>
      </c>
      <c r="AN935" s="8" t="str">
        <f>IF(C935="","",COUNTIF($C$2:C935,C935))</f>
        <v/>
      </c>
      <c r="AO935" s="8" t="str">
        <f t="shared" si="133"/>
        <v/>
      </c>
      <c r="AP935" s="8" t="str">
        <f>IF(C935="","",IF(AND(OR([1]Consulta!$C$29="",A935=[1]Consulta!$C$29),OR([1]Consulta!$E$29="",B935=[1]Consulta!$E$29),OR([1]Consulta!$G$29="",D935=[1]Consulta!$G$29,R935=[1]Consulta!$G$29)),ROW()-1,""))</f>
        <v/>
      </c>
    </row>
    <row r="936" spans="1:42" ht="1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 t="str">
        <f t="shared" si="126"/>
        <v/>
      </c>
      <c r="AG936" s="7" t="str">
        <f t="shared" si="134"/>
        <v/>
      </c>
      <c r="AH936" s="7" t="str">
        <f t="shared" si="127"/>
        <v/>
      </c>
      <c r="AI936" s="7" t="str">
        <f t="shared" si="128"/>
        <v/>
      </c>
      <c r="AJ936" s="7" t="str">
        <f t="shared" si="129"/>
        <v/>
      </c>
      <c r="AK936" s="7" t="str">
        <f t="shared" si="130"/>
        <v/>
      </c>
      <c r="AL936" s="7" t="str">
        <f t="shared" si="131"/>
        <v/>
      </c>
      <c r="AM936" s="7" t="str">
        <f t="shared" si="132"/>
        <v/>
      </c>
      <c r="AN936" s="8" t="str">
        <f>IF(C936="","",COUNTIF($C$2:C936,C936))</f>
        <v/>
      </c>
      <c r="AO936" s="8" t="str">
        <f t="shared" si="133"/>
        <v/>
      </c>
      <c r="AP936" s="8" t="str">
        <f>IF(C936="","",IF(AND(OR([1]Consulta!$C$29="",A936=[1]Consulta!$C$29),OR([1]Consulta!$E$29="",B936=[1]Consulta!$E$29),OR([1]Consulta!$G$29="",D936=[1]Consulta!$G$29,R936=[1]Consulta!$G$29)),ROW()-1,""))</f>
        <v/>
      </c>
    </row>
    <row r="937" spans="1:42" ht="1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 t="str">
        <f t="shared" si="126"/>
        <v/>
      </c>
      <c r="AG937" s="7" t="str">
        <f t="shared" si="134"/>
        <v/>
      </c>
      <c r="AH937" s="7" t="str">
        <f t="shared" si="127"/>
        <v/>
      </c>
      <c r="AI937" s="7" t="str">
        <f t="shared" si="128"/>
        <v/>
      </c>
      <c r="AJ937" s="7" t="str">
        <f t="shared" si="129"/>
        <v/>
      </c>
      <c r="AK937" s="7" t="str">
        <f t="shared" si="130"/>
        <v/>
      </c>
      <c r="AL937" s="7" t="str">
        <f t="shared" si="131"/>
        <v/>
      </c>
      <c r="AM937" s="7" t="str">
        <f t="shared" si="132"/>
        <v/>
      </c>
      <c r="AN937" s="8" t="str">
        <f>IF(C937="","",COUNTIF($C$2:C937,C937))</f>
        <v/>
      </c>
      <c r="AO937" s="8" t="str">
        <f t="shared" si="133"/>
        <v/>
      </c>
      <c r="AP937" s="8" t="str">
        <f>IF(C937="","",IF(AND(OR([1]Consulta!$C$29="",A937=[1]Consulta!$C$29),OR([1]Consulta!$E$29="",B937=[1]Consulta!$E$29),OR([1]Consulta!$G$29="",D937=[1]Consulta!$G$29,R937=[1]Consulta!$G$29)),ROW()-1,""))</f>
        <v/>
      </c>
    </row>
    <row r="938" spans="1:42" ht="1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 t="str">
        <f t="shared" si="126"/>
        <v/>
      </c>
      <c r="AG938" s="7" t="str">
        <f t="shared" si="134"/>
        <v/>
      </c>
      <c r="AH938" s="7" t="str">
        <f t="shared" si="127"/>
        <v/>
      </c>
      <c r="AI938" s="7" t="str">
        <f t="shared" si="128"/>
        <v/>
      </c>
      <c r="AJ938" s="7" t="str">
        <f t="shared" si="129"/>
        <v/>
      </c>
      <c r="AK938" s="7" t="str">
        <f t="shared" si="130"/>
        <v/>
      </c>
      <c r="AL938" s="7" t="str">
        <f t="shared" si="131"/>
        <v/>
      </c>
      <c r="AM938" s="7" t="str">
        <f t="shared" si="132"/>
        <v/>
      </c>
      <c r="AN938" s="8" t="str">
        <f>IF(C938="","",COUNTIF($C$2:C938,C938))</f>
        <v/>
      </c>
      <c r="AO938" s="8" t="str">
        <f t="shared" si="133"/>
        <v/>
      </c>
      <c r="AP938" s="8" t="str">
        <f>IF(C938="","",IF(AND(OR([1]Consulta!$C$29="",A938=[1]Consulta!$C$29),OR([1]Consulta!$E$29="",B938=[1]Consulta!$E$29),OR([1]Consulta!$G$29="",D938=[1]Consulta!$G$29,R938=[1]Consulta!$G$29)),ROW()-1,""))</f>
        <v/>
      </c>
    </row>
    <row r="939" spans="1:42" ht="1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 t="str">
        <f t="shared" si="126"/>
        <v/>
      </c>
      <c r="AG939" s="7" t="str">
        <f t="shared" si="134"/>
        <v/>
      </c>
      <c r="AH939" s="7" t="str">
        <f t="shared" si="127"/>
        <v/>
      </c>
      <c r="AI939" s="7" t="str">
        <f t="shared" si="128"/>
        <v/>
      </c>
      <c r="AJ939" s="7" t="str">
        <f t="shared" si="129"/>
        <v/>
      </c>
      <c r="AK939" s="7" t="str">
        <f t="shared" si="130"/>
        <v/>
      </c>
      <c r="AL939" s="7" t="str">
        <f t="shared" si="131"/>
        <v/>
      </c>
      <c r="AM939" s="7" t="str">
        <f t="shared" si="132"/>
        <v/>
      </c>
      <c r="AN939" s="8" t="str">
        <f>IF(C939="","",COUNTIF($C$2:C939,C939))</f>
        <v/>
      </c>
      <c r="AO939" s="8" t="str">
        <f t="shared" si="133"/>
        <v/>
      </c>
      <c r="AP939" s="8" t="str">
        <f>IF(C939="","",IF(AND(OR([1]Consulta!$C$29="",A939=[1]Consulta!$C$29),OR([1]Consulta!$E$29="",B939=[1]Consulta!$E$29),OR([1]Consulta!$G$29="",D939=[1]Consulta!$G$29,R939=[1]Consulta!$G$29)),ROW()-1,""))</f>
        <v/>
      </c>
    </row>
    <row r="940" spans="1:42" ht="1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 t="str">
        <f t="shared" si="126"/>
        <v/>
      </c>
      <c r="AG940" s="7" t="str">
        <f t="shared" si="134"/>
        <v/>
      </c>
      <c r="AH940" s="7" t="str">
        <f t="shared" si="127"/>
        <v/>
      </c>
      <c r="AI940" s="7" t="str">
        <f t="shared" si="128"/>
        <v/>
      </c>
      <c r="AJ940" s="7" t="str">
        <f t="shared" si="129"/>
        <v/>
      </c>
      <c r="AK940" s="7" t="str">
        <f t="shared" si="130"/>
        <v/>
      </c>
      <c r="AL940" s="7" t="str">
        <f t="shared" si="131"/>
        <v/>
      </c>
      <c r="AM940" s="7" t="str">
        <f t="shared" si="132"/>
        <v/>
      </c>
      <c r="AN940" s="8" t="str">
        <f>IF(C940="","",COUNTIF($C$2:C940,C940))</f>
        <v/>
      </c>
      <c r="AO940" s="8" t="str">
        <f t="shared" si="133"/>
        <v/>
      </c>
      <c r="AP940" s="8" t="str">
        <f>IF(C940="","",IF(AND(OR([1]Consulta!$C$29="",A940=[1]Consulta!$C$29),OR([1]Consulta!$E$29="",B940=[1]Consulta!$E$29),OR([1]Consulta!$G$29="",D940=[1]Consulta!$G$29,R940=[1]Consulta!$G$29)),ROW()-1,""))</f>
        <v/>
      </c>
    </row>
    <row r="941" spans="1:42" ht="1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 t="str">
        <f t="shared" si="126"/>
        <v/>
      </c>
      <c r="AG941" s="7" t="str">
        <f t="shared" si="134"/>
        <v/>
      </c>
      <c r="AH941" s="7" t="str">
        <f t="shared" si="127"/>
        <v/>
      </c>
      <c r="AI941" s="7" t="str">
        <f t="shared" si="128"/>
        <v/>
      </c>
      <c r="AJ941" s="7" t="str">
        <f t="shared" si="129"/>
        <v/>
      </c>
      <c r="AK941" s="7" t="str">
        <f t="shared" si="130"/>
        <v/>
      </c>
      <c r="AL941" s="7" t="str">
        <f t="shared" si="131"/>
        <v/>
      </c>
      <c r="AM941" s="7" t="str">
        <f t="shared" si="132"/>
        <v/>
      </c>
      <c r="AN941" s="8" t="str">
        <f>IF(C941="","",COUNTIF($C$2:C941,C941))</f>
        <v/>
      </c>
      <c r="AO941" s="8" t="str">
        <f t="shared" si="133"/>
        <v/>
      </c>
      <c r="AP941" s="8" t="str">
        <f>IF(C941="","",IF(AND(OR([1]Consulta!$C$29="",A941=[1]Consulta!$C$29),OR([1]Consulta!$E$29="",B941=[1]Consulta!$E$29),OR([1]Consulta!$G$29="",D941=[1]Consulta!$G$29,R941=[1]Consulta!$G$29)),ROW()-1,""))</f>
        <v/>
      </c>
    </row>
    <row r="942" spans="1:42" ht="1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 t="str">
        <f t="shared" si="126"/>
        <v/>
      </c>
      <c r="AG942" s="7" t="str">
        <f t="shared" si="134"/>
        <v/>
      </c>
      <c r="AH942" s="7" t="str">
        <f t="shared" si="127"/>
        <v/>
      </c>
      <c r="AI942" s="7" t="str">
        <f t="shared" si="128"/>
        <v/>
      </c>
      <c r="AJ942" s="7" t="str">
        <f t="shared" si="129"/>
        <v/>
      </c>
      <c r="AK942" s="7" t="str">
        <f t="shared" si="130"/>
        <v/>
      </c>
      <c r="AL942" s="7" t="str">
        <f t="shared" si="131"/>
        <v/>
      </c>
      <c r="AM942" s="7" t="str">
        <f t="shared" si="132"/>
        <v/>
      </c>
      <c r="AN942" s="8" t="str">
        <f>IF(C942="","",COUNTIF($C$2:C942,C942))</f>
        <v/>
      </c>
      <c r="AO942" s="8" t="str">
        <f t="shared" si="133"/>
        <v/>
      </c>
      <c r="AP942" s="8" t="str">
        <f>IF(C942="","",IF(AND(OR([1]Consulta!$C$29="",A942=[1]Consulta!$C$29),OR([1]Consulta!$E$29="",B942=[1]Consulta!$E$29),OR([1]Consulta!$G$29="",D942=[1]Consulta!$G$29,R942=[1]Consulta!$G$29)),ROW()-1,""))</f>
        <v/>
      </c>
    </row>
    <row r="943" spans="1:42" ht="1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 t="str">
        <f t="shared" si="126"/>
        <v/>
      </c>
      <c r="AG943" s="7" t="str">
        <f t="shared" si="134"/>
        <v/>
      </c>
      <c r="AH943" s="7" t="str">
        <f t="shared" si="127"/>
        <v/>
      </c>
      <c r="AI943" s="7" t="str">
        <f t="shared" si="128"/>
        <v/>
      </c>
      <c r="AJ943" s="7" t="str">
        <f t="shared" si="129"/>
        <v/>
      </c>
      <c r="AK943" s="7" t="str">
        <f t="shared" si="130"/>
        <v/>
      </c>
      <c r="AL943" s="7" t="str">
        <f t="shared" si="131"/>
        <v/>
      </c>
      <c r="AM943" s="7" t="str">
        <f t="shared" si="132"/>
        <v/>
      </c>
      <c r="AN943" s="8" t="str">
        <f>IF(C943="","",COUNTIF($C$2:C943,C943))</f>
        <v/>
      </c>
      <c r="AO943" s="8" t="str">
        <f t="shared" si="133"/>
        <v/>
      </c>
      <c r="AP943" s="8" t="str">
        <f>IF(C943="","",IF(AND(OR([1]Consulta!$C$29="",A943=[1]Consulta!$C$29),OR([1]Consulta!$E$29="",B943=[1]Consulta!$E$29),OR([1]Consulta!$G$29="",D943=[1]Consulta!$G$29,R943=[1]Consulta!$G$29)),ROW()-1,""))</f>
        <v/>
      </c>
    </row>
    <row r="944" spans="1:42" ht="1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 t="str">
        <f t="shared" si="126"/>
        <v/>
      </c>
      <c r="AG944" s="7" t="str">
        <f t="shared" si="134"/>
        <v/>
      </c>
      <c r="AH944" s="7" t="str">
        <f t="shared" si="127"/>
        <v/>
      </c>
      <c r="AI944" s="7" t="str">
        <f t="shared" si="128"/>
        <v/>
      </c>
      <c r="AJ944" s="7" t="str">
        <f t="shared" si="129"/>
        <v/>
      </c>
      <c r="AK944" s="7" t="str">
        <f t="shared" si="130"/>
        <v/>
      </c>
      <c r="AL944" s="7" t="str">
        <f t="shared" si="131"/>
        <v/>
      </c>
      <c r="AM944" s="7" t="str">
        <f t="shared" si="132"/>
        <v/>
      </c>
      <c r="AN944" s="8" t="str">
        <f>IF(C944="","",COUNTIF($C$2:C944,C944))</f>
        <v/>
      </c>
      <c r="AO944" s="8" t="str">
        <f t="shared" si="133"/>
        <v/>
      </c>
      <c r="AP944" s="8" t="str">
        <f>IF(C944="","",IF(AND(OR([1]Consulta!$C$29="",A944=[1]Consulta!$C$29),OR([1]Consulta!$E$29="",B944=[1]Consulta!$E$29),OR([1]Consulta!$G$29="",D944=[1]Consulta!$G$29,R944=[1]Consulta!$G$29)),ROW()-1,""))</f>
        <v/>
      </c>
    </row>
    <row r="945" spans="1:42" ht="15" customHeight="1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 t="str">
        <f t="shared" si="126"/>
        <v/>
      </c>
      <c r="AG945" s="7" t="str">
        <f t="shared" si="134"/>
        <v/>
      </c>
      <c r="AH945" s="7" t="str">
        <f t="shared" si="127"/>
        <v/>
      </c>
      <c r="AI945" s="7" t="str">
        <f t="shared" si="128"/>
        <v/>
      </c>
      <c r="AJ945" s="7" t="str">
        <f t="shared" si="129"/>
        <v/>
      </c>
      <c r="AK945" s="7" t="str">
        <f t="shared" si="130"/>
        <v/>
      </c>
      <c r="AL945" s="7" t="str">
        <f t="shared" si="131"/>
        <v/>
      </c>
      <c r="AM945" s="7" t="str">
        <f t="shared" si="132"/>
        <v/>
      </c>
      <c r="AN945" s="8" t="str">
        <f>IF(C945="","",COUNTIF($C$2:C945,C945))</f>
        <v/>
      </c>
      <c r="AO945" s="8" t="str">
        <f t="shared" si="133"/>
        <v/>
      </c>
      <c r="AP945" s="8" t="str">
        <f>IF(C945="","",IF(AND(OR([1]Consulta!$C$29="",A945=[1]Consulta!$C$29),OR([1]Consulta!$E$29="",B945=[1]Consulta!$E$29),OR([1]Consulta!$G$29="",D945=[1]Consulta!$G$29,R945=[1]Consulta!$G$29)),ROW()-1,""))</f>
        <v/>
      </c>
    </row>
    <row r="946" spans="1:42" ht="15" customHeight="1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 t="str">
        <f t="shared" si="126"/>
        <v/>
      </c>
      <c r="AG946" s="7" t="str">
        <f t="shared" si="134"/>
        <v/>
      </c>
      <c r="AH946" s="7" t="str">
        <f t="shared" si="127"/>
        <v/>
      </c>
      <c r="AI946" s="7" t="str">
        <f t="shared" si="128"/>
        <v/>
      </c>
      <c r="AJ946" s="7" t="str">
        <f t="shared" si="129"/>
        <v/>
      </c>
      <c r="AK946" s="7" t="str">
        <f t="shared" si="130"/>
        <v/>
      </c>
      <c r="AL946" s="7" t="str">
        <f t="shared" si="131"/>
        <v/>
      </c>
      <c r="AM946" s="7" t="str">
        <f t="shared" si="132"/>
        <v/>
      </c>
      <c r="AN946" s="8" t="str">
        <f>IF(C946="","",COUNTIF($C$2:C946,C946))</f>
        <v/>
      </c>
      <c r="AO946" s="8" t="str">
        <f t="shared" si="133"/>
        <v/>
      </c>
      <c r="AP946" s="8" t="str">
        <f>IF(C946="","",IF(AND(OR([1]Consulta!$C$29="",A946=[1]Consulta!$C$29),OR([1]Consulta!$E$29="",B946=[1]Consulta!$E$29),OR([1]Consulta!$G$29="",D946=[1]Consulta!$G$29,R946=[1]Consulta!$G$29)),ROW()-1,""))</f>
        <v/>
      </c>
    </row>
    <row r="947" spans="1:42" ht="15" customHeight="1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 t="str">
        <f t="shared" si="126"/>
        <v/>
      </c>
      <c r="AG947" s="7" t="str">
        <f t="shared" si="134"/>
        <v/>
      </c>
      <c r="AH947" s="7" t="str">
        <f t="shared" si="127"/>
        <v/>
      </c>
      <c r="AI947" s="7" t="str">
        <f t="shared" si="128"/>
        <v/>
      </c>
      <c r="AJ947" s="7" t="str">
        <f t="shared" si="129"/>
        <v/>
      </c>
      <c r="AK947" s="7" t="str">
        <f t="shared" si="130"/>
        <v/>
      </c>
      <c r="AL947" s="7" t="str">
        <f t="shared" si="131"/>
        <v/>
      </c>
      <c r="AM947" s="7" t="str">
        <f t="shared" si="132"/>
        <v/>
      </c>
      <c r="AN947" s="8" t="str">
        <f>IF(C947="","",COUNTIF($C$2:C947,C947))</f>
        <v/>
      </c>
      <c r="AO947" s="8" t="str">
        <f t="shared" si="133"/>
        <v/>
      </c>
      <c r="AP947" s="8" t="str">
        <f>IF(C947="","",IF(AND(OR([1]Consulta!$C$29="",A947=[1]Consulta!$C$29),OR([1]Consulta!$E$29="",B947=[1]Consulta!$E$29),OR([1]Consulta!$G$29="",D947=[1]Consulta!$G$29,R947=[1]Consulta!$G$29)),ROW()-1,""))</f>
        <v/>
      </c>
    </row>
    <row r="948" spans="1:42" ht="15" customHeight="1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 t="str">
        <f t="shared" si="126"/>
        <v/>
      </c>
      <c r="AG948" s="7" t="str">
        <f t="shared" si="134"/>
        <v/>
      </c>
      <c r="AH948" s="7" t="str">
        <f t="shared" si="127"/>
        <v/>
      </c>
      <c r="AI948" s="7" t="str">
        <f t="shared" si="128"/>
        <v/>
      </c>
      <c r="AJ948" s="7" t="str">
        <f t="shared" si="129"/>
        <v/>
      </c>
      <c r="AK948" s="7" t="str">
        <f t="shared" si="130"/>
        <v/>
      </c>
      <c r="AL948" s="7" t="str">
        <f t="shared" si="131"/>
        <v/>
      </c>
      <c r="AM948" s="7" t="str">
        <f t="shared" si="132"/>
        <v/>
      </c>
      <c r="AN948" s="8" t="str">
        <f>IF(C948="","",COUNTIF($C$2:C948,C948))</f>
        <v/>
      </c>
      <c r="AO948" s="8" t="str">
        <f t="shared" si="133"/>
        <v/>
      </c>
      <c r="AP948" s="8" t="str">
        <f>IF(C948="","",IF(AND(OR([1]Consulta!$C$29="",A948=[1]Consulta!$C$29),OR([1]Consulta!$E$29="",B948=[1]Consulta!$E$29),OR([1]Consulta!$G$29="",D948=[1]Consulta!$G$29,R948=[1]Consulta!$G$29)),ROW()-1,""))</f>
        <v/>
      </c>
    </row>
    <row r="949" spans="1:42" ht="15" customHeight="1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 t="str">
        <f t="shared" si="126"/>
        <v/>
      </c>
      <c r="AG949" s="7" t="str">
        <f t="shared" si="134"/>
        <v/>
      </c>
      <c r="AH949" s="7" t="str">
        <f t="shared" si="127"/>
        <v/>
      </c>
      <c r="AI949" s="7" t="str">
        <f t="shared" si="128"/>
        <v/>
      </c>
      <c r="AJ949" s="7" t="str">
        <f t="shared" si="129"/>
        <v/>
      </c>
      <c r="AK949" s="7" t="str">
        <f t="shared" si="130"/>
        <v/>
      </c>
      <c r="AL949" s="7" t="str">
        <f t="shared" si="131"/>
        <v/>
      </c>
      <c r="AM949" s="7" t="str">
        <f t="shared" si="132"/>
        <v/>
      </c>
      <c r="AN949" s="8" t="str">
        <f>IF(C949="","",COUNTIF($C$2:C949,C949))</f>
        <v/>
      </c>
      <c r="AO949" s="8" t="str">
        <f t="shared" si="133"/>
        <v/>
      </c>
      <c r="AP949" s="8" t="str">
        <f>IF(C949="","",IF(AND(OR([1]Consulta!$C$29="",A949=[1]Consulta!$C$29),OR([1]Consulta!$E$29="",B949=[1]Consulta!$E$29),OR([1]Consulta!$G$29="",D949=[1]Consulta!$G$29,R949=[1]Consulta!$G$29)),ROW()-1,""))</f>
        <v/>
      </c>
    </row>
    <row r="950" spans="1:42" ht="15" customHeight="1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 t="str">
        <f t="shared" si="126"/>
        <v/>
      </c>
      <c r="AG950" s="7" t="str">
        <f t="shared" si="134"/>
        <v/>
      </c>
      <c r="AH950" s="7" t="str">
        <f t="shared" si="127"/>
        <v/>
      </c>
      <c r="AI950" s="7" t="str">
        <f t="shared" si="128"/>
        <v/>
      </c>
      <c r="AJ950" s="7" t="str">
        <f t="shared" si="129"/>
        <v/>
      </c>
      <c r="AK950" s="7" t="str">
        <f t="shared" si="130"/>
        <v/>
      </c>
      <c r="AL950" s="7" t="str">
        <f t="shared" si="131"/>
        <v/>
      </c>
      <c r="AM950" s="7" t="str">
        <f t="shared" si="132"/>
        <v/>
      </c>
      <c r="AN950" s="8" t="str">
        <f>IF(C950="","",COUNTIF($C$2:C950,C950))</f>
        <v/>
      </c>
      <c r="AO950" s="8" t="str">
        <f t="shared" si="133"/>
        <v/>
      </c>
      <c r="AP950" s="8" t="str">
        <f>IF(C950="","",IF(AND(OR([1]Consulta!$C$29="",A950=[1]Consulta!$C$29),OR([1]Consulta!$E$29="",B950=[1]Consulta!$E$29),OR([1]Consulta!$G$29="",D950=[1]Consulta!$G$29,R950=[1]Consulta!$G$29)),ROW()-1,""))</f>
        <v/>
      </c>
    </row>
    <row r="951" spans="1:42" ht="15" customHeight="1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 t="str">
        <f t="shared" si="126"/>
        <v/>
      </c>
      <c r="AG951" s="7" t="str">
        <f t="shared" si="134"/>
        <v/>
      </c>
      <c r="AH951" s="7" t="str">
        <f t="shared" si="127"/>
        <v/>
      </c>
      <c r="AI951" s="7" t="str">
        <f t="shared" si="128"/>
        <v/>
      </c>
      <c r="AJ951" s="7" t="str">
        <f t="shared" si="129"/>
        <v/>
      </c>
      <c r="AK951" s="7" t="str">
        <f t="shared" si="130"/>
        <v/>
      </c>
      <c r="AL951" s="7" t="str">
        <f t="shared" si="131"/>
        <v/>
      </c>
      <c r="AM951" s="7" t="str">
        <f t="shared" si="132"/>
        <v/>
      </c>
      <c r="AN951" s="8" t="str">
        <f>IF(C951="","",COUNTIF($C$2:C951,C951))</f>
        <v/>
      </c>
      <c r="AO951" s="8" t="str">
        <f t="shared" si="133"/>
        <v/>
      </c>
      <c r="AP951" s="8" t="str">
        <f>IF(C951="","",IF(AND(OR([1]Consulta!$C$29="",A951=[1]Consulta!$C$29),OR([1]Consulta!$E$29="",B951=[1]Consulta!$E$29),OR([1]Consulta!$G$29="",D951=[1]Consulta!$G$29,R951=[1]Consulta!$G$29)),ROW()-1,""))</f>
        <v/>
      </c>
    </row>
    <row r="952" spans="1:42" ht="15" customHeight="1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 t="str">
        <f t="shared" si="126"/>
        <v/>
      </c>
      <c r="AG952" s="7" t="str">
        <f t="shared" si="134"/>
        <v/>
      </c>
      <c r="AH952" s="7" t="str">
        <f t="shared" si="127"/>
        <v/>
      </c>
      <c r="AI952" s="7" t="str">
        <f t="shared" si="128"/>
        <v/>
      </c>
      <c r="AJ952" s="7" t="str">
        <f t="shared" si="129"/>
        <v/>
      </c>
      <c r="AK952" s="7" t="str">
        <f t="shared" si="130"/>
        <v/>
      </c>
      <c r="AL952" s="7" t="str">
        <f t="shared" si="131"/>
        <v/>
      </c>
      <c r="AM952" s="7" t="str">
        <f t="shared" si="132"/>
        <v/>
      </c>
      <c r="AN952" s="8" t="str">
        <f>IF(C952="","",COUNTIF($C$2:C952,C952))</f>
        <v/>
      </c>
      <c r="AO952" s="8" t="str">
        <f t="shared" si="133"/>
        <v/>
      </c>
      <c r="AP952" s="8" t="str">
        <f>IF(C952="","",IF(AND(OR([1]Consulta!$C$29="",A952=[1]Consulta!$C$29),OR([1]Consulta!$E$29="",B952=[1]Consulta!$E$29),OR([1]Consulta!$G$29="",D952=[1]Consulta!$G$29,R952=[1]Consulta!$G$29)),ROW()-1,""))</f>
        <v/>
      </c>
    </row>
    <row r="953" spans="1:42" ht="15" customHeight="1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 t="str">
        <f t="shared" si="126"/>
        <v/>
      </c>
      <c r="AG953" s="7" t="str">
        <f t="shared" si="134"/>
        <v/>
      </c>
      <c r="AH953" s="7" t="str">
        <f t="shared" si="127"/>
        <v/>
      </c>
      <c r="AI953" s="7" t="str">
        <f t="shared" si="128"/>
        <v/>
      </c>
      <c r="AJ953" s="7" t="str">
        <f t="shared" si="129"/>
        <v/>
      </c>
      <c r="AK953" s="7" t="str">
        <f t="shared" si="130"/>
        <v/>
      </c>
      <c r="AL953" s="7" t="str">
        <f t="shared" si="131"/>
        <v/>
      </c>
      <c r="AM953" s="7" t="str">
        <f t="shared" si="132"/>
        <v/>
      </c>
      <c r="AN953" s="8" t="str">
        <f>IF(C953="","",COUNTIF($C$2:C953,C953))</f>
        <v/>
      </c>
      <c r="AO953" s="8" t="str">
        <f t="shared" si="133"/>
        <v/>
      </c>
      <c r="AP953" s="8" t="str">
        <f>IF(C953="","",IF(AND(OR([1]Consulta!$C$29="",A953=[1]Consulta!$C$29),OR([1]Consulta!$E$29="",B953=[1]Consulta!$E$29),OR([1]Consulta!$G$29="",D953=[1]Consulta!$G$29,R953=[1]Consulta!$G$29)),ROW()-1,""))</f>
        <v/>
      </c>
    </row>
    <row r="954" spans="1:42" ht="15" customHeight="1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 t="str">
        <f t="shared" si="126"/>
        <v/>
      </c>
      <c r="AG954" s="7" t="str">
        <f t="shared" si="134"/>
        <v/>
      </c>
      <c r="AH954" s="7" t="str">
        <f t="shared" si="127"/>
        <v/>
      </c>
      <c r="AI954" s="7" t="str">
        <f t="shared" si="128"/>
        <v/>
      </c>
      <c r="AJ954" s="7" t="str">
        <f t="shared" si="129"/>
        <v/>
      </c>
      <c r="AK954" s="7" t="str">
        <f t="shared" si="130"/>
        <v/>
      </c>
      <c r="AL954" s="7" t="str">
        <f t="shared" si="131"/>
        <v/>
      </c>
      <c r="AM954" s="7" t="str">
        <f t="shared" si="132"/>
        <v/>
      </c>
      <c r="AN954" s="8" t="str">
        <f>IF(C954="","",COUNTIF($C$2:C954,C954))</f>
        <v/>
      </c>
      <c r="AO954" s="8" t="str">
        <f t="shared" si="133"/>
        <v/>
      </c>
      <c r="AP954" s="8" t="str">
        <f>IF(C954="","",IF(AND(OR([1]Consulta!$C$29="",A954=[1]Consulta!$C$29),OR([1]Consulta!$E$29="",B954=[1]Consulta!$E$29),OR([1]Consulta!$G$29="",D954=[1]Consulta!$G$29,R954=[1]Consulta!$G$29)),ROW()-1,""))</f>
        <v/>
      </c>
    </row>
    <row r="955" spans="1:42" ht="15" customHeight="1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 t="str">
        <f t="shared" si="126"/>
        <v/>
      </c>
      <c r="AG955" s="7" t="str">
        <f t="shared" si="134"/>
        <v/>
      </c>
      <c r="AH955" s="7" t="str">
        <f t="shared" si="127"/>
        <v/>
      </c>
      <c r="AI955" s="7" t="str">
        <f t="shared" si="128"/>
        <v/>
      </c>
      <c r="AJ955" s="7" t="str">
        <f t="shared" si="129"/>
        <v/>
      </c>
      <c r="AK955" s="7" t="str">
        <f t="shared" si="130"/>
        <v/>
      </c>
      <c r="AL955" s="7" t="str">
        <f t="shared" si="131"/>
        <v/>
      </c>
      <c r="AM955" s="7" t="str">
        <f t="shared" si="132"/>
        <v/>
      </c>
      <c r="AN955" s="8" t="str">
        <f>IF(C955="","",COUNTIF($C$2:C955,C955))</f>
        <v/>
      </c>
      <c r="AO955" s="8" t="str">
        <f t="shared" si="133"/>
        <v/>
      </c>
      <c r="AP955" s="8" t="str">
        <f>IF(C955="","",IF(AND(OR([1]Consulta!$C$29="",A955=[1]Consulta!$C$29),OR([1]Consulta!$E$29="",B955=[1]Consulta!$E$29),OR([1]Consulta!$G$29="",D955=[1]Consulta!$G$29,R955=[1]Consulta!$G$29)),ROW()-1,""))</f>
        <v/>
      </c>
    </row>
    <row r="956" spans="1:42" ht="15" customHeight="1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 t="str">
        <f t="shared" si="126"/>
        <v/>
      </c>
      <c r="AG956" s="7" t="str">
        <f t="shared" si="134"/>
        <v/>
      </c>
      <c r="AH956" s="7" t="str">
        <f t="shared" si="127"/>
        <v/>
      </c>
      <c r="AI956" s="7" t="str">
        <f t="shared" si="128"/>
        <v/>
      </c>
      <c r="AJ956" s="7" t="str">
        <f t="shared" si="129"/>
        <v/>
      </c>
      <c r="AK956" s="7" t="str">
        <f t="shared" si="130"/>
        <v/>
      </c>
      <c r="AL956" s="7" t="str">
        <f t="shared" si="131"/>
        <v/>
      </c>
      <c r="AM956" s="7" t="str">
        <f t="shared" si="132"/>
        <v/>
      </c>
      <c r="AN956" s="8" t="str">
        <f>IF(C956="","",COUNTIF($C$2:C956,C956))</f>
        <v/>
      </c>
      <c r="AO956" s="8" t="str">
        <f t="shared" si="133"/>
        <v/>
      </c>
      <c r="AP956" s="8" t="str">
        <f>IF(C956="","",IF(AND(OR([1]Consulta!$C$29="",A956=[1]Consulta!$C$29),OR([1]Consulta!$E$29="",B956=[1]Consulta!$E$29),OR([1]Consulta!$G$29="",D956=[1]Consulta!$G$29,R956=[1]Consulta!$G$29)),ROW()-1,""))</f>
        <v/>
      </c>
    </row>
    <row r="957" spans="1:42" ht="15" customHeight="1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 t="str">
        <f t="shared" si="126"/>
        <v/>
      </c>
      <c r="AG957" s="7" t="str">
        <f t="shared" si="134"/>
        <v/>
      </c>
      <c r="AH957" s="7" t="str">
        <f t="shared" si="127"/>
        <v/>
      </c>
      <c r="AI957" s="7" t="str">
        <f t="shared" si="128"/>
        <v/>
      </c>
      <c r="AJ957" s="7" t="str">
        <f t="shared" si="129"/>
        <v/>
      </c>
      <c r="AK957" s="7" t="str">
        <f t="shared" si="130"/>
        <v/>
      </c>
      <c r="AL957" s="7" t="str">
        <f t="shared" si="131"/>
        <v/>
      </c>
      <c r="AM957" s="7" t="str">
        <f t="shared" si="132"/>
        <v/>
      </c>
      <c r="AN957" s="8" t="str">
        <f>IF(C957="","",COUNTIF($C$2:C957,C957))</f>
        <v/>
      </c>
      <c r="AO957" s="8" t="str">
        <f t="shared" si="133"/>
        <v/>
      </c>
      <c r="AP957" s="8" t="str">
        <f>IF(C957="","",IF(AND(OR([1]Consulta!$C$29="",A957=[1]Consulta!$C$29),OR([1]Consulta!$E$29="",B957=[1]Consulta!$E$29),OR([1]Consulta!$G$29="",D957=[1]Consulta!$G$29,R957=[1]Consulta!$G$29)),ROW()-1,""))</f>
        <v/>
      </c>
    </row>
    <row r="958" spans="1:42" ht="15" customHeight="1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 t="str">
        <f t="shared" si="126"/>
        <v/>
      </c>
      <c r="AG958" s="7" t="str">
        <f t="shared" si="134"/>
        <v/>
      </c>
      <c r="AH958" s="7" t="str">
        <f t="shared" si="127"/>
        <v/>
      </c>
      <c r="AI958" s="7" t="str">
        <f t="shared" si="128"/>
        <v/>
      </c>
      <c r="AJ958" s="7" t="str">
        <f t="shared" si="129"/>
        <v/>
      </c>
      <c r="AK958" s="7" t="str">
        <f t="shared" si="130"/>
        <v/>
      </c>
      <c r="AL958" s="7" t="str">
        <f t="shared" si="131"/>
        <v/>
      </c>
      <c r="AM958" s="7" t="str">
        <f t="shared" si="132"/>
        <v/>
      </c>
      <c r="AN958" s="8" t="str">
        <f>IF(C958="","",COUNTIF($C$2:C958,C958))</f>
        <v/>
      </c>
      <c r="AO958" s="8" t="str">
        <f t="shared" si="133"/>
        <v/>
      </c>
      <c r="AP958" s="8" t="str">
        <f>IF(C958="","",IF(AND(OR([1]Consulta!$C$29="",A958=[1]Consulta!$C$29),OR([1]Consulta!$E$29="",B958=[1]Consulta!$E$29),OR([1]Consulta!$G$29="",D958=[1]Consulta!$G$29,R958=[1]Consulta!$G$29)),ROW()-1,""))</f>
        <v/>
      </c>
    </row>
    <row r="959" spans="1:42" ht="15" customHeight="1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 t="str">
        <f t="shared" si="126"/>
        <v/>
      </c>
      <c r="AG959" s="7" t="str">
        <f t="shared" si="134"/>
        <v/>
      </c>
      <c r="AH959" s="7" t="str">
        <f t="shared" si="127"/>
        <v/>
      </c>
      <c r="AI959" s="7" t="str">
        <f t="shared" si="128"/>
        <v/>
      </c>
      <c r="AJ959" s="7" t="str">
        <f t="shared" si="129"/>
        <v/>
      </c>
      <c r="AK959" s="7" t="str">
        <f t="shared" si="130"/>
        <v/>
      </c>
      <c r="AL959" s="7" t="str">
        <f t="shared" si="131"/>
        <v/>
      </c>
      <c r="AM959" s="7" t="str">
        <f t="shared" si="132"/>
        <v/>
      </c>
      <c r="AN959" s="8" t="str">
        <f>IF(C959="","",COUNTIF($C$2:C959,C959))</f>
        <v/>
      </c>
      <c r="AO959" s="8" t="str">
        <f t="shared" si="133"/>
        <v/>
      </c>
      <c r="AP959" s="8" t="str">
        <f>IF(C959="","",IF(AND(OR([1]Consulta!$C$29="",A959=[1]Consulta!$C$29),OR([1]Consulta!$E$29="",B959=[1]Consulta!$E$29),OR([1]Consulta!$G$29="",D959=[1]Consulta!$G$29,R959=[1]Consulta!$G$29)),ROW()-1,""))</f>
        <v/>
      </c>
    </row>
    <row r="960" spans="1:42" ht="15" customHeight="1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 t="str">
        <f t="shared" si="126"/>
        <v/>
      </c>
      <c r="AG960" s="7" t="str">
        <f t="shared" si="134"/>
        <v/>
      </c>
      <c r="AH960" s="7" t="str">
        <f t="shared" si="127"/>
        <v/>
      </c>
      <c r="AI960" s="7" t="str">
        <f t="shared" si="128"/>
        <v/>
      </c>
      <c r="AJ960" s="7" t="str">
        <f t="shared" si="129"/>
        <v/>
      </c>
      <c r="AK960" s="7" t="str">
        <f t="shared" si="130"/>
        <v/>
      </c>
      <c r="AL960" s="7" t="str">
        <f t="shared" si="131"/>
        <v/>
      </c>
      <c r="AM960" s="7" t="str">
        <f t="shared" si="132"/>
        <v/>
      </c>
      <c r="AN960" s="8" t="str">
        <f>IF(C960="","",COUNTIF($C$2:C960,C960))</f>
        <v/>
      </c>
      <c r="AO960" s="8" t="str">
        <f t="shared" si="133"/>
        <v/>
      </c>
      <c r="AP960" s="8" t="str">
        <f>IF(C960="","",IF(AND(OR([1]Consulta!$C$29="",A960=[1]Consulta!$C$29),OR([1]Consulta!$E$29="",B960=[1]Consulta!$E$29),OR([1]Consulta!$G$29="",D960=[1]Consulta!$G$29,R960=[1]Consulta!$G$29)),ROW()-1,""))</f>
        <v/>
      </c>
    </row>
    <row r="961" spans="1:42" ht="15" customHeight="1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 t="str">
        <f t="shared" si="126"/>
        <v/>
      </c>
      <c r="AG961" s="7" t="str">
        <f t="shared" si="134"/>
        <v/>
      </c>
      <c r="AH961" s="7" t="str">
        <f t="shared" si="127"/>
        <v/>
      </c>
      <c r="AI961" s="7" t="str">
        <f t="shared" si="128"/>
        <v/>
      </c>
      <c r="AJ961" s="7" t="str">
        <f t="shared" si="129"/>
        <v/>
      </c>
      <c r="AK961" s="7" t="str">
        <f t="shared" si="130"/>
        <v/>
      </c>
      <c r="AL961" s="7" t="str">
        <f t="shared" si="131"/>
        <v/>
      </c>
      <c r="AM961" s="7" t="str">
        <f t="shared" si="132"/>
        <v/>
      </c>
      <c r="AN961" s="8" t="str">
        <f>IF(C961="","",COUNTIF($C$2:C961,C961))</f>
        <v/>
      </c>
      <c r="AO961" s="8" t="str">
        <f t="shared" si="133"/>
        <v/>
      </c>
      <c r="AP961" s="8" t="str">
        <f>IF(C961="","",IF(AND(OR([1]Consulta!$C$29="",A961=[1]Consulta!$C$29),OR([1]Consulta!$E$29="",B961=[1]Consulta!$E$29),OR([1]Consulta!$G$29="",D961=[1]Consulta!$G$29,R961=[1]Consulta!$G$29)),ROW()-1,""))</f>
        <v/>
      </c>
    </row>
    <row r="962" spans="1:42" ht="15" customHeight="1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 t="str">
        <f t="shared" ref="AF962:AF1025" si="135">IF(C962="","",IF(AND(ISNUMBER(K962),ISNUMBER(L962)),K962-L962,""))</f>
        <v/>
      </c>
      <c r="AG962" s="7" t="str">
        <f t="shared" si="134"/>
        <v/>
      </c>
      <c r="AH962" s="7" t="str">
        <f t="shared" ref="AH962:AH1025" si="136">IF(C962="","",IF(AND(ISNUMBER(Y962),ISNUMBER(Z962)),Y962-Z962,""))</f>
        <v/>
      </c>
      <c r="AI962" s="7" t="str">
        <f t="shared" ref="AI962:AI1025" si="137">IF(C962="","",IF(AH962="","N/A",IF(AH962&lt;0,"ALARMA","OK")))</f>
        <v/>
      </c>
      <c r="AJ962" s="7" t="str">
        <f t="shared" ref="AJ962:AJ1025" si="138">IF(C962="","",IF(ISNUMBER(M962),IF(M962&gt;0,"CON ERRORES","OK"),"N/A"))</f>
        <v/>
      </c>
      <c r="AK962" s="7" t="str">
        <f t="shared" ref="AK962:AK1025" si="139">IF(C962="","",IF(ISNUMBER(AA962),IF(AA962&gt;0,"CON ERRORES","OK"),"N/A"))</f>
        <v/>
      </c>
      <c r="AL962" s="7" t="str">
        <f t="shared" ref="AL962:AL1025" si="140">IF(C962="","",IF(OR(AG962="ALARMA",AI962="ALARMA",AJ962="CON ERRORES",AK962="CON ERRORES"),"REVISAR","OK"))</f>
        <v/>
      </c>
      <c r="AM962" s="7" t="str">
        <f t="shared" ref="AM962:AM1025" si="141">IF(C962="","",IF(ISNUMBER(Q962),Q962,IF(ISNUMBER(AE962),AE962,"Ver detalle")))</f>
        <v/>
      </c>
      <c r="AN962" s="8" t="str">
        <f>IF(C962="","",COUNTIF($C$2:C962,C962))</f>
        <v/>
      </c>
      <c r="AO962" s="8" t="str">
        <f t="shared" ref="AO962:AO1025" si="142">IF(C962="","",C962&amp;"|"&amp;AN962)</f>
        <v/>
      </c>
      <c r="AP962" s="8" t="str">
        <f>IF(C962="","",IF(AND(OR([1]Consulta!$C$29="",A962=[1]Consulta!$C$29),OR([1]Consulta!$E$29="",B962=[1]Consulta!$E$29),OR([1]Consulta!$G$29="",D962=[1]Consulta!$G$29,R962=[1]Consulta!$G$29)),ROW()-1,""))</f>
        <v/>
      </c>
    </row>
    <row r="963" spans="1:42" ht="15" customHeight="1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 t="str">
        <f t="shared" si="135"/>
        <v/>
      </c>
      <c r="AG963" s="7" t="str">
        <f t="shared" ref="AG963:AG1026" si="143">IF(C963="","",IF(AF963="","N/A",IF(AF963&lt;0,"ALARMA","OK")))</f>
        <v/>
      </c>
      <c r="AH963" s="7" t="str">
        <f t="shared" si="136"/>
        <v/>
      </c>
      <c r="AI963" s="7" t="str">
        <f t="shared" si="137"/>
        <v/>
      </c>
      <c r="AJ963" s="7" t="str">
        <f t="shared" si="138"/>
        <v/>
      </c>
      <c r="AK963" s="7" t="str">
        <f t="shared" si="139"/>
        <v/>
      </c>
      <c r="AL963" s="7" t="str">
        <f t="shared" si="140"/>
        <v/>
      </c>
      <c r="AM963" s="7" t="str">
        <f t="shared" si="141"/>
        <v/>
      </c>
      <c r="AN963" s="8" t="str">
        <f>IF(C963="","",COUNTIF($C$2:C963,C963))</f>
        <v/>
      </c>
      <c r="AO963" s="8" t="str">
        <f t="shared" si="142"/>
        <v/>
      </c>
      <c r="AP963" s="8" t="str">
        <f>IF(C963="","",IF(AND(OR([1]Consulta!$C$29="",A963=[1]Consulta!$C$29),OR([1]Consulta!$E$29="",B963=[1]Consulta!$E$29),OR([1]Consulta!$G$29="",D963=[1]Consulta!$G$29,R963=[1]Consulta!$G$29)),ROW()-1,""))</f>
        <v/>
      </c>
    </row>
    <row r="964" spans="1:42" ht="15" customHeight="1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 t="str">
        <f t="shared" si="135"/>
        <v/>
      </c>
      <c r="AG964" s="7" t="str">
        <f t="shared" si="143"/>
        <v/>
      </c>
      <c r="AH964" s="7" t="str">
        <f t="shared" si="136"/>
        <v/>
      </c>
      <c r="AI964" s="7" t="str">
        <f t="shared" si="137"/>
        <v/>
      </c>
      <c r="AJ964" s="7" t="str">
        <f t="shared" si="138"/>
        <v/>
      </c>
      <c r="AK964" s="7" t="str">
        <f t="shared" si="139"/>
        <v/>
      </c>
      <c r="AL964" s="7" t="str">
        <f t="shared" si="140"/>
        <v/>
      </c>
      <c r="AM964" s="7" t="str">
        <f t="shared" si="141"/>
        <v/>
      </c>
      <c r="AN964" s="8" t="str">
        <f>IF(C964="","",COUNTIF($C$2:C964,C964))</f>
        <v/>
      </c>
      <c r="AO964" s="8" t="str">
        <f t="shared" si="142"/>
        <v/>
      </c>
      <c r="AP964" s="8" t="str">
        <f>IF(C964="","",IF(AND(OR([1]Consulta!$C$29="",A964=[1]Consulta!$C$29),OR([1]Consulta!$E$29="",B964=[1]Consulta!$E$29),OR([1]Consulta!$G$29="",D964=[1]Consulta!$G$29,R964=[1]Consulta!$G$29)),ROW()-1,""))</f>
        <v/>
      </c>
    </row>
    <row r="965" spans="1:42" ht="15" customHeight="1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 t="str">
        <f t="shared" si="135"/>
        <v/>
      </c>
      <c r="AG965" s="7" t="str">
        <f t="shared" si="143"/>
        <v/>
      </c>
      <c r="AH965" s="7" t="str">
        <f t="shared" si="136"/>
        <v/>
      </c>
      <c r="AI965" s="7" t="str">
        <f t="shared" si="137"/>
        <v/>
      </c>
      <c r="AJ965" s="7" t="str">
        <f t="shared" si="138"/>
        <v/>
      </c>
      <c r="AK965" s="7" t="str">
        <f t="shared" si="139"/>
        <v/>
      </c>
      <c r="AL965" s="7" t="str">
        <f t="shared" si="140"/>
        <v/>
      </c>
      <c r="AM965" s="7" t="str">
        <f t="shared" si="141"/>
        <v/>
      </c>
      <c r="AN965" s="8" t="str">
        <f>IF(C965="","",COUNTIF($C$2:C965,C965))</f>
        <v/>
      </c>
      <c r="AO965" s="8" t="str">
        <f t="shared" si="142"/>
        <v/>
      </c>
      <c r="AP965" s="8" t="str">
        <f>IF(C965="","",IF(AND(OR([1]Consulta!$C$29="",A965=[1]Consulta!$C$29),OR([1]Consulta!$E$29="",B965=[1]Consulta!$E$29),OR([1]Consulta!$G$29="",D965=[1]Consulta!$G$29,R965=[1]Consulta!$G$29)),ROW()-1,""))</f>
        <v/>
      </c>
    </row>
    <row r="966" spans="1:42" ht="15" customHeight="1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 t="str">
        <f t="shared" si="135"/>
        <v/>
      </c>
      <c r="AG966" s="7" t="str">
        <f t="shared" si="143"/>
        <v/>
      </c>
      <c r="AH966" s="7" t="str">
        <f t="shared" si="136"/>
        <v/>
      </c>
      <c r="AI966" s="7" t="str">
        <f t="shared" si="137"/>
        <v/>
      </c>
      <c r="AJ966" s="7" t="str">
        <f t="shared" si="138"/>
        <v/>
      </c>
      <c r="AK966" s="7" t="str">
        <f t="shared" si="139"/>
        <v/>
      </c>
      <c r="AL966" s="7" t="str">
        <f t="shared" si="140"/>
        <v/>
      </c>
      <c r="AM966" s="7" t="str">
        <f t="shared" si="141"/>
        <v/>
      </c>
      <c r="AN966" s="8" t="str">
        <f>IF(C966="","",COUNTIF($C$2:C966,C966))</f>
        <v/>
      </c>
      <c r="AO966" s="8" t="str">
        <f t="shared" si="142"/>
        <v/>
      </c>
      <c r="AP966" s="8" t="str">
        <f>IF(C966="","",IF(AND(OR([1]Consulta!$C$29="",A966=[1]Consulta!$C$29),OR([1]Consulta!$E$29="",B966=[1]Consulta!$E$29),OR([1]Consulta!$G$29="",D966=[1]Consulta!$G$29,R966=[1]Consulta!$G$29)),ROW()-1,""))</f>
        <v/>
      </c>
    </row>
    <row r="967" spans="1:42" ht="15" customHeight="1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 t="str">
        <f t="shared" si="135"/>
        <v/>
      </c>
      <c r="AG967" s="7" t="str">
        <f t="shared" si="143"/>
        <v/>
      </c>
      <c r="AH967" s="7" t="str">
        <f t="shared" si="136"/>
        <v/>
      </c>
      <c r="AI967" s="7" t="str">
        <f t="shared" si="137"/>
        <v/>
      </c>
      <c r="AJ967" s="7" t="str">
        <f t="shared" si="138"/>
        <v/>
      </c>
      <c r="AK967" s="7" t="str">
        <f t="shared" si="139"/>
        <v/>
      </c>
      <c r="AL967" s="7" t="str">
        <f t="shared" si="140"/>
        <v/>
      </c>
      <c r="AM967" s="7" t="str">
        <f t="shared" si="141"/>
        <v/>
      </c>
      <c r="AN967" s="8" t="str">
        <f>IF(C967="","",COUNTIF($C$2:C967,C967))</f>
        <v/>
      </c>
      <c r="AO967" s="8" t="str">
        <f t="shared" si="142"/>
        <v/>
      </c>
      <c r="AP967" s="8" t="str">
        <f>IF(C967="","",IF(AND(OR([1]Consulta!$C$29="",A967=[1]Consulta!$C$29),OR([1]Consulta!$E$29="",B967=[1]Consulta!$E$29),OR([1]Consulta!$G$29="",D967=[1]Consulta!$G$29,R967=[1]Consulta!$G$29)),ROW()-1,""))</f>
        <v/>
      </c>
    </row>
    <row r="968" spans="1:42" ht="15" customHeight="1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 t="str">
        <f t="shared" si="135"/>
        <v/>
      </c>
      <c r="AG968" s="7" t="str">
        <f t="shared" si="143"/>
        <v/>
      </c>
      <c r="AH968" s="7" t="str">
        <f t="shared" si="136"/>
        <v/>
      </c>
      <c r="AI968" s="7" t="str">
        <f t="shared" si="137"/>
        <v/>
      </c>
      <c r="AJ968" s="7" t="str">
        <f t="shared" si="138"/>
        <v/>
      </c>
      <c r="AK968" s="7" t="str">
        <f t="shared" si="139"/>
        <v/>
      </c>
      <c r="AL968" s="7" t="str">
        <f t="shared" si="140"/>
        <v/>
      </c>
      <c r="AM968" s="7" t="str">
        <f t="shared" si="141"/>
        <v/>
      </c>
      <c r="AN968" s="8" t="str">
        <f>IF(C968="","",COUNTIF($C$2:C968,C968))</f>
        <v/>
      </c>
      <c r="AO968" s="8" t="str">
        <f t="shared" si="142"/>
        <v/>
      </c>
      <c r="AP968" s="8" t="str">
        <f>IF(C968="","",IF(AND(OR([1]Consulta!$C$29="",A968=[1]Consulta!$C$29),OR([1]Consulta!$E$29="",B968=[1]Consulta!$E$29),OR([1]Consulta!$G$29="",D968=[1]Consulta!$G$29,R968=[1]Consulta!$G$29)),ROW()-1,""))</f>
        <v/>
      </c>
    </row>
    <row r="969" spans="1:42" ht="15" customHeight="1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 t="str">
        <f t="shared" si="135"/>
        <v/>
      </c>
      <c r="AG969" s="7" t="str">
        <f t="shared" si="143"/>
        <v/>
      </c>
      <c r="AH969" s="7" t="str">
        <f t="shared" si="136"/>
        <v/>
      </c>
      <c r="AI969" s="7" t="str">
        <f t="shared" si="137"/>
        <v/>
      </c>
      <c r="AJ969" s="7" t="str">
        <f t="shared" si="138"/>
        <v/>
      </c>
      <c r="AK969" s="7" t="str">
        <f t="shared" si="139"/>
        <v/>
      </c>
      <c r="AL969" s="7" t="str">
        <f t="shared" si="140"/>
        <v/>
      </c>
      <c r="AM969" s="7" t="str">
        <f t="shared" si="141"/>
        <v/>
      </c>
      <c r="AN969" s="8" t="str">
        <f>IF(C969="","",COUNTIF($C$2:C969,C969))</f>
        <v/>
      </c>
      <c r="AO969" s="8" t="str">
        <f t="shared" si="142"/>
        <v/>
      </c>
      <c r="AP969" s="8" t="str">
        <f>IF(C969="","",IF(AND(OR([1]Consulta!$C$29="",A969=[1]Consulta!$C$29),OR([1]Consulta!$E$29="",B969=[1]Consulta!$E$29),OR([1]Consulta!$G$29="",D969=[1]Consulta!$G$29,R969=[1]Consulta!$G$29)),ROW()-1,""))</f>
        <v/>
      </c>
    </row>
    <row r="970" spans="1:42" ht="15" customHeight="1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 t="str">
        <f t="shared" si="135"/>
        <v/>
      </c>
      <c r="AG970" s="7" t="str">
        <f t="shared" si="143"/>
        <v/>
      </c>
      <c r="AH970" s="7" t="str">
        <f t="shared" si="136"/>
        <v/>
      </c>
      <c r="AI970" s="7" t="str">
        <f t="shared" si="137"/>
        <v/>
      </c>
      <c r="AJ970" s="7" t="str">
        <f t="shared" si="138"/>
        <v/>
      </c>
      <c r="AK970" s="7" t="str">
        <f t="shared" si="139"/>
        <v/>
      </c>
      <c r="AL970" s="7" t="str">
        <f t="shared" si="140"/>
        <v/>
      </c>
      <c r="AM970" s="7" t="str">
        <f t="shared" si="141"/>
        <v/>
      </c>
      <c r="AN970" s="8" t="str">
        <f>IF(C970="","",COUNTIF($C$2:C970,C970))</f>
        <v/>
      </c>
      <c r="AO970" s="8" t="str">
        <f t="shared" si="142"/>
        <v/>
      </c>
      <c r="AP970" s="8" t="str">
        <f>IF(C970="","",IF(AND(OR([1]Consulta!$C$29="",A970=[1]Consulta!$C$29),OR([1]Consulta!$E$29="",B970=[1]Consulta!$E$29),OR([1]Consulta!$G$29="",D970=[1]Consulta!$G$29,R970=[1]Consulta!$G$29)),ROW()-1,""))</f>
        <v/>
      </c>
    </row>
    <row r="971" spans="1:42" ht="15" customHeight="1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 t="str">
        <f t="shared" si="135"/>
        <v/>
      </c>
      <c r="AG971" s="7" t="str">
        <f t="shared" si="143"/>
        <v/>
      </c>
      <c r="AH971" s="7" t="str">
        <f t="shared" si="136"/>
        <v/>
      </c>
      <c r="AI971" s="7" t="str">
        <f t="shared" si="137"/>
        <v/>
      </c>
      <c r="AJ971" s="7" t="str">
        <f t="shared" si="138"/>
        <v/>
      </c>
      <c r="AK971" s="7" t="str">
        <f t="shared" si="139"/>
        <v/>
      </c>
      <c r="AL971" s="7" t="str">
        <f t="shared" si="140"/>
        <v/>
      </c>
      <c r="AM971" s="7" t="str">
        <f t="shared" si="141"/>
        <v/>
      </c>
      <c r="AN971" s="8" t="str">
        <f>IF(C971="","",COUNTIF($C$2:C971,C971))</f>
        <v/>
      </c>
      <c r="AO971" s="8" t="str">
        <f t="shared" si="142"/>
        <v/>
      </c>
      <c r="AP971" s="8" t="str">
        <f>IF(C971="","",IF(AND(OR([1]Consulta!$C$29="",A971=[1]Consulta!$C$29),OR([1]Consulta!$E$29="",B971=[1]Consulta!$E$29),OR([1]Consulta!$G$29="",D971=[1]Consulta!$G$29,R971=[1]Consulta!$G$29)),ROW()-1,""))</f>
        <v/>
      </c>
    </row>
    <row r="972" spans="1:42" ht="15" customHeight="1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 t="str">
        <f t="shared" si="135"/>
        <v/>
      </c>
      <c r="AG972" s="7" t="str">
        <f t="shared" si="143"/>
        <v/>
      </c>
      <c r="AH972" s="7" t="str">
        <f t="shared" si="136"/>
        <v/>
      </c>
      <c r="AI972" s="7" t="str">
        <f t="shared" si="137"/>
        <v/>
      </c>
      <c r="AJ972" s="7" t="str">
        <f t="shared" si="138"/>
        <v/>
      </c>
      <c r="AK972" s="7" t="str">
        <f t="shared" si="139"/>
        <v/>
      </c>
      <c r="AL972" s="7" t="str">
        <f t="shared" si="140"/>
        <v/>
      </c>
      <c r="AM972" s="7" t="str">
        <f t="shared" si="141"/>
        <v/>
      </c>
      <c r="AN972" s="8" t="str">
        <f>IF(C972="","",COUNTIF($C$2:C972,C972))</f>
        <v/>
      </c>
      <c r="AO972" s="8" t="str">
        <f t="shared" si="142"/>
        <v/>
      </c>
      <c r="AP972" s="8" t="str">
        <f>IF(C972="","",IF(AND(OR([1]Consulta!$C$29="",A972=[1]Consulta!$C$29),OR([1]Consulta!$E$29="",B972=[1]Consulta!$E$29),OR([1]Consulta!$G$29="",D972=[1]Consulta!$G$29,R972=[1]Consulta!$G$29)),ROW()-1,""))</f>
        <v/>
      </c>
    </row>
    <row r="973" spans="1:42" ht="15" customHeight="1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 t="str">
        <f t="shared" si="135"/>
        <v/>
      </c>
      <c r="AG973" s="7" t="str">
        <f t="shared" si="143"/>
        <v/>
      </c>
      <c r="AH973" s="7" t="str">
        <f t="shared" si="136"/>
        <v/>
      </c>
      <c r="AI973" s="7" t="str">
        <f t="shared" si="137"/>
        <v/>
      </c>
      <c r="AJ973" s="7" t="str">
        <f t="shared" si="138"/>
        <v/>
      </c>
      <c r="AK973" s="7" t="str">
        <f t="shared" si="139"/>
        <v/>
      </c>
      <c r="AL973" s="7" t="str">
        <f t="shared" si="140"/>
        <v/>
      </c>
      <c r="AM973" s="7" t="str">
        <f t="shared" si="141"/>
        <v/>
      </c>
      <c r="AN973" s="8" t="str">
        <f>IF(C973="","",COUNTIF($C$2:C973,C973))</f>
        <v/>
      </c>
      <c r="AO973" s="8" t="str">
        <f t="shared" si="142"/>
        <v/>
      </c>
      <c r="AP973" s="8" t="str">
        <f>IF(C973="","",IF(AND(OR([1]Consulta!$C$29="",A973=[1]Consulta!$C$29),OR([1]Consulta!$E$29="",B973=[1]Consulta!$E$29),OR([1]Consulta!$G$29="",D973=[1]Consulta!$G$29,R973=[1]Consulta!$G$29)),ROW()-1,""))</f>
        <v/>
      </c>
    </row>
    <row r="974" spans="1:42" ht="15" customHeight="1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 t="str">
        <f t="shared" si="135"/>
        <v/>
      </c>
      <c r="AG974" s="7" t="str">
        <f t="shared" si="143"/>
        <v/>
      </c>
      <c r="AH974" s="7" t="str">
        <f t="shared" si="136"/>
        <v/>
      </c>
      <c r="AI974" s="7" t="str">
        <f t="shared" si="137"/>
        <v/>
      </c>
      <c r="AJ974" s="7" t="str">
        <f t="shared" si="138"/>
        <v/>
      </c>
      <c r="AK974" s="7" t="str">
        <f t="shared" si="139"/>
        <v/>
      </c>
      <c r="AL974" s="7" t="str">
        <f t="shared" si="140"/>
        <v/>
      </c>
      <c r="AM974" s="7" t="str">
        <f t="shared" si="141"/>
        <v/>
      </c>
      <c r="AN974" s="8" t="str">
        <f>IF(C974="","",COUNTIF($C$2:C974,C974))</f>
        <v/>
      </c>
      <c r="AO974" s="8" t="str">
        <f t="shared" si="142"/>
        <v/>
      </c>
      <c r="AP974" s="8" t="str">
        <f>IF(C974="","",IF(AND(OR([1]Consulta!$C$29="",A974=[1]Consulta!$C$29),OR([1]Consulta!$E$29="",B974=[1]Consulta!$E$29),OR([1]Consulta!$G$29="",D974=[1]Consulta!$G$29,R974=[1]Consulta!$G$29)),ROW()-1,""))</f>
        <v/>
      </c>
    </row>
    <row r="975" spans="1:42" ht="15" customHeight="1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 t="str">
        <f t="shared" si="135"/>
        <v/>
      </c>
      <c r="AG975" s="7" t="str">
        <f t="shared" si="143"/>
        <v/>
      </c>
      <c r="AH975" s="7" t="str">
        <f t="shared" si="136"/>
        <v/>
      </c>
      <c r="AI975" s="7" t="str">
        <f t="shared" si="137"/>
        <v/>
      </c>
      <c r="AJ975" s="7" t="str">
        <f t="shared" si="138"/>
        <v/>
      </c>
      <c r="AK975" s="7" t="str">
        <f t="shared" si="139"/>
        <v/>
      </c>
      <c r="AL975" s="7" t="str">
        <f t="shared" si="140"/>
        <v/>
      </c>
      <c r="AM975" s="7" t="str">
        <f t="shared" si="141"/>
        <v/>
      </c>
      <c r="AN975" s="8" t="str">
        <f>IF(C975="","",COUNTIF($C$2:C975,C975))</f>
        <v/>
      </c>
      <c r="AO975" s="8" t="str">
        <f t="shared" si="142"/>
        <v/>
      </c>
      <c r="AP975" s="8" t="str">
        <f>IF(C975="","",IF(AND(OR([1]Consulta!$C$29="",A975=[1]Consulta!$C$29),OR([1]Consulta!$E$29="",B975=[1]Consulta!$E$29),OR([1]Consulta!$G$29="",D975=[1]Consulta!$G$29,R975=[1]Consulta!$G$29)),ROW()-1,""))</f>
        <v/>
      </c>
    </row>
    <row r="976" spans="1:42" ht="15" customHeight="1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 t="str">
        <f t="shared" si="135"/>
        <v/>
      </c>
      <c r="AG976" s="7" t="str">
        <f t="shared" si="143"/>
        <v/>
      </c>
      <c r="AH976" s="7" t="str">
        <f t="shared" si="136"/>
        <v/>
      </c>
      <c r="AI976" s="7" t="str">
        <f t="shared" si="137"/>
        <v/>
      </c>
      <c r="AJ976" s="7" t="str">
        <f t="shared" si="138"/>
        <v/>
      </c>
      <c r="AK976" s="7" t="str">
        <f t="shared" si="139"/>
        <v/>
      </c>
      <c r="AL976" s="7" t="str">
        <f t="shared" si="140"/>
        <v/>
      </c>
      <c r="AM976" s="7" t="str">
        <f t="shared" si="141"/>
        <v/>
      </c>
      <c r="AN976" s="8" t="str">
        <f>IF(C976="","",COUNTIF($C$2:C976,C976))</f>
        <v/>
      </c>
      <c r="AO976" s="8" t="str">
        <f t="shared" si="142"/>
        <v/>
      </c>
      <c r="AP976" s="8" t="str">
        <f>IF(C976="","",IF(AND(OR([1]Consulta!$C$29="",A976=[1]Consulta!$C$29),OR([1]Consulta!$E$29="",B976=[1]Consulta!$E$29),OR([1]Consulta!$G$29="",D976=[1]Consulta!$G$29,R976=[1]Consulta!$G$29)),ROW()-1,""))</f>
        <v/>
      </c>
    </row>
    <row r="977" spans="1:42" ht="15" customHeight="1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 t="str">
        <f t="shared" si="135"/>
        <v/>
      </c>
      <c r="AG977" s="7" t="str">
        <f t="shared" si="143"/>
        <v/>
      </c>
      <c r="AH977" s="7" t="str">
        <f t="shared" si="136"/>
        <v/>
      </c>
      <c r="AI977" s="7" t="str">
        <f t="shared" si="137"/>
        <v/>
      </c>
      <c r="AJ977" s="7" t="str">
        <f t="shared" si="138"/>
        <v/>
      </c>
      <c r="AK977" s="7" t="str">
        <f t="shared" si="139"/>
        <v/>
      </c>
      <c r="AL977" s="7" t="str">
        <f t="shared" si="140"/>
        <v/>
      </c>
      <c r="AM977" s="7" t="str">
        <f t="shared" si="141"/>
        <v/>
      </c>
      <c r="AN977" s="8" t="str">
        <f>IF(C977="","",COUNTIF($C$2:C977,C977))</f>
        <v/>
      </c>
      <c r="AO977" s="8" t="str">
        <f t="shared" si="142"/>
        <v/>
      </c>
      <c r="AP977" s="8" t="str">
        <f>IF(C977="","",IF(AND(OR([1]Consulta!$C$29="",A977=[1]Consulta!$C$29),OR([1]Consulta!$E$29="",B977=[1]Consulta!$E$29),OR([1]Consulta!$G$29="",D977=[1]Consulta!$G$29,R977=[1]Consulta!$G$29)),ROW()-1,""))</f>
        <v/>
      </c>
    </row>
    <row r="978" spans="1:42" ht="15" customHeight="1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 t="str">
        <f t="shared" si="135"/>
        <v/>
      </c>
      <c r="AG978" s="7" t="str">
        <f t="shared" si="143"/>
        <v/>
      </c>
      <c r="AH978" s="7" t="str">
        <f t="shared" si="136"/>
        <v/>
      </c>
      <c r="AI978" s="7" t="str">
        <f t="shared" si="137"/>
        <v/>
      </c>
      <c r="AJ978" s="7" t="str">
        <f t="shared" si="138"/>
        <v/>
      </c>
      <c r="AK978" s="7" t="str">
        <f t="shared" si="139"/>
        <v/>
      </c>
      <c r="AL978" s="7" t="str">
        <f t="shared" si="140"/>
        <v/>
      </c>
      <c r="AM978" s="7" t="str">
        <f t="shared" si="141"/>
        <v/>
      </c>
      <c r="AN978" s="8" t="str">
        <f>IF(C978="","",COUNTIF($C$2:C978,C978))</f>
        <v/>
      </c>
      <c r="AO978" s="8" t="str">
        <f t="shared" si="142"/>
        <v/>
      </c>
      <c r="AP978" s="8" t="str">
        <f>IF(C978="","",IF(AND(OR([1]Consulta!$C$29="",A978=[1]Consulta!$C$29),OR([1]Consulta!$E$29="",B978=[1]Consulta!$E$29),OR([1]Consulta!$G$29="",D978=[1]Consulta!$G$29,R978=[1]Consulta!$G$29)),ROW()-1,""))</f>
        <v/>
      </c>
    </row>
    <row r="979" spans="1:42" ht="15" customHeight="1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 t="str">
        <f t="shared" si="135"/>
        <v/>
      </c>
      <c r="AG979" s="7" t="str">
        <f t="shared" si="143"/>
        <v/>
      </c>
      <c r="AH979" s="7" t="str">
        <f t="shared" si="136"/>
        <v/>
      </c>
      <c r="AI979" s="7" t="str">
        <f t="shared" si="137"/>
        <v/>
      </c>
      <c r="AJ979" s="7" t="str">
        <f t="shared" si="138"/>
        <v/>
      </c>
      <c r="AK979" s="7" t="str">
        <f t="shared" si="139"/>
        <v/>
      </c>
      <c r="AL979" s="7" t="str">
        <f t="shared" si="140"/>
        <v/>
      </c>
      <c r="AM979" s="7" t="str">
        <f t="shared" si="141"/>
        <v/>
      </c>
      <c r="AN979" s="8" t="str">
        <f>IF(C979="","",COUNTIF($C$2:C979,C979))</f>
        <v/>
      </c>
      <c r="AO979" s="8" t="str">
        <f t="shared" si="142"/>
        <v/>
      </c>
      <c r="AP979" s="8" t="str">
        <f>IF(C979="","",IF(AND(OR([1]Consulta!$C$29="",A979=[1]Consulta!$C$29),OR([1]Consulta!$E$29="",B979=[1]Consulta!$E$29),OR([1]Consulta!$G$29="",D979=[1]Consulta!$G$29,R979=[1]Consulta!$G$29)),ROW()-1,""))</f>
        <v/>
      </c>
    </row>
    <row r="980" spans="1:42" ht="15" customHeight="1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 t="str">
        <f t="shared" si="135"/>
        <v/>
      </c>
      <c r="AG980" s="7" t="str">
        <f t="shared" si="143"/>
        <v/>
      </c>
      <c r="AH980" s="7" t="str">
        <f t="shared" si="136"/>
        <v/>
      </c>
      <c r="AI980" s="7" t="str">
        <f t="shared" si="137"/>
        <v/>
      </c>
      <c r="AJ980" s="7" t="str">
        <f t="shared" si="138"/>
        <v/>
      </c>
      <c r="AK980" s="7" t="str">
        <f t="shared" si="139"/>
        <v/>
      </c>
      <c r="AL980" s="7" t="str">
        <f t="shared" si="140"/>
        <v/>
      </c>
      <c r="AM980" s="7" t="str">
        <f t="shared" si="141"/>
        <v/>
      </c>
      <c r="AN980" s="8" t="str">
        <f>IF(C980="","",COUNTIF($C$2:C980,C980))</f>
        <v/>
      </c>
      <c r="AO980" s="8" t="str">
        <f t="shared" si="142"/>
        <v/>
      </c>
      <c r="AP980" s="8" t="str">
        <f>IF(C980="","",IF(AND(OR([1]Consulta!$C$29="",A980=[1]Consulta!$C$29),OR([1]Consulta!$E$29="",B980=[1]Consulta!$E$29),OR([1]Consulta!$G$29="",D980=[1]Consulta!$G$29,R980=[1]Consulta!$G$29)),ROW()-1,""))</f>
        <v/>
      </c>
    </row>
    <row r="981" spans="1:42" ht="15" customHeight="1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 t="str">
        <f t="shared" si="135"/>
        <v/>
      </c>
      <c r="AG981" s="7" t="str">
        <f t="shared" si="143"/>
        <v/>
      </c>
      <c r="AH981" s="7" t="str">
        <f t="shared" si="136"/>
        <v/>
      </c>
      <c r="AI981" s="7" t="str">
        <f t="shared" si="137"/>
        <v/>
      </c>
      <c r="AJ981" s="7" t="str">
        <f t="shared" si="138"/>
        <v/>
      </c>
      <c r="AK981" s="7" t="str">
        <f t="shared" si="139"/>
        <v/>
      </c>
      <c r="AL981" s="7" t="str">
        <f t="shared" si="140"/>
        <v/>
      </c>
      <c r="AM981" s="7" t="str">
        <f t="shared" si="141"/>
        <v/>
      </c>
      <c r="AN981" s="8" t="str">
        <f>IF(C981="","",COUNTIF($C$2:C981,C981))</f>
        <v/>
      </c>
      <c r="AO981" s="8" t="str">
        <f t="shared" si="142"/>
        <v/>
      </c>
      <c r="AP981" s="8" t="str">
        <f>IF(C981="","",IF(AND(OR([1]Consulta!$C$29="",A981=[1]Consulta!$C$29),OR([1]Consulta!$E$29="",B981=[1]Consulta!$E$29),OR([1]Consulta!$G$29="",D981=[1]Consulta!$G$29,R981=[1]Consulta!$G$29)),ROW()-1,""))</f>
        <v/>
      </c>
    </row>
    <row r="982" spans="1:42" ht="15" customHeight="1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 t="str">
        <f t="shared" si="135"/>
        <v/>
      </c>
      <c r="AG982" s="7" t="str">
        <f t="shared" si="143"/>
        <v/>
      </c>
      <c r="AH982" s="7" t="str">
        <f t="shared" si="136"/>
        <v/>
      </c>
      <c r="AI982" s="7" t="str">
        <f t="shared" si="137"/>
        <v/>
      </c>
      <c r="AJ982" s="7" t="str">
        <f t="shared" si="138"/>
        <v/>
      </c>
      <c r="AK982" s="7" t="str">
        <f t="shared" si="139"/>
        <v/>
      </c>
      <c r="AL982" s="7" t="str">
        <f t="shared" si="140"/>
        <v/>
      </c>
      <c r="AM982" s="7" t="str">
        <f t="shared" si="141"/>
        <v/>
      </c>
      <c r="AN982" s="8" t="str">
        <f>IF(C982="","",COUNTIF($C$2:C982,C982))</f>
        <v/>
      </c>
      <c r="AO982" s="8" t="str">
        <f t="shared" si="142"/>
        <v/>
      </c>
      <c r="AP982" s="8" t="str">
        <f>IF(C982="","",IF(AND(OR([1]Consulta!$C$29="",A982=[1]Consulta!$C$29),OR([1]Consulta!$E$29="",B982=[1]Consulta!$E$29),OR([1]Consulta!$G$29="",D982=[1]Consulta!$G$29,R982=[1]Consulta!$G$29)),ROW()-1,""))</f>
        <v/>
      </c>
    </row>
    <row r="983" spans="1:42" ht="15" customHeight="1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 t="str">
        <f t="shared" si="135"/>
        <v/>
      </c>
      <c r="AG983" s="7" t="str">
        <f t="shared" si="143"/>
        <v/>
      </c>
      <c r="AH983" s="7" t="str">
        <f t="shared" si="136"/>
        <v/>
      </c>
      <c r="AI983" s="7" t="str">
        <f t="shared" si="137"/>
        <v/>
      </c>
      <c r="AJ983" s="7" t="str">
        <f t="shared" si="138"/>
        <v/>
      </c>
      <c r="AK983" s="7" t="str">
        <f t="shared" si="139"/>
        <v/>
      </c>
      <c r="AL983" s="7" t="str">
        <f t="shared" si="140"/>
        <v/>
      </c>
      <c r="AM983" s="7" t="str">
        <f t="shared" si="141"/>
        <v/>
      </c>
      <c r="AN983" s="8" t="str">
        <f>IF(C983="","",COUNTIF($C$2:C983,C983))</f>
        <v/>
      </c>
      <c r="AO983" s="8" t="str">
        <f t="shared" si="142"/>
        <v/>
      </c>
      <c r="AP983" s="8" t="str">
        <f>IF(C983="","",IF(AND(OR([1]Consulta!$C$29="",A983=[1]Consulta!$C$29),OR([1]Consulta!$E$29="",B983=[1]Consulta!$E$29),OR([1]Consulta!$G$29="",D983=[1]Consulta!$G$29,R983=[1]Consulta!$G$29)),ROW()-1,""))</f>
        <v/>
      </c>
    </row>
    <row r="984" spans="1:42" ht="15" customHeight="1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 t="str">
        <f t="shared" si="135"/>
        <v/>
      </c>
      <c r="AG984" s="7" t="str">
        <f t="shared" si="143"/>
        <v/>
      </c>
      <c r="AH984" s="7" t="str">
        <f t="shared" si="136"/>
        <v/>
      </c>
      <c r="AI984" s="7" t="str">
        <f t="shared" si="137"/>
        <v/>
      </c>
      <c r="AJ984" s="7" t="str">
        <f t="shared" si="138"/>
        <v/>
      </c>
      <c r="AK984" s="7" t="str">
        <f t="shared" si="139"/>
        <v/>
      </c>
      <c r="AL984" s="7" t="str">
        <f t="shared" si="140"/>
        <v/>
      </c>
      <c r="AM984" s="7" t="str">
        <f t="shared" si="141"/>
        <v/>
      </c>
      <c r="AN984" s="8" t="str">
        <f>IF(C984="","",COUNTIF($C$2:C984,C984))</f>
        <v/>
      </c>
      <c r="AO984" s="8" t="str">
        <f t="shared" si="142"/>
        <v/>
      </c>
      <c r="AP984" s="8" t="str">
        <f>IF(C984="","",IF(AND(OR([1]Consulta!$C$29="",A984=[1]Consulta!$C$29),OR([1]Consulta!$E$29="",B984=[1]Consulta!$E$29),OR([1]Consulta!$G$29="",D984=[1]Consulta!$G$29,R984=[1]Consulta!$G$29)),ROW()-1,""))</f>
        <v/>
      </c>
    </row>
    <row r="985" spans="1:42" ht="15" customHeight="1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 t="str">
        <f t="shared" si="135"/>
        <v/>
      </c>
      <c r="AG985" s="7" t="str">
        <f t="shared" si="143"/>
        <v/>
      </c>
      <c r="AH985" s="7" t="str">
        <f t="shared" si="136"/>
        <v/>
      </c>
      <c r="AI985" s="7" t="str">
        <f t="shared" si="137"/>
        <v/>
      </c>
      <c r="AJ985" s="7" t="str">
        <f t="shared" si="138"/>
        <v/>
      </c>
      <c r="AK985" s="7" t="str">
        <f t="shared" si="139"/>
        <v/>
      </c>
      <c r="AL985" s="7" t="str">
        <f t="shared" si="140"/>
        <v/>
      </c>
      <c r="AM985" s="7" t="str">
        <f t="shared" si="141"/>
        <v/>
      </c>
      <c r="AN985" s="8" t="str">
        <f>IF(C985="","",COUNTIF($C$2:C985,C985))</f>
        <v/>
      </c>
      <c r="AO985" s="8" t="str">
        <f t="shared" si="142"/>
        <v/>
      </c>
      <c r="AP985" s="8" t="str">
        <f>IF(C985="","",IF(AND(OR([1]Consulta!$C$29="",A985=[1]Consulta!$C$29),OR([1]Consulta!$E$29="",B985=[1]Consulta!$E$29),OR([1]Consulta!$G$29="",D985=[1]Consulta!$G$29,R985=[1]Consulta!$G$29)),ROW()-1,""))</f>
        <v/>
      </c>
    </row>
    <row r="986" spans="1:42" ht="15" customHeight="1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 t="str">
        <f t="shared" si="135"/>
        <v/>
      </c>
      <c r="AG986" s="7" t="str">
        <f t="shared" si="143"/>
        <v/>
      </c>
      <c r="AH986" s="7" t="str">
        <f t="shared" si="136"/>
        <v/>
      </c>
      <c r="AI986" s="7" t="str">
        <f t="shared" si="137"/>
        <v/>
      </c>
      <c r="AJ986" s="7" t="str">
        <f t="shared" si="138"/>
        <v/>
      </c>
      <c r="AK986" s="7" t="str">
        <f t="shared" si="139"/>
        <v/>
      </c>
      <c r="AL986" s="7" t="str">
        <f t="shared" si="140"/>
        <v/>
      </c>
      <c r="AM986" s="7" t="str">
        <f t="shared" si="141"/>
        <v/>
      </c>
      <c r="AN986" s="8" t="str">
        <f>IF(C986="","",COUNTIF($C$2:C986,C986))</f>
        <v/>
      </c>
      <c r="AO986" s="8" t="str">
        <f t="shared" si="142"/>
        <v/>
      </c>
      <c r="AP986" s="8" t="str">
        <f>IF(C986="","",IF(AND(OR([1]Consulta!$C$29="",A986=[1]Consulta!$C$29),OR([1]Consulta!$E$29="",B986=[1]Consulta!$E$29),OR([1]Consulta!$G$29="",D986=[1]Consulta!$G$29,R986=[1]Consulta!$G$29)),ROW()-1,""))</f>
        <v/>
      </c>
    </row>
    <row r="987" spans="1:42" ht="15" customHeight="1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 t="str">
        <f t="shared" si="135"/>
        <v/>
      </c>
      <c r="AG987" s="7" t="str">
        <f t="shared" si="143"/>
        <v/>
      </c>
      <c r="AH987" s="7" t="str">
        <f t="shared" si="136"/>
        <v/>
      </c>
      <c r="AI987" s="7" t="str">
        <f t="shared" si="137"/>
        <v/>
      </c>
      <c r="AJ987" s="7" t="str">
        <f t="shared" si="138"/>
        <v/>
      </c>
      <c r="AK987" s="7" t="str">
        <f t="shared" si="139"/>
        <v/>
      </c>
      <c r="AL987" s="7" t="str">
        <f t="shared" si="140"/>
        <v/>
      </c>
      <c r="AM987" s="7" t="str">
        <f t="shared" si="141"/>
        <v/>
      </c>
      <c r="AN987" s="8" t="str">
        <f>IF(C987="","",COUNTIF($C$2:C987,C987))</f>
        <v/>
      </c>
      <c r="AO987" s="8" t="str">
        <f t="shared" si="142"/>
        <v/>
      </c>
      <c r="AP987" s="8" t="str">
        <f>IF(C987="","",IF(AND(OR([1]Consulta!$C$29="",A987=[1]Consulta!$C$29),OR([1]Consulta!$E$29="",B987=[1]Consulta!$E$29),OR([1]Consulta!$G$29="",D987=[1]Consulta!$G$29,R987=[1]Consulta!$G$29)),ROW()-1,""))</f>
        <v/>
      </c>
    </row>
    <row r="988" spans="1:42" ht="15" customHeight="1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 t="str">
        <f t="shared" si="135"/>
        <v/>
      </c>
      <c r="AG988" s="7" t="str">
        <f t="shared" si="143"/>
        <v/>
      </c>
      <c r="AH988" s="7" t="str">
        <f t="shared" si="136"/>
        <v/>
      </c>
      <c r="AI988" s="7" t="str">
        <f t="shared" si="137"/>
        <v/>
      </c>
      <c r="AJ988" s="7" t="str">
        <f t="shared" si="138"/>
        <v/>
      </c>
      <c r="AK988" s="7" t="str">
        <f t="shared" si="139"/>
        <v/>
      </c>
      <c r="AL988" s="7" t="str">
        <f t="shared" si="140"/>
        <v/>
      </c>
      <c r="AM988" s="7" t="str">
        <f t="shared" si="141"/>
        <v/>
      </c>
      <c r="AN988" s="8" t="str">
        <f>IF(C988="","",COUNTIF($C$2:C988,C988))</f>
        <v/>
      </c>
      <c r="AO988" s="8" t="str">
        <f t="shared" si="142"/>
        <v/>
      </c>
      <c r="AP988" s="8" t="str">
        <f>IF(C988="","",IF(AND(OR([1]Consulta!$C$29="",A988=[1]Consulta!$C$29),OR([1]Consulta!$E$29="",B988=[1]Consulta!$E$29),OR([1]Consulta!$G$29="",D988=[1]Consulta!$G$29,R988=[1]Consulta!$G$29)),ROW()-1,""))</f>
        <v/>
      </c>
    </row>
    <row r="989" spans="1:42" ht="15" customHeight="1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 t="str">
        <f t="shared" si="135"/>
        <v/>
      </c>
      <c r="AG989" s="7" t="str">
        <f t="shared" si="143"/>
        <v/>
      </c>
      <c r="AH989" s="7" t="str">
        <f t="shared" si="136"/>
        <v/>
      </c>
      <c r="AI989" s="7" t="str">
        <f t="shared" si="137"/>
        <v/>
      </c>
      <c r="AJ989" s="7" t="str">
        <f t="shared" si="138"/>
        <v/>
      </c>
      <c r="AK989" s="7" t="str">
        <f t="shared" si="139"/>
        <v/>
      </c>
      <c r="AL989" s="7" t="str">
        <f t="shared" si="140"/>
        <v/>
      </c>
      <c r="AM989" s="7" t="str">
        <f t="shared" si="141"/>
        <v/>
      </c>
      <c r="AN989" s="8" t="str">
        <f>IF(C989="","",COUNTIF($C$2:C989,C989))</f>
        <v/>
      </c>
      <c r="AO989" s="8" t="str">
        <f t="shared" si="142"/>
        <v/>
      </c>
      <c r="AP989" s="8" t="str">
        <f>IF(C989="","",IF(AND(OR([1]Consulta!$C$29="",A989=[1]Consulta!$C$29),OR([1]Consulta!$E$29="",B989=[1]Consulta!$E$29),OR([1]Consulta!$G$29="",D989=[1]Consulta!$G$29,R989=[1]Consulta!$G$29)),ROW()-1,""))</f>
        <v/>
      </c>
    </row>
    <row r="990" spans="1:42" ht="15" customHeight="1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 t="str">
        <f t="shared" si="135"/>
        <v/>
      </c>
      <c r="AG990" s="7" t="str">
        <f t="shared" si="143"/>
        <v/>
      </c>
      <c r="AH990" s="7" t="str">
        <f t="shared" si="136"/>
        <v/>
      </c>
      <c r="AI990" s="7" t="str">
        <f t="shared" si="137"/>
        <v/>
      </c>
      <c r="AJ990" s="7" t="str">
        <f t="shared" si="138"/>
        <v/>
      </c>
      <c r="AK990" s="7" t="str">
        <f t="shared" si="139"/>
        <v/>
      </c>
      <c r="AL990" s="7" t="str">
        <f t="shared" si="140"/>
        <v/>
      </c>
      <c r="AM990" s="7" t="str">
        <f t="shared" si="141"/>
        <v/>
      </c>
      <c r="AN990" s="8" t="str">
        <f>IF(C990="","",COUNTIF($C$2:C990,C990))</f>
        <v/>
      </c>
      <c r="AO990" s="8" t="str">
        <f t="shared" si="142"/>
        <v/>
      </c>
      <c r="AP990" s="8" t="str">
        <f>IF(C990="","",IF(AND(OR([1]Consulta!$C$29="",A990=[1]Consulta!$C$29),OR([1]Consulta!$E$29="",B990=[1]Consulta!$E$29),OR([1]Consulta!$G$29="",D990=[1]Consulta!$G$29,R990=[1]Consulta!$G$29)),ROW()-1,""))</f>
        <v/>
      </c>
    </row>
    <row r="991" spans="1:42" ht="15" customHeight="1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 t="str">
        <f t="shared" si="135"/>
        <v/>
      </c>
      <c r="AG991" s="7" t="str">
        <f t="shared" si="143"/>
        <v/>
      </c>
      <c r="AH991" s="7" t="str">
        <f t="shared" si="136"/>
        <v/>
      </c>
      <c r="AI991" s="7" t="str">
        <f t="shared" si="137"/>
        <v/>
      </c>
      <c r="AJ991" s="7" t="str">
        <f t="shared" si="138"/>
        <v/>
      </c>
      <c r="AK991" s="7" t="str">
        <f t="shared" si="139"/>
        <v/>
      </c>
      <c r="AL991" s="7" t="str">
        <f t="shared" si="140"/>
        <v/>
      </c>
      <c r="AM991" s="7" t="str">
        <f t="shared" si="141"/>
        <v/>
      </c>
      <c r="AN991" s="8" t="str">
        <f>IF(C991="","",COUNTIF($C$2:C991,C991))</f>
        <v/>
      </c>
      <c r="AO991" s="8" t="str">
        <f t="shared" si="142"/>
        <v/>
      </c>
      <c r="AP991" s="8" t="str">
        <f>IF(C991="","",IF(AND(OR([1]Consulta!$C$29="",A991=[1]Consulta!$C$29),OR([1]Consulta!$E$29="",B991=[1]Consulta!$E$29),OR([1]Consulta!$G$29="",D991=[1]Consulta!$G$29,R991=[1]Consulta!$G$29)),ROW()-1,""))</f>
        <v/>
      </c>
    </row>
    <row r="992" spans="1:42" ht="15" customHeight="1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 t="str">
        <f t="shared" si="135"/>
        <v/>
      </c>
      <c r="AG992" s="7" t="str">
        <f t="shared" si="143"/>
        <v/>
      </c>
      <c r="AH992" s="7" t="str">
        <f t="shared" si="136"/>
        <v/>
      </c>
      <c r="AI992" s="7" t="str">
        <f t="shared" si="137"/>
        <v/>
      </c>
      <c r="AJ992" s="7" t="str">
        <f t="shared" si="138"/>
        <v/>
      </c>
      <c r="AK992" s="7" t="str">
        <f t="shared" si="139"/>
        <v/>
      </c>
      <c r="AL992" s="7" t="str">
        <f t="shared" si="140"/>
        <v/>
      </c>
      <c r="AM992" s="7" t="str">
        <f t="shared" si="141"/>
        <v/>
      </c>
      <c r="AN992" s="8" t="str">
        <f>IF(C992="","",COUNTIF($C$2:C992,C992))</f>
        <v/>
      </c>
      <c r="AO992" s="8" t="str">
        <f t="shared" si="142"/>
        <v/>
      </c>
      <c r="AP992" s="8" t="str">
        <f>IF(C992="","",IF(AND(OR([1]Consulta!$C$29="",A992=[1]Consulta!$C$29),OR([1]Consulta!$E$29="",B992=[1]Consulta!$E$29),OR([1]Consulta!$G$29="",D992=[1]Consulta!$G$29,R992=[1]Consulta!$G$29)),ROW()-1,""))</f>
        <v/>
      </c>
    </row>
    <row r="993" spans="1:42" ht="15" customHeight="1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 t="str">
        <f t="shared" si="135"/>
        <v/>
      </c>
      <c r="AG993" s="7" t="str">
        <f t="shared" si="143"/>
        <v/>
      </c>
      <c r="AH993" s="7" t="str">
        <f t="shared" si="136"/>
        <v/>
      </c>
      <c r="AI993" s="7" t="str">
        <f t="shared" si="137"/>
        <v/>
      </c>
      <c r="AJ993" s="7" t="str">
        <f t="shared" si="138"/>
        <v/>
      </c>
      <c r="AK993" s="7" t="str">
        <f t="shared" si="139"/>
        <v/>
      </c>
      <c r="AL993" s="7" t="str">
        <f t="shared" si="140"/>
        <v/>
      </c>
      <c r="AM993" s="7" t="str">
        <f t="shared" si="141"/>
        <v/>
      </c>
      <c r="AN993" s="8" t="str">
        <f>IF(C993="","",COUNTIF($C$2:C993,C993))</f>
        <v/>
      </c>
      <c r="AO993" s="8" t="str">
        <f t="shared" si="142"/>
        <v/>
      </c>
      <c r="AP993" s="8" t="str">
        <f>IF(C993="","",IF(AND(OR([1]Consulta!$C$29="",A993=[1]Consulta!$C$29),OR([1]Consulta!$E$29="",B993=[1]Consulta!$E$29),OR([1]Consulta!$G$29="",D993=[1]Consulta!$G$29,R993=[1]Consulta!$G$29)),ROW()-1,""))</f>
        <v/>
      </c>
    </row>
    <row r="994" spans="1:42" ht="15" customHeight="1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 t="str">
        <f t="shared" si="135"/>
        <v/>
      </c>
      <c r="AG994" s="7" t="str">
        <f t="shared" si="143"/>
        <v/>
      </c>
      <c r="AH994" s="7" t="str">
        <f t="shared" si="136"/>
        <v/>
      </c>
      <c r="AI994" s="7" t="str">
        <f t="shared" si="137"/>
        <v/>
      </c>
      <c r="AJ994" s="7" t="str">
        <f t="shared" si="138"/>
        <v/>
      </c>
      <c r="AK994" s="7" t="str">
        <f t="shared" si="139"/>
        <v/>
      </c>
      <c r="AL994" s="7" t="str">
        <f t="shared" si="140"/>
        <v/>
      </c>
      <c r="AM994" s="7" t="str">
        <f t="shared" si="141"/>
        <v/>
      </c>
      <c r="AN994" s="8" t="str">
        <f>IF(C994="","",COUNTIF($C$2:C994,C994))</f>
        <v/>
      </c>
      <c r="AO994" s="8" t="str">
        <f t="shared" si="142"/>
        <v/>
      </c>
      <c r="AP994" s="8" t="str">
        <f>IF(C994="","",IF(AND(OR([1]Consulta!$C$29="",A994=[1]Consulta!$C$29),OR([1]Consulta!$E$29="",B994=[1]Consulta!$E$29),OR([1]Consulta!$G$29="",D994=[1]Consulta!$G$29,R994=[1]Consulta!$G$29)),ROW()-1,""))</f>
        <v/>
      </c>
    </row>
    <row r="995" spans="1:42" ht="15" customHeight="1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 t="str">
        <f t="shared" si="135"/>
        <v/>
      </c>
      <c r="AG995" s="7" t="str">
        <f t="shared" si="143"/>
        <v/>
      </c>
      <c r="AH995" s="7" t="str">
        <f t="shared" si="136"/>
        <v/>
      </c>
      <c r="AI995" s="7" t="str">
        <f t="shared" si="137"/>
        <v/>
      </c>
      <c r="AJ995" s="7" t="str">
        <f t="shared" si="138"/>
        <v/>
      </c>
      <c r="AK995" s="7" t="str">
        <f t="shared" si="139"/>
        <v/>
      </c>
      <c r="AL995" s="7" t="str">
        <f t="shared" si="140"/>
        <v/>
      </c>
      <c r="AM995" s="7" t="str">
        <f t="shared" si="141"/>
        <v/>
      </c>
      <c r="AN995" s="8" t="str">
        <f>IF(C995="","",COUNTIF($C$2:C995,C995))</f>
        <v/>
      </c>
      <c r="AO995" s="8" t="str">
        <f t="shared" si="142"/>
        <v/>
      </c>
      <c r="AP995" s="8" t="str">
        <f>IF(C995="","",IF(AND(OR([1]Consulta!$C$29="",A995=[1]Consulta!$C$29),OR([1]Consulta!$E$29="",B995=[1]Consulta!$E$29),OR([1]Consulta!$G$29="",D995=[1]Consulta!$G$29,R995=[1]Consulta!$G$29)),ROW()-1,""))</f>
        <v/>
      </c>
    </row>
    <row r="996" spans="1:42" ht="15" customHeight="1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 t="str">
        <f t="shared" si="135"/>
        <v/>
      </c>
      <c r="AG996" s="7" t="str">
        <f t="shared" si="143"/>
        <v/>
      </c>
      <c r="AH996" s="7" t="str">
        <f t="shared" si="136"/>
        <v/>
      </c>
      <c r="AI996" s="7" t="str">
        <f t="shared" si="137"/>
        <v/>
      </c>
      <c r="AJ996" s="7" t="str">
        <f t="shared" si="138"/>
        <v/>
      </c>
      <c r="AK996" s="7" t="str">
        <f t="shared" si="139"/>
        <v/>
      </c>
      <c r="AL996" s="7" t="str">
        <f t="shared" si="140"/>
        <v/>
      </c>
      <c r="AM996" s="7" t="str">
        <f t="shared" si="141"/>
        <v/>
      </c>
      <c r="AN996" s="8" t="str">
        <f>IF(C996="","",COUNTIF($C$2:C996,C996))</f>
        <v/>
      </c>
      <c r="AO996" s="8" t="str">
        <f t="shared" si="142"/>
        <v/>
      </c>
      <c r="AP996" s="8" t="str">
        <f>IF(C996="","",IF(AND(OR([1]Consulta!$C$29="",A996=[1]Consulta!$C$29),OR([1]Consulta!$E$29="",B996=[1]Consulta!$E$29),OR([1]Consulta!$G$29="",D996=[1]Consulta!$G$29,R996=[1]Consulta!$G$29)),ROW()-1,""))</f>
        <v/>
      </c>
    </row>
    <row r="997" spans="1:42" ht="15" customHeight="1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 t="str">
        <f t="shared" si="135"/>
        <v/>
      </c>
      <c r="AG997" s="7" t="str">
        <f t="shared" si="143"/>
        <v/>
      </c>
      <c r="AH997" s="7" t="str">
        <f t="shared" si="136"/>
        <v/>
      </c>
      <c r="AI997" s="7" t="str">
        <f t="shared" si="137"/>
        <v/>
      </c>
      <c r="AJ997" s="7" t="str">
        <f t="shared" si="138"/>
        <v/>
      </c>
      <c r="AK997" s="7" t="str">
        <f t="shared" si="139"/>
        <v/>
      </c>
      <c r="AL997" s="7" t="str">
        <f t="shared" si="140"/>
        <v/>
      </c>
      <c r="AM997" s="7" t="str">
        <f t="shared" si="141"/>
        <v/>
      </c>
      <c r="AN997" s="8" t="str">
        <f>IF(C997="","",COUNTIF($C$2:C997,C997))</f>
        <v/>
      </c>
      <c r="AO997" s="8" t="str">
        <f t="shared" si="142"/>
        <v/>
      </c>
      <c r="AP997" s="8" t="str">
        <f>IF(C997="","",IF(AND(OR([1]Consulta!$C$29="",A997=[1]Consulta!$C$29),OR([1]Consulta!$E$29="",B997=[1]Consulta!$E$29),OR([1]Consulta!$G$29="",D997=[1]Consulta!$G$29,R997=[1]Consulta!$G$29)),ROW()-1,""))</f>
        <v/>
      </c>
    </row>
    <row r="998" spans="1:42" ht="15" customHeight="1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 t="str">
        <f t="shared" si="135"/>
        <v/>
      </c>
      <c r="AG998" s="7" t="str">
        <f t="shared" si="143"/>
        <v/>
      </c>
      <c r="AH998" s="7" t="str">
        <f t="shared" si="136"/>
        <v/>
      </c>
      <c r="AI998" s="7" t="str">
        <f t="shared" si="137"/>
        <v/>
      </c>
      <c r="AJ998" s="7" t="str">
        <f t="shared" si="138"/>
        <v/>
      </c>
      <c r="AK998" s="7" t="str">
        <f t="shared" si="139"/>
        <v/>
      </c>
      <c r="AL998" s="7" t="str">
        <f t="shared" si="140"/>
        <v/>
      </c>
      <c r="AM998" s="7" t="str">
        <f t="shared" si="141"/>
        <v/>
      </c>
      <c r="AN998" s="8" t="str">
        <f>IF(C998="","",COUNTIF($C$2:C998,C998))</f>
        <v/>
      </c>
      <c r="AO998" s="8" t="str">
        <f t="shared" si="142"/>
        <v/>
      </c>
      <c r="AP998" s="8" t="str">
        <f>IF(C998="","",IF(AND(OR([1]Consulta!$C$29="",A998=[1]Consulta!$C$29),OR([1]Consulta!$E$29="",B998=[1]Consulta!$E$29),OR([1]Consulta!$G$29="",D998=[1]Consulta!$G$29,R998=[1]Consulta!$G$29)),ROW()-1,""))</f>
        <v/>
      </c>
    </row>
    <row r="999" spans="1:42" ht="15" customHeight="1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 t="str">
        <f t="shared" si="135"/>
        <v/>
      </c>
      <c r="AG999" s="7" t="str">
        <f t="shared" si="143"/>
        <v/>
      </c>
      <c r="AH999" s="7" t="str">
        <f t="shared" si="136"/>
        <v/>
      </c>
      <c r="AI999" s="7" t="str">
        <f t="shared" si="137"/>
        <v/>
      </c>
      <c r="AJ999" s="7" t="str">
        <f t="shared" si="138"/>
        <v/>
      </c>
      <c r="AK999" s="7" t="str">
        <f t="shared" si="139"/>
        <v/>
      </c>
      <c r="AL999" s="7" t="str">
        <f t="shared" si="140"/>
        <v/>
      </c>
      <c r="AM999" s="7" t="str">
        <f t="shared" si="141"/>
        <v/>
      </c>
      <c r="AN999" s="8" t="str">
        <f>IF(C999="","",COUNTIF($C$2:C999,C999))</f>
        <v/>
      </c>
      <c r="AO999" s="8" t="str">
        <f t="shared" si="142"/>
        <v/>
      </c>
      <c r="AP999" s="8" t="str">
        <f>IF(C999="","",IF(AND(OR([1]Consulta!$C$29="",A999=[1]Consulta!$C$29),OR([1]Consulta!$E$29="",B999=[1]Consulta!$E$29),OR([1]Consulta!$G$29="",D999=[1]Consulta!$G$29,R999=[1]Consulta!$G$29)),ROW()-1,""))</f>
        <v/>
      </c>
    </row>
    <row r="1000" spans="1:42" ht="15" customHeight="1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 t="str">
        <f t="shared" si="135"/>
        <v/>
      </c>
      <c r="AG1000" s="7" t="str">
        <f t="shared" si="143"/>
        <v/>
      </c>
      <c r="AH1000" s="7" t="str">
        <f t="shared" si="136"/>
        <v/>
      </c>
      <c r="AI1000" s="7" t="str">
        <f t="shared" si="137"/>
        <v/>
      </c>
      <c r="AJ1000" s="7" t="str">
        <f t="shared" si="138"/>
        <v/>
      </c>
      <c r="AK1000" s="7" t="str">
        <f t="shared" si="139"/>
        <v/>
      </c>
      <c r="AL1000" s="7" t="str">
        <f t="shared" si="140"/>
        <v/>
      </c>
      <c r="AM1000" s="7" t="str">
        <f t="shared" si="141"/>
        <v/>
      </c>
      <c r="AN1000" s="8" t="str">
        <f>IF(C1000="","",COUNTIF($C$2:C1000,C1000))</f>
        <v/>
      </c>
      <c r="AO1000" s="8" t="str">
        <f t="shared" si="142"/>
        <v/>
      </c>
      <c r="AP1000" s="8" t="str">
        <f>IF(C1000="","",IF(AND(OR([1]Consulta!$C$29="",A1000=[1]Consulta!$C$29),OR([1]Consulta!$E$29="",B1000=[1]Consulta!$E$29),OR([1]Consulta!$G$29="",D1000=[1]Consulta!$G$29,R1000=[1]Consulta!$G$29)),ROW()-1,""))</f>
        <v/>
      </c>
    </row>
    <row r="1001" spans="1:42" ht="15" customHeight="1" x14ac:dyDescent="0.25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 t="str">
        <f t="shared" si="135"/>
        <v/>
      </c>
      <c r="AG1001" s="7" t="str">
        <f t="shared" si="143"/>
        <v/>
      </c>
      <c r="AH1001" s="7" t="str">
        <f t="shared" si="136"/>
        <v/>
      </c>
      <c r="AI1001" s="7" t="str">
        <f t="shared" si="137"/>
        <v/>
      </c>
      <c r="AJ1001" s="7" t="str">
        <f t="shared" si="138"/>
        <v/>
      </c>
      <c r="AK1001" s="7" t="str">
        <f t="shared" si="139"/>
        <v/>
      </c>
      <c r="AL1001" s="7" t="str">
        <f t="shared" si="140"/>
        <v/>
      </c>
      <c r="AM1001" s="7" t="str">
        <f t="shared" si="141"/>
        <v/>
      </c>
      <c r="AN1001" s="8" t="str">
        <f>IF(C1001="","",COUNTIF($C$2:C1001,C1001))</f>
        <v/>
      </c>
      <c r="AO1001" s="8" t="str">
        <f t="shared" si="142"/>
        <v/>
      </c>
      <c r="AP1001" s="8" t="str">
        <f>IF(C1001="","",IF(AND(OR([1]Consulta!$C$29="",A1001=[1]Consulta!$C$29),OR([1]Consulta!$E$29="",B1001=[1]Consulta!$E$29),OR([1]Consulta!$G$29="",D1001=[1]Consulta!$G$29,R1001=[1]Consulta!$G$29)),ROW()-1,""))</f>
        <v/>
      </c>
    </row>
    <row r="1002" spans="1:42" ht="15" customHeight="1" x14ac:dyDescent="0.25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 t="str">
        <f t="shared" si="135"/>
        <v/>
      </c>
      <c r="AG1002" s="7" t="str">
        <f t="shared" si="143"/>
        <v/>
      </c>
      <c r="AH1002" s="7" t="str">
        <f t="shared" si="136"/>
        <v/>
      </c>
      <c r="AI1002" s="7" t="str">
        <f t="shared" si="137"/>
        <v/>
      </c>
      <c r="AJ1002" s="7" t="str">
        <f t="shared" si="138"/>
        <v/>
      </c>
      <c r="AK1002" s="7" t="str">
        <f t="shared" si="139"/>
        <v/>
      </c>
      <c r="AL1002" s="7" t="str">
        <f t="shared" si="140"/>
        <v/>
      </c>
      <c r="AM1002" s="7" t="str">
        <f t="shared" si="141"/>
        <v/>
      </c>
      <c r="AN1002" s="8" t="str">
        <f>IF(C1002="","",COUNTIF($C$2:C1002,C1002))</f>
        <v/>
      </c>
      <c r="AO1002" s="8" t="str">
        <f t="shared" si="142"/>
        <v/>
      </c>
      <c r="AP1002" s="8" t="str">
        <f>IF(C1002="","",IF(AND(OR([1]Consulta!$C$29="",A1002=[1]Consulta!$C$29),OR([1]Consulta!$E$29="",B1002=[1]Consulta!$E$29),OR([1]Consulta!$G$29="",D1002=[1]Consulta!$G$29,R1002=[1]Consulta!$G$29)),ROW()-1,""))</f>
        <v/>
      </c>
    </row>
    <row r="1003" spans="1:42" ht="15" customHeight="1" x14ac:dyDescent="0.25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 t="str">
        <f t="shared" si="135"/>
        <v/>
      </c>
      <c r="AG1003" s="7" t="str">
        <f t="shared" si="143"/>
        <v/>
      </c>
      <c r="AH1003" s="7" t="str">
        <f t="shared" si="136"/>
        <v/>
      </c>
      <c r="AI1003" s="7" t="str">
        <f t="shared" si="137"/>
        <v/>
      </c>
      <c r="AJ1003" s="7" t="str">
        <f t="shared" si="138"/>
        <v/>
      </c>
      <c r="AK1003" s="7" t="str">
        <f t="shared" si="139"/>
        <v/>
      </c>
      <c r="AL1003" s="7" t="str">
        <f t="shared" si="140"/>
        <v/>
      </c>
      <c r="AM1003" s="7" t="str">
        <f t="shared" si="141"/>
        <v/>
      </c>
      <c r="AN1003" s="8" t="str">
        <f>IF(C1003="","",COUNTIF($C$2:C1003,C1003))</f>
        <v/>
      </c>
      <c r="AO1003" s="8" t="str">
        <f t="shared" si="142"/>
        <v/>
      </c>
      <c r="AP1003" s="8" t="str">
        <f>IF(C1003="","",IF(AND(OR([1]Consulta!$C$29="",A1003=[1]Consulta!$C$29),OR([1]Consulta!$E$29="",B1003=[1]Consulta!$E$29),OR([1]Consulta!$G$29="",D1003=[1]Consulta!$G$29,R1003=[1]Consulta!$G$29)),ROW()-1,""))</f>
        <v/>
      </c>
    </row>
    <row r="1004" spans="1:42" ht="15" customHeight="1" x14ac:dyDescent="0.25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 t="str">
        <f t="shared" si="135"/>
        <v/>
      </c>
      <c r="AG1004" s="7" t="str">
        <f t="shared" si="143"/>
        <v/>
      </c>
      <c r="AH1004" s="7" t="str">
        <f t="shared" si="136"/>
        <v/>
      </c>
      <c r="AI1004" s="7" t="str">
        <f t="shared" si="137"/>
        <v/>
      </c>
      <c r="AJ1004" s="7" t="str">
        <f t="shared" si="138"/>
        <v/>
      </c>
      <c r="AK1004" s="7" t="str">
        <f t="shared" si="139"/>
        <v/>
      </c>
      <c r="AL1004" s="7" t="str">
        <f t="shared" si="140"/>
        <v/>
      </c>
      <c r="AM1004" s="7" t="str">
        <f t="shared" si="141"/>
        <v/>
      </c>
      <c r="AN1004" s="8" t="str">
        <f>IF(C1004="","",COUNTIF($C$2:C1004,C1004))</f>
        <v/>
      </c>
      <c r="AO1004" s="8" t="str">
        <f t="shared" si="142"/>
        <v/>
      </c>
      <c r="AP1004" s="8" t="str">
        <f>IF(C1004="","",IF(AND(OR([1]Consulta!$C$29="",A1004=[1]Consulta!$C$29),OR([1]Consulta!$E$29="",B1004=[1]Consulta!$E$29),OR([1]Consulta!$G$29="",D1004=[1]Consulta!$G$29,R1004=[1]Consulta!$G$29)),ROW()-1,""))</f>
        <v/>
      </c>
    </row>
    <row r="1005" spans="1:42" ht="15" customHeight="1" x14ac:dyDescent="0.2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 t="str">
        <f t="shared" si="135"/>
        <v/>
      </c>
      <c r="AG1005" s="7" t="str">
        <f t="shared" si="143"/>
        <v/>
      </c>
      <c r="AH1005" s="7" t="str">
        <f t="shared" si="136"/>
        <v/>
      </c>
      <c r="AI1005" s="7" t="str">
        <f t="shared" si="137"/>
        <v/>
      </c>
      <c r="AJ1005" s="7" t="str">
        <f t="shared" si="138"/>
        <v/>
      </c>
      <c r="AK1005" s="7" t="str">
        <f t="shared" si="139"/>
        <v/>
      </c>
      <c r="AL1005" s="7" t="str">
        <f t="shared" si="140"/>
        <v/>
      </c>
      <c r="AM1005" s="7" t="str">
        <f t="shared" si="141"/>
        <v/>
      </c>
      <c r="AN1005" s="8" t="str">
        <f>IF(C1005="","",COUNTIF($C$2:C1005,C1005))</f>
        <v/>
      </c>
      <c r="AO1005" s="8" t="str">
        <f t="shared" si="142"/>
        <v/>
      </c>
      <c r="AP1005" s="8" t="str">
        <f>IF(C1005="","",IF(AND(OR([1]Consulta!$C$29="",A1005=[1]Consulta!$C$29),OR([1]Consulta!$E$29="",B1005=[1]Consulta!$E$29),OR([1]Consulta!$G$29="",D1005=[1]Consulta!$G$29,R1005=[1]Consulta!$G$29)),ROW()-1,""))</f>
        <v/>
      </c>
    </row>
    <row r="1006" spans="1:42" ht="15" customHeight="1" x14ac:dyDescent="0.25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 t="str">
        <f t="shared" si="135"/>
        <v/>
      </c>
      <c r="AG1006" s="7" t="str">
        <f t="shared" si="143"/>
        <v/>
      </c>
      <c r="AH1006" s="7" t="str">
        <f t="shared" si="136"/>
        <v/>
      </c>
      <c r="AI1006" s="7" t="str">
        <f t="shared" si="137"/>
        <v/>
      </c>
      <c r="AJ1006" s="7" t="str">
        <f t="shared" si="138"/>
        <v/>
      </c>
      <c r="AK1006" s="7" t="str">
        <f t="shared" si="139"/>
        <v/>
      </c>
      <c r="AL1006" s="7" t="str">
        <f t="shared" si="140"/>
        <v/>
      </c>
      <c r="AM1006" s="7" t="str">
        <f t="shared" si="141"/>
        <v/>
      </c>
      <c r="AN1006" s="8" t="str">
        <f>IF(C1006="","",COUNTIF($C$2:C1006,C1006))</f>
        <v/>
      </c>
      <c r="AO1006" s="8" t="str">
        <f t="shared" si="142"/>
        <v/>
      </c>
      <c r="AP1006" s="8" t="str">
        <f>IF(C1006="","",IF(AND(OR([1]Consulta!$C$29="",A1006=[1]Consulta!$C$29),OR([1]Consulta!$E$29="",B1006=[1]Consulta!$E$29),OR([1]Consulta!$G$29="",D1006=[1]Consulta!$G$29,R1006=[1]Consulta!$G$29)),ROW()-1,""))</f>
        <v/>
      </c>
    </row>
    <row r="1007" spans="1:42" ht="15" customHeight="1" x14ac:dyDescent="0.25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 t="str">
        <f t="shared" si="135"/>
        <v/>
      </c>
      <c r="AG1007" s="7" t="str">
        <f t="shared" si="143"/>
        <v/>
      </c>
      <c r="AH1007" s="7" t="str">
        <f t="shared" si="136"/>
        <v/>
      </c>
      <c r="AI1007" s="7" t="str">
        <f t="shared" si="137"/>
        <v/>
      </c>
      <c r="AJ1007" s="7" t="str">
        <f t="shared" si="138"/>
        <v/>
      </c>
      <c r="AK1007" s="7" t="str">
        <f t="shared" si="139"/>
        <v/>
      </c>
      <c r="AL1007" s="7" t="str">
        <f t="shared" si="140"/>
        <v/>
      </c>
      <c r="AM1007" s="7" t="str">
        <f t="shared" si="141"/>
        <v/>
      </c>
      <c r="AN1007" s="8" t="str">
        <f>IF(C1007="","",COUNTIF($C$2:C1007,C1007))</f>
        <v/>
      </c>
      <c r="AO1007" s="8" t="str">
        <f t="shared" si="142"/>
        <v/>
      </c>
      <c r="AP1007" s="8" t="str">
        <f>IF(C1007="","",IF(AND(OR([1]Consulta!$C$29="",A1007=[1]Consulta!$C$29),OR([1]Consulta!$E$29="",B1007=[1]Consulta!$E$29),OR([1]Consulta!$G$29="",D1007=[1]Consulta!$G$29,R1007=[1]Consulta!$G$29)),ROW()-1,""))</f>
        <v/>
      </c>
    </row>
    <row r="1008" spans="1:42" ht="15" customHeight="1" x14ac:dyDescent="0.25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 t="str">
        <f t="shared" si="135"/>
        <v/>
      </c>
      <c r="AG1008" s="7" t="str">
        <f t="shared" si="143"/>
        <v/>
      </c>
      <c r="AH1008" s="7" t="str">
        <f t="shared" si="136"/>
        <v/>
      </c>
      <c r="AI1008" s="7" t="str">
        <f t="shared" si="137"/>
        <v/>
      </c>
      <c r="AJ1008" s="7" t="str">
        <f t="shared" si="138"/>
        <v/>
      </c>
      <c r="AK1008" s="7" t="str">
        <f t="shared" si="139"/>
        <v/>
      </c>
      <c r="AL1008" s="7" t="str">
        <f t="shared" si="140"/>
        <v/>
      </c>
      <c r="AM1008" s="7" t="str">
        <f t="shared" si="141"/>
        <v/>
      </c>
      <c r="AN1008" s="8" t="str">
        <f>IF(C1008="","",COUNTIF($C$2:C1008,C1008))</f>
        <v/>
      </c>
      <c r="AO1008" s="8" t="str">
        <f t="shared" si="142"/>
        <v/>
      </c>
      <c r="AP1008" s="8" t="str">
        <f>IF(C1008="","",IF(AND(OR([1]Consulta!$C$29="",A1008=[1]Consulta!$C$29),OR([1]Consulta!$E$29="",B1008=[1]Consulta!$E$29),OR([1]Consulta!$G$29="",D1008=[1]Consulta!$G$29,R1008=[1]Consulta!$G$29)),ROW()-1,""))</f>
        <v/>
      </c>
    </row>
    <row r="1009" spans="1:42" ht="15" customHeight="1" x14ac:dyDescent="0.25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 t="str">
        <f t="shared" si="135"/>
        <v/>
      </c>
      <c r="AG1009" s="7" t="str">
        <f t="shared" si="143"/>
        <v/>
      </c>
      <c r="AH1009" s="7" t="str">
        <f t="shared" si="136"/>
        <v/>
      </c>
      <c r="AI1009" s="7" t="str">
        <f t="shared" si="137"/>
        <v/>
      </c>
      <c r="AJ1009" s="7" t="str">
        <f t="shared" si="138"/>
        <v/>
      </c>
      <c r="AK1009" s="7" t="str">
        <f t="shared" si="139"/>
        <v/>
      </c>
      <c r="AL1009" s="7" t="str">
        <f t="shared" si="140"/>
        <v/>
      </c>
      <c r="AM1009" s="7" t="str">
        <f t="shared" si="141"/>
        <v/>
      </c>
      <c r="AN1009" s="8" t="str">
        <f>IF(C1009="","",COUNTIF($C$2:C1009,C1009))</f>
        <v/>
      </c>
      <c r="AO1009" s="8" t="str">
        <f t="shared" si="142"/>
        <v/>
      </c>
      <c r="AP1009" s="8" t="str">
        <f>IF(C1009="","",IF(AND(OR([1]Consulta!$C$29="",A1009=[1]Consulta!$C$29),OR([1]Consulta!$E$29="",B1009=[1]Consulta!$E$29),OR([1]Consulta!$G$29="",D1009=[1]Consulta!$G$29,R1009=[1]Consulta!$G$29)),ROW()-1,""))</f>
        <v/>
      </c>
    </row>
    <row r="1010" spans="1:42" ht="15" customHeight="1" x14ac:dyDescent="0.25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 t="str">
        <f t="shared" si="135"/>
        <v/>
      </c>
      <c r="AG1010" s="7" t="str">
        <f t="shared" si="143"/>
        <v/>
      </c>
      <c r="AH1010" s="7" t="str">
        <f t="shared" si="136"/>
        <v/>
      </c>
      <c r="AI1010" s="7" t="str">
        <f t="shared" si="137"/>
        <v/>
      </c>
      <c r="AJ1010" s="7" t="str">
        <f t="shared" si="138"/>
        <v/>
      </c>
      <c r="AK1010" s="7" t="str">
        <f t="shared" si="139"/>
        <v/>
      </c>
      <c r="AL1010" s="7" t="str">
        <f t="shared" si="140"/>
        <v/>
      </c>
      <c r="AM1010" s="7" t="str">
        <f t="shared" si="141"/>
        <v/>
      </c>
      <c r="AN1010" s="8" t="str">
        <f>IF(C1010="","",COUNTIF($C$2:C1010,C1010))</f>
        <v/>
      </c>
      <c r="AO1010" s="8" t="str">
        <f t="shared" si="142"/>
        <v/>
      </c>
      <c r="AP1010" s="8" t="str">
        <f>IF(C1010="","",IF(AND(OR([1]Consulta!$C$29="",A1010=[1]Consulta!$C$29),OR([1]Consulta!$E$29="",B1010=[1]Consulta!$E$29),OR([1]Consulta!$G$29="",D1010=[1]Consulta!$G$29,R1010=[1]Consulta!$G$29)),ROW()-1,""))</f>
        <v/>
      </c>
    </row>
    <row r="1011" spans="1:42" ht="15" customHeight="1" x14ac:dyDescent="0.25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 t="str">
        <f t="shared" si="135"/>
        <v/>
      </c>
      <c r="AG1011" s="7" t="str">
        <f t="shared" si="143"/>
        <v/>
      </c>
      <c r="AH1011" s="7" t="str">
        <f t="shared" si="136"/>
        <v/>
      </c>
      <c r="AI1011" s="7" t="str">
        <f t="shared" si="137"/>
        <v/>
      </c>
      <c r="AJ1011" s="7" t="str">
        <f t="shared" si="138"/>
        <v/>
      </c>
      <c r="AK1011" s="7" t="str">
        <f t="shared" si="139"/>
        <v/>
      </c>
      <c r="AL1011" s="7" t="str">
        <f t="shared" si="140"/>
        <v/>
      </c>
      <c r="AM1011" s="7" t="str">
        <f t="shared" si="141"/>
        <v/>
      </c>
      <c r="AN1011" s="8" t="str">
        <f>IF(C1011="","",COUNTIF($C$2:C1011,C1011))</f>
        <v/>
      </c>
      <c r="AO1011" s="8" t="str">
        <f t="shared" si="142"/>
        <v/>
      </c>
      <c r="AP1011" s="8" t="str">
        <f>IF(C1011="","",IF(AND(OR([1]Consulta!$C$29="",A1011=[1]Consulta!$C$29),OR([1]Consulta!$E$29="",B1011=[1]Consulta!$E$29),OR([1]Consulta!$G$29="",D1011=[1]Consulta!$G$29,R1011=[1]Consulta!$G$29)),ROW()-1,""))</f>
        <v/>
      </c>
    </row>
    <row r="1012" spans="1:42" ht="15" customHeight="1" x14ac:dyDescent="0.25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 t="str">
        <f t="shared" si="135"/>
        <v/>
      </c>
      <c r="AG1012" s="7" t="str">
        <f t="shared" si="143"/>
        <v/>
      </c>
      <c r="AH1012" s="7" t="str">
        <f t="shared" si="136"/>
        <v/>
      </c>
      <c r="AI1012" s="7" t="str">
        <f t="shared" si="137"/>
        <v/>
      </c>
      <c r="AJ1012" s="7" t="str">
        <f t="shared" si="138"/>
        <v/>
      </c>
      <c r="AK1012" s="7" t="str">
        <f t="shared" si="139"/>
        <v/>
      </c>
      <c r="AL1012" s="7" t="str">
        <f t="shared" si="140"/>
        <v/>
      </c>
      <c r="AM1012" s="7" t="str">
        <f t="shared" si="141"/>
        <v/>
      </c>
      <c r="AN1012" s="8" t="str">
        <f>IF(C1012="","",COUNTIF($C$2:C1012,C1012))</f>
        <v/>
      </c>
      <c r="AO1012" s="8" t="str">
        <f t="shared" si="142"/>
        <v/>
      </c>
      <c r="AP1012" s="8" t="str">
        <f>IF(C1012="","",IF(AND(OR([1]Consulta!$C$29="",A1012=[1]Consulta!$C$29),OR([1]Consulta!$E$29="",B1012=[1]Consulta!$E$29),OR([1]Consulta!$G$29="",D1012=[1]Consulta!$G$29,R1012=[1]Consulta!$G$29)),ROW()-1,""))</f>
        <v/>
      </c>
    </row>
    <row r="1013" spans="1:42" ht="15" customHeight="1" x14ac:dyDescent="0.25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 t="str">
        <f t="shared" si="135"/>
        <v/>
      </c>
      <c r="AG1013" s="7" t="str">
        <f t="shared" si="143"/>
        <v/>
      </c>
      <c r="AH1013" s="7" t="str">
        <f t="shared" si="136"/>
        <v/>
      </c>
      <c r="AI1013" s="7" t="str">
        <f t="shared" si="137"/>
        <v/>
      </c>
      <c r="AJ1013" s="7" t="str">
        <f t="shared" si="138"/>
        <v/>
      </c>
      <c r="AK1013" s="7" t="str">
        <f t="shared" si="139"/>
        <v/>
      </c>
      <c r="AL1013" s="7" t="str">
        <f t="shared" si="140"/>
        <v/>
      </c>
      <c r="AM1013" s="7" t="str">
        <f t="shared" si="141"/>
        <v/>
      </c>
      <c r="AN1013" s="8" t="str">
        <f>IF(C1013="","",COUNTIF($C$2:C1013,C1013))</f>
        <v/>
      </c>
      <c r="AO1013" s="8" t="str">
        <f t="shared" si="142"/>
        <v/>
      </c>
      <c r="AP1013" s="8" t="str">
        <f>IF(C1013="","",IF(AND(OR([1]Consulta!$C$29="",A1013=[1]Consulta!$C$29),OR([1]Consulta!$E$29="",B1013=[1]Consulta!$E$29),OR([1]Consulta!$G$29="",D1013=[1]Consulta!$G$29,R1013=[1]Consulta!$G$29)),ROW()-1,""))</f>
        <v/>
      </c>
    </row>
    <row r="1014" spans="1:42" ht="15" customHeight="1" x14ac:dyDescent="0.25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 t="str">
        <f t="shared" si="135"/>
        <v/>
      </c>
      <c r="AG1014" s="7" t="str">
        <f t="shared" si="143"/>
        <v/>
      </c>
      <c r="AH1014" s="7" t="str">
        <f t="shared" si="136"/>
        <v/>
      </c>
      <c r="AI1014" s="7" t="str">
        <f t="shared" si="137"/>
        <v/>
      </c>
      <c r="AJ1014" s="7" t="str">
        <f t="shared" si="138"/>
        <v/>
      </c>
      <c r="AK1014" s="7" t="str">
        <f t="shared" si="139"/>
        <v/>
      </c>
      <c r="AL1014" s="7" t="str">
        <f t="shared" si="140"/>
        <v/>
      </c>
      <c r="AM1014" s="7" t="str">
        <f t="shared" si="141"/>
        <v/>
      </c>
      <c r="AN1014" s="8" t="str">
        <f>IF(C1014="","",COUNTIF($C$2:C1014,C1014))</f>
        <v/>
      </c>
      <c r="AO1014" s="8" t="str">
        <f t="shared" si="142"/>
        <v/>
      </c>
      <c r="AP1014" s="8" t="str">
        <f>IF(C1014="","",IF(AND(OR([1]Consulta!$C$29="",A1014=[1]Consulta!$C$29),OR([1]Consulta!$E$29="",B1014=[1]Consulta!$E$29),OR([1]Consulta!$G$29="",D1014=[1]Consulta!$G$29,R1014=[1]Consulta!$G$29)),ROW()-1,""))</f>
        <v/>
      </c>
    </row>
    <row r="1015" spans="1:42" ht="15" customHeight="1" x14ac:dyDescent="0.2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 t="str">
        <f t="shared" si="135"/>
        <v/>
      </c>
      <c r="AG1015" s="7" t="str">
        <f t="shared" si="143"/>
        <v/>
      </c>
      <c r="AH1015" s="7" t="str">
        <f t="shared" si="136"/>
        <v/>
      </c>
      <c r="AI1015" s="7" t="str">
        <f t="shared" si="137"/>
        <v/>
      </c>
      <c r="AJ1015" s="7" t="str">
        <f t="shared" si="138"/>
        <v/>
      </c>
      <c r="AK1015" s="7" t="str">
        <f t="shared" si="139"/>
        <v/>
      </c>
      <c r="AL1015" s="7" t="str">
        <f t="shared" si="140"/>
        <v/>
      </c>
      <c r="AM1015" s="7" t="str">
        <f t="shared" si="141"/>
        <v/>
      </c>
      <c r="AN1015" s="8" t="str">
        <f>IF(C1015="","",COUNTIF($C$2:C1015,C1015))</f>
        <v/>
      </c>
      <c r="AO1015" s="8" t="str">
        <f t="shared" si="142"/>
        <v/>
      </c>
      <c r="AP1015" s="8" t="str">
        <f>IF(C1015="","",IF(AND(OR([1]Consulta!$C$29="",A1015=[1]Consulta!$C$29),OR([1]Consulta!$E$29="",B1015=[1]Consulta!$E$29),OR([1]Consulta!$G$29="",D1015=[1]Consulta!$G$29,R1015=[1]Consulta!$G$29)),ROW()-1,""))</f>
        <v/>
      </c>
    </row>
    <row r="1016" spans="1:42" ht="15" customHeight="1" x14ac:dyDescent="0.25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 t="str">
        <f t="shared" si="135"/>
        <v/>
      </c>
      <c r="AG1016" s="7" t="str">
        <f t="shared" si="143"/>
        <v/>
      </c>
      <c r="AH1016" s="7" t="str">
        <f t="shared" si="136"/>
        <v/>
      </c>
      <c r="AI1016" s="7" t="str">
        <f t="shared" si="137"/>
        <v/>
      </c>
      <c r="AJ1016" s="7" t="str">
        <f t="shared" si="138"/>
        <v/>
      </c>
      <c r="AK1016" s="7" t="str">
        <f t="shared" si="139"/>
        <v/>
      </c>
      <c r="AL1016" s="7" t="str">
        <f t="shared" si="140"/>
        <v/>
      </c>
      <c r="AM1016" s="7" t="str">
        <f t="shared" si="141"/>
        <v/>
      </c>
      <c r="AN1016" s="8" t="str">
        <f>IF(C1016="","",COUNTIF($C$2:C1016,C1016))</f>
        <v/>
      </c>
      <c r="AO1016" s="8" t="str">
        <f t="shared" si="142"/>
        <v/>
      </c>
      <c r="AP1016" s="8" t="str">
        <f>IF(C1016="","",IF(AND(OR([1]Consulta!$C$29="",A1016=[1]Consulta!$C$29),OR([1]Consulta!$E$29="",B1016=[1]Consulta!$E$29),OR([1]Consulta!$G$29="",D1016=[1]Consulta!$G$29,R1016=[1]Consulta!$G$29)),ROW()-1,""))</f>
        <v/>
      </c>
    </row>
    <row r="1017" spans="1:42" ht="15" customHeight="1" x14ac:dyDescent="0.25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 t="str">
        <f t="shared" si="135"/>
        <v/>
      </c>
      <c r="AG1017" s="7" t="str">
        <f t="shared" si="143"/>
        <v/>
      </c>
      <c r="AH1017" s="7" t="str">
        <f t="shared" si="136"/>
        <v/>
      </c>
      <c r="AI1017" s="7" t="str">
        <f t="shared" si="137"/>
        <v/>
      </c>
      <c r="AJ1017" s="7" t="str">
        <f t="shared" si="138"/>
        <v/>
      </c>
      <c r="AK1017" s="7" t="str">
        <f t="shared" si="139"/>
        <v/>
      </c>
      <c r="AL1017" s="7" t="str">
        <f t="shared" si="140"/>
        <v/>
      </c>
      <c r="AM1017" s="7" t="str">
        <f t="shared" si="141"/>
        <v/>
      </c>
      <c r="AN1017" s="8" t="str">
        <f>IF(C1017="","",COUNTIF($C$2:C1017,C1017))</f>
        <v/>
      </c>
      <c r="AO1017" s="8" t="str">
        <f t="shared" si="142"/>
        <v/>
      </c>
      <c r="AP1017" s="8" t="str">
        <f>IF(C1017="","",IF(AND(OR([1]Consulta!$C$29="",A1017=[1]Consulta!$C$29),OR([1]Consulta!$E$29="",B1017=[1]Consulta!$E$29),OR([1]Consulta!$G$29="",D1017=[1]Consulta!$G$29,R1017=[1]Consulta!$G$29)),ROW()-1,""))</f>
        <v/>
      </c>
    </row>
    <row r="1018" spans="1:42" ht="15" customHeight="1" x14ac:dyDescent="0.25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 t="str">
        <f t="shared" si="135"/>
        <v/>
      </c>
      <c r="AG1018" s="7" t="str">
        <f t="shared" si="143"/>
        <v/>
      </c>
      <c r="AH1018" s="7" t="str">
        <f t="shared" si="136"/>
        <v/>
      </c>
      <c r="AI1018" s="7" t="str">
        <f t="shared" si="137"/>
        <v/>
      </c>
      <c r="AJ1018" s="7" t="str">
        <f t="shared" si="138"/>
        <v/>
      </c>
      <c r="AK1018" s="7" t="str">
        <f t="shared" si="139"/>
        <v/>
      </c>
      <c r="AL1018" s="7" t="str">
        <f t="shared" si="140"/>
        <v/>
      </c>
      <c r="AM1018" s="7" t="str">
        <f t="shared" si="141"/>
        <v/>
      </c>
      <c r="AN1018" s="8" t="str">
        <f>IF(C1018="","",COUNTIF($C$2:C1018,C1018))</f>
        <v/>
      </c>
      <c r="AO1018" s="8" t="str">
        <f t="shared" si="142"/>
        <v/>
      </c>
      <c r="AP1018" s="8" t="str">
        <f>IF(C1018="","",IF(AND(OR([1]Consulta!$C$29="",A1018=[1]Consulta!$C$29),OR([1]Consulta!$E$29="",B1018=[1]Consulta!$E$29),OR([1]Consulta!$G$29="",D1018=[1]Consulta!$G$29,R1018=[1]Consulta!$G$29)),ROW()-1,""))</f>
        <v/>
      </c>
    </row>
    <row r="1019" spans="1:42" ht="15" customHeight="1" x14ac:dyDescent="0.25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 t="str">
        <f t="shared" si="135"/>
        <v/>
      </c>
      <c r="AG1019" s="7" t="str">
        <f t="shared" si="143"/>
        <v/>
      </c>
      <c r="AH1019" s="7" t="str">
        <f t="shared" si="136"/>
        <v/>
      </c>
      <c r="AI1019" s="7" t="str">
        <f t="shared" si="137"/>
        <v/>
      </c>
      <c r="AJ1019" s="7" t="str">
        <f t="shared" si="138"/>
        <v/>
      </c>
      <c r="AK1019" s="7" t="str">
        <f t="shared" si="139"/>
        <v/>
      </c>
      <c r="AL1019" s="7" t="str">
        <f t="shared" si="140"/>
        <v/>
      </c>
      <c r="AM1019" s="7" t="str">
        <f t="shared" si="141"/>
        <v/>
      </c>
      <c r="AN1019" s="8" t="str">
        <f>IF(C1019="","",COUNTIF($C$2:C1019,C1019))</f>
        <v/>
      </c>
      <c r="AO1019" s="8" t="str">
        <f t="shared" si="142"/>
        <v/>
      </c>
      <c r="AP1019" s="8" t="str">
        <f>IF(C1019="","",IF(AND(OR([1]Consulta!$C$29="",A1019=[1]Consulta!$C$29),OR([1]Consulta!$E$29="",B1019=[1]Consulta!$E$29),OR([1]Consulta!$G$29="",D1019=[1]Consulta!$G$29,R1019=[1]Consulta!$G$29)),ROW()-1,""))</f>
        <v/>
      </c>
    </row>
    <row r="1020" spans="1:42" ht="15" customHeight="1" x14ac:dyDescent="0.25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 t="str">
        <f t="shared" si="135"/>
        <v/>
      </c>
      <c r="AG1020" s="7" t="str">
        <f t="shared" si="143"/>
        <v/>
      </c>
      <c r="AH1020" s="7" t="str">
        <f t="shared" si="136"/>
        <v/>
      </c>
      <c r="AI1020" s="7" t="str">
        <f t="shared" si="137"/>
        <v/>
      </c>
      <c r="AJ1020" s="7" t="str">
        <f t="shared" si="138"/>
        <v/>
      </c>
      <c r="AK1020" s="7" t="str">
        <f t="shared" si="139"/>
        <v/>
      </c>
      <c r="AL1020" s="7" t="str">
        <f t="shared" si="140"/>
        <v/>
      </c>
      <c r="AM1020" s="7" t="str">
        <f t="shared" si="141"/>
        <v/>
      </c>
      <c r="AN1020" s="8" t="str">
        <f>IF(C1020="","",COUNTIF($C$2:C1020,C1020))</f>
        <v/>
      </c>
      <c r="AO1020" s="8" t="str">
        <f t="shared" si="142"/>
        <v/>
      </c>
      <c r="AP1020" s="8" t="str">
        <f>IF(C1020="","",IF(AND(OR([1]Consulta!$C$29="",A1020=[1]Consulta!$C$29),OR([1]Consulta!$E$29="",B1020=[1]Consulta!$E$29),OR([1]Consulta!$G$29="",D1020=[1]Consulta!$G$29,R1020=[1]Consulta!$G$29)),ROW()-1,""))</f>
        <v/>
      </c>
    </row>
    <row r="1021" spans="1:42" ht="15" customHeight="1" x14ac:dyDescent="0.25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 t="str">
        <f t="shared" si="135"/>
        <v/>
      </c>
      <c r="AG1021" s="7" t="str">
        <f t="shared" si="143"/>
        <v/>
      </c>
      <c r="AH1021" s="7" t="str">
        <f t="shared" si="136"/>
        <v/>
      </c>
      <c r="AI1021" s="7" t="str">
        <f t="shared" si="137"/>
        <v/>
      </c>
      <c r="AJ1021" s="7" t="str">
        <f t="shared" si="138"/>
        <v/>
      </c>
      <c r="AK1021" s="7" t="str">
        <f t="shared" si="139"/>
        <v/>
      </c>
      <c r="AL1021" s="7" t="str">
        <f t="shared" si="140"/>
        <v/>
      </c>
      <c r="AM1021" s="7" t="str">
        <f t="shared" si="141"/>
        <v/>
      </c>
      <c r="AN1021" s="8" t="str">
        <f>IF(C1021="","",COUNTIF($C$2:C1021,C1021))</f>
        <v/>
      </c>
      <c r="AO1021" s="8" t="str">
        <f t="shared" si="142"/>
        <v/>
      </c>
      <c r="AP1021" s="8" t="str">
        <f>IF(C1021="","",IF(AND(OR([1]Consulta!$C$29="",A1021=[1]Consulta!$C$29),OR([1]Consulta!$E$29="",B1021=[1]Consulta!$E$29),OR([1]Consulta!$G$29="",D1021=[1]Consulta!$G$29,R1021=[1]Consulta!$G$29)),ROW()-1,""))</f>
        <v/>
      </c>
    </row>
    <row r="1022" spans="1:42" ht="15" customHeight="1" x14ac:dyDescent="0.25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 t="str">
        <f t="shared" si="135"/>
        <v/>
      </c>
      <c r="AG1022" s="7" t="str">
        <f t="shared" si="143"/>
        <v/>
      </c>
      <c r="AH1022" s="7" t="str">
        <f t="shared" si="136"/>
        <v/>
      </c>
      <c r="AI1022" s="7" t="str">
        <f t="shared" si="137"/>
        <v/>
      </c>
      <c r="AJ1022" s="7" t="str">
        <f t="shared" si="138"/>
        <v/>
      </c>
      <c r="AK1022" s="7" t="str">
        <f t="shared" si="139"/>
        <v/>
      </c>
      <c r="AL1022" s="7" t="str">
        <f t="shared" si="140"/>
        <v/>
      </c>
      <c r="AM1022" s="7" t="str">
        <f t="shared" si="141"/>
        <v/>
      </c>
      <c r="AN1022" s="8" t="str">
        <f>IF(C1022="","",COUNTIF($C$2:C1022,C1022))</f>
        <v/>
      </c>
      <c r="AO1022" s="8" t="str">
        <f t="shared" si="142"/>
        <v/>
      </c>
      <c r="AP1022" s="8" t="str">
        <f>IF(C1022="","",IF(AND(OR([1]Consulta!$C$29="",A1022=[1]Consulta!$C$29),OR([1]Consulta!$E$29="",B1022=[1]Consulta!$E$29),OR([1]Consulta!$G$29="",D1022=[1]Consulta!$G$29,R1022=[1]Consulta!$G$29)),ROW()-1,""))</f>
        <v/>
      </c>
    </row>
    <row r="1023" spans="1:42" ht="15" customHeight="1" x14ac:dyDescent="0.25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 t="str">
        <f t="shared" si="135"/>
        <v/>
      </c>
      <c r="AG1023" s="7" t="str">
        <f t="shared" si="143"/>
        <v/>
      </c>
      <c r="AH1023" s="7" t="str">
        <f t="shared" si="136"/>
        <v/>
      </c>
      <c r="AI1023" s="7" t="str">
        <f t="shared" si="137"/>
        <v/>
      </c>
      <c r="AJ1023" s="7" t="str">
        <f t="shared" si="138"/>
        <v/>
      </c>
      <c r="AK1023" s="7" t="str">
        <f t="shared" si="139"/>
        <v/>
      </c>
      <c r="AL1023" s="7" t="str">
        <f t="shared" si="140"/>
        <v/>
      </c>
      <c r="AM1023" s="7" t="str">
        <f t="shared" si="141"/>
        <v/>
      </c>
      <c r="AN1023" s="8" t="str">
        <f>IF(C1023="","",COUNTIF($C$2:C1023,C1023))</f>
        <v/>
      </c>
      <c r="AO1023" s="8" t="str">
        <f t="shared" si="142"/>
        <v/>
      </c>
      <c r="AP1023" s="8" t="str">
        <f>IF(C1023="","",IF(AND(OR([1]Consulta!$C$29="",A1023=[1]Consulta!$C$29),OR([1]Consulta!$E$29="",B1023=[1]Consulta!$E$29),OR([1]Consulta!$G$29="",D1023=[1]Consulta!$G$29,R1023=[1]Consulta!$G$29)),ROW()-1,""))</f>
        <v/>
      </c>
    </row>
    <row r="1024" spans="1:42" ht="15" customHeight="1" x14ac:dyDescent="0.25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 t="str">
        <f t="shared" si="135"/>
        <v/>
      </c>
      <c r="AG1024" s="7" t="str">
        <f t="shared" si="143"/>
        <v/>
      </c>
      <c r="AH1024" s="7" t="str">
        <f t="shared" si="136"/>
        <v/>
      </c>
      <c r="AI1024" s="7" t="str">
        <f t="shared" si="137"/>
        <v/>
      </c>
      <c r="AJ1024" s="7" t="str">
        <f t="shared" si="138"/>
        <v/>
      </c>
      <c r="AK1024" s="7" t="str">
        <f t="shared" si="139"/>
        <v/>
      </c>
      <c r="AL1024" s="7" t="str">
        <f t="shared" si="140"/>
        <v/>
      </c>
      <c r="AM1024" s="7" t="str">
        <f t="shared" si="141"/>
        <v/>
      </c>
      <c r="AN1024" s="8" t="str">
        <f>IF(C1024="","",COUNTIF($C$2:C1024,C1024))</f>
        <v/>
      </c>
      <c r="AO1024" s="8" t="str">
        <f t="shared" si="142"/>
        <v/>
      </c>
      <c r="AP1024" s="8" t="str">
        <f>IF(C1024="","",IF(AND(OR([1]Consulta!$C$29="",A1024=[1]Consulta!$C$29),OR([1]Consulta!$E$29="",B1024=[1]Consulta!$E$29),OR([1]Consulta!$G$29="",D1024=[1]Consulta!$G$29,R1024=[1]Consulta!$G$29)),ROW()-1,""))</f>
        <v/>
      </c>
    </row>
    <row r="1025" spans="1:42" ht="15" customHeight="1" x14ac:dyDescent="0.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 t="str">
        <f t="shared" si="135"/>
        <v/>
      </c>
      <c r="AG1025" s="7" t="str">
        <f t="shared" si="143"/>
        <v/>
      </c>
      <c r="AH1025" s="7" t="str">
        <f t="shared" si="136"/>
        <v/>
      </c>
      <c r="AI1025" s="7" t="str">
        <f t="shared" si="137"/>
        <v/>
      </c>
      <c r="AJ1025" s="7" t="str">
        <f t="shared" si="138"/>
        <v/>
      </c>
      <c r="AK1025" s="7" t="str">
        <f t="shared" si="139"/>
        <v/>
      </c>
      <c r="AL1025" s="7" t="str">
        <f t="shared" si="140"/>
        <v/>
      </c>
      <c r="AM1025" s="7" t="str">
        <f t="shared" si="141"/>
        <v/>
      </c>
      <c r="AN1025" s="8" t="str">
        <f>IF(C1025="","",COUNTIF($C$2:C1025,C1025))</f>
        <v/>
      </c>
      <c r="AO1025" s="8" t="str">
        <f t="shared" si="142"/>
        <v/>
      </c>
      <c r="AP1025" s="8" t="str">
        <f>IF(C1025="","",IF(AND(OR([1]Consulta!$C$29="",A1025=[1]Consulta!$C$29),OR([1]Consulta!$E$29="",B1025=[1]Consulta!$E$29),OR([1]Consulta!$G$29="",D1025=[1]Consulta!$G$29,R1025=[1]Consulta!$G$29)),ROW()-1,""))</f>
        <v/>
      </c>
    </row>
    <row r="1026" spans="1:42" ht="15" customHeight="1" x14ac:dyDescent="0.25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 t="str">
        <f t="shared" ref="AF1026:AF1089" si="144">IF(C1026="","",IF(AND(ISNUMBER(K1026),ISNUMBER(L1026)),K1026-L1026,""))</f>
        <v/>
      </c>
      <c r="AG1026" s="7" t="str">
        <f t="shared" si="143"/>
        <v/>
      </c>
      <c r="AH1026" s="7" t="str">
        <f t="shared" ref="AH1026:AH1089" si="145">IF(C1026="","",IF(AND(ISNUMBER(Y1026),ISNUMBER(Z1026)),Y1026-Z1026,""))</f>
        <v/>
      </c>
      <c r="AI1026" s="7" t="str">
        <f t="shared" ref="AI1026:AI1089" si="146">IF(C1026="","",IF(AH1026="","N/A",IF(AH1026&lt;0,"ALARMA","OK")))</f>
        <v/>
      </c>
      <c r="AJ1026" s="7" t="str">
        <f t="shared" ref="AJ1026:AJ1089" si="147">IF(C1026="","",IF(ISNUMBER(M1026),IF(M1026&gt;0,"CON ERRORES","OK"),"N/A"))</f>
        <v/>
      </c>
      <c r="AK1026" s="7" t="str">
        <f t="shared" ref="AK1026:AK1089" si="148">IF(C1026="","",IF(ISNUMBER(AA1026),IF(AA1026&gt;0,"CON ERRORES","OK"),"N/A"))</f>
        <v/>
      </c>
      <c r="AL1026" s="7" t="str">
        <f t="shared" ref="AL1026:AL1089" si="149">IF(C1026="","",IF(OR(AG1026="ALARMA",AI1026="ALARMA",AJ1026="CON ERRORES",AK1026="CON ERRORES"),"REVISAR","OK"))</f>
        <v/>
      </c>
      <c r="AM1026" s="7" t="str">
        <f t="shared" ref="AM1026:AM1089" si="150">IF(C1026="","",IF(ISNUMBER(Q1026),Q1026,IF(ISNUMBER(AE1026),AE1026,"Ver detalle")))</f>
        <v/>
      </c>
      <c r="AN1026" s="8" t="str">
        <f>IF(C1026="","",COUNTIF($C$2:C1026,C1026))</f>
        <v/>
      </c>
      <c r="AO1026" s="8" t="str">
        <f t="shared" ref="AO1026:AO1089" si="151">IF(C1026="","",C1026&amp;"|"&amp;AN1026)</f>
        <v/>
      </c>
      <c r="AP1026" s="8" t="str">
        <f>IF(C1026="","",IF(AND(OR([1]Consulta!$C$29="",A1026=[1]Consulta!$C$29),OR([1]Consulta!$E$29="",B1026=[1]Consulta!$E$29),OR([1]Consulta!$G$29="",D1026=[1]Consulta!$G$29,R1026=[1]Consulta!$G$29)),ROW()-1,""))</f>
        <v/>
      </c>
    </row>
    <row r="1027" spans="1:42" ht="15" customHeight="1" x14ac:dyDescent="0.25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 t="str">
        <f t="shared" si="144"/>
        <v/>
      </c>
      <c r="AG1027" s="7" t="str">
        <f t="shared" ref="AG1027:AG1090" si="152">IF(C1027="","",IF(AF1027="","N/A",IF(AF1027&lt;0,"ALARMA","OK")))</f>
        <v/>
      </c>
      <c r="AH1027" s="7" t="str">
        <f t="shared" si="145"/>
        <v/>
      </c>
      <c r="AI1027" s="7" t="str">
        <f t="shared" si="146"/>
        <v/>
      </c>
      <c r="AJ1027" s="7" t="str">
        <f t="shared" si="147"/>
        <v/>
      </c>
      <c r="AK1027" s="7" t="str">
        <f t="shared" si="148"/>
        <v/>
      </c>
      <c r="AL1027" s="7" t="str">
        <f t="shared" si="149"/>
        <v/>
      </c>
      <c r="AM1027" s="7" t="str">
        <f t="shared" si="150"/>
        <v/>
      </c>
      <c r="AN1027" s="8" t="str">
        <f>IF(C1027="","",COUNTIF($C$2:C1027,C1027))</f>
        <v/>
      </c>
      <c r="AO1027" s="8" t="str">
        <f t="shared" si="151"/>
        <v/>
      </c>
      <c r="AP1027" s="8" t="str">
        <f>IF(C1027="","",IF(AND(OR([1]Consulta!$C$29="",A1027=[1]Consulta!$C$29),OR([1]Consulta!$E$29="",B1027=[1]Consulta!$E$29),OR([1]Consulta!$G$29="",D1027=[1]Consulta!$G$29,R1027=[1]Consulta!$G$29)),ROW()-1,""))</f>
        <v/>
      </c>
    </row>
    <row r="1028" spans="1:42" ht="15" customHeight="1" x14ac:dyDescent="0.25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 t="str">
        <f t="shared" si="144"/>
        <v/>
      </c>
      <c r="AG1028" s="7" t="str">
        <f t="shared" si="152"/>
        <v/>
      </c>
      <c r="AH1028" s="7" t="str">
        <f t="shared" si="145"/>
        <v/>
      </c>
      <c r="AI1028" s="7" t="str">
        <f t="shared" si="146"/>
        <v/>
      </c>
      <c r="AJ1028" s="7" t="str">
        <f t="shared" si="147"/>
        <v/>
      </c>
      <c r="AK1028" s="7" t="str">
        <f t="shared" si="148"/>
        <v/>
      </c>
      <c r="AL1028" s="7" t="str">
        <f t="shared" si="149"/>
        <v/>
      </c>
      <c r="AM1028" s="7" t="str">
        <f t="shared" si="150"/>
        <v/>
      </c>
      <c r="AN1028" s="8" t="str">
        <f>IF(C1028="","",COUNTIF($C$2:C1028,C1028))</f>
        <v/>
      </c>
      <c r="AO1028" s="8" t="str">
        <f t="shared" si="151"/>
        <v/>
      </c>
      <c r="AP1028" s="8" t="str">
        <f>IF(C1028="","",IF(AND(OR([1]Consulta!$C$29="",A1028=[1]Consulta!$C$29),OR([1]Consulta!$E$29="",B1028=[1]Consulta!$E$29),OR([1]Consulta!$G$29="",D1028=[1]Consulta!$G$29,R1028=[1]Consulta!$G$29)),ROW()-1,""))</f>
        <v/>
      </c>
    </row>
    <row r="1029" spans="1:42" ht="15" customHeight="1" x14ac:dyDescent="0.25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 t="str">
        <f t="shared" si="144"/>
        <v/>
      </c>
      <c r="AG1029" s="7" t="str">
        <f t="shared" si="152"/>
        <v/>
      </c>
      <c r="AH1029" s="7" t="str">
        <f t="shared" si="145"/>
        <v/>
      </c>
      <c r="AI1029" s="7" t="str">
        <f t="shared" si="146"/>
        <v/>
      </c>
      <c r="AJ1029" s="7" t="str">
        <f t="shared" si="147"/>
        <v/>
      </c>
      <c r="AK1029" s="7" t="str">
        <f t="shared" si="148"/>
        <v/>
      </c>
      <c r="AL1029" s="7" t="str">
        <f t="shared" si="149"/>
        <v/>
      </c>
      <c r="AM1029" s="7" t="str">
        <f t="shared" si="150"/>
        <v/>
      </c>
      <c r="AN1029" s="8" t="str">
        <f>IF(C1029="","",COUNTIF($C$2:C1029,C1029))</f>
        <v/>
      </c>
      <c r="AO1029" s="8" t="str">
        <f t="shared" si="151"/>
        <v/>
      </c>
      <c r="AP1029" s="8" t="str">
        <f>IF(C1029="","",IF(AND(OR([1]Consulta!$C$29="",A1029=[1]Consulta!$C$29),OR([1]Consulta!$E$29="",B1029=[1]Consulta!$E$29),OR([1]Consulta!$G$29="",D1029=[1]Consulta!$G$29,R1029=[1]Consulta!$G$29)),ROW()-1,""))</f>
        <v/>
      </c>
    </row>
    <row r="1030" spans="1:42" ht="15" customHeight="1" x14ac:dyDescent="0.25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 t="str">
        <f t="shared" si="144"/>
        <v/>
      </c>
      <c r="AG1030" s="7" t="str">
        <f t="shared" si="152"/>
        <v/>
      </c>
      <c r="AH1030" s="7" t="str">
        <f t="shared" si="145"/>
        <v/>
      </c>
      <c r="AI1030" s="7" t="str">
        <f t="shared" si="146"/>
        <v/>
      </c>
      <c r="AJ1030" s="7" t="str">
        <f t="shared" si="147"/>
        <v/>
      </c>
      <c r="AK1030" s="7" t="str">
        <f t="shared" si="148"/>
        <v/>
      </c>
      <c r="AL1030" s="7" t="str">
        <f t="shared" si="149"/>
        <v/>
      </c>
      <c r="AM1030" s="7" t="str">
        <f t="shared" si="150"/>
        <v/>
      </c>
      <c r="AN1030" s="8" t="str">
        <f>IF(C1030="","",COUNTIF($C$2:C1030,C1030))</f>
        <v/>
      </c>
      <c r="AO1030" s="8" t="str">
        <f t="shared" si="151"/>
        <v/>
      </c>
      <c r="AP1030" s="8" t="str">
        <f>IF(C1030="","",IF(AND(OR([1]Consulta!$C$29="",A1030=[1]Consulta!$C$29),OR([1]Consulta!$E$29="",B1030=[1]Consulta!$E$29),OR([1]Consulta!$G$29="",D1030=[1]Consulta!$G$29,R1030=[1]Consulta!$G$29)),ROW()-1,""))</f>
        <v/>
      </c>
    </row>
    <row r="1031" spans="1:42" ht="15" customHeight="1" x14ac:dyDescent="0.25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 t="str">
        <f t="shared" si="144"/>
        <v/>
      </c>
      <c r="AG1031" s="7" t="str">
        <f t="shared" si="152"/>
        <v/>
      </c>
      <c r="AH1031" s="7" t="str">
        <f t="shared" si="145"/>
        <v/>
      </c>
      <c r="AI1031" s="7" t="str">
        <f t="shared" si="146"/>
        <v/>
      </c>
      <c r="AJ1031" s="7" t="str">
        <f t="shared" si="147"/>
        <v/>
      </c>
      <c r="AK1031" s="7" t="str">
        <f t="shared" si="148"/>
        <v/>
      </c>
      <c r="AL1031" s="7" t="str">
        <f t="shared" si="149"/>
        <v/>
      </c>
      <c r="AM1031" s="7" t="str">
        <f t="shared" si="150"/>
        <v/>
      </c>
      <c r="AN1031" s="8" t="str">
        <f>IF(C1031="","",COUNTIF($C$2:C1031,C1031))</f>
        <v/>
      </c>
      <c r="AO1031" s="8" t="str">
        <f t="shared" si="151"/>
        <v/>
      </c>
      <c r="AP1031" s="8" t="str">
        <f>IF(C1031="","",IF(AND(OR([1]Consulta!$C$29="",A1031=[1]Consulta!$C$29),OR([1]Consulta!$E$29="",B1031=[1]Consulta!$E$29),OR([1]Consulta!$G$29="",D1031=[1]Consulta!$G$29,R1031=[1]Consulta!$G$29)),ROW()-1,""))</f>
        <v/>
      </c>
    </row>
    <row r="1032" spans="1:42" ht="15" customHeight="1" x14ac:dyDescent="0.25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 t="str">
        <f t="shared" si="144"/>
        <v/>
      </c>
      <c r="AG1032" s="7" t="str">
        <f t="shared" si="152"/>
        <v/>
      </c>
      <c r="AH1032" s="7" t="str">
        <f t="shared" si="145"/>
        <v/>
      </c>
      <c r="AI1032" s="7" t="str">
        <f t="shared" si="146"/>
        <v/>
      </c>
      <c r="AJ1032" s="7" t="str">
        <f t="shared" si="147"/>
        <v/>
      </c>
      <c r="AK1032" s="7" t="str">
        <f t="shared" si="148"/>
        <v/>
      </c>
      <c r="AL1032" s="7" t="str">
        <f t="shared" si="149"/>
        <v/>
      </c>
      <c r="AM1032" s="7" t="str">
        <f t="shared" si="150"/>
        <v/>
      </c>
      <c r="AN1032" s="8" t="str">
        <f>IF(C1032="","",COUNTIF($C$2:C1032,C1032))</f>
        <v/>
      </c>
      <c r="AO1032" s="8" t="str">
        <f t="shared" si="151"/>
        <v/>
      </c>
      <c r="AP1032" s="8" t="str">
        <f>IF(C1032="","",IF(AND(OR([1]Consulta!$C$29="",A1032=[1]Consulta!$C$29),OR([1]Consulta!$E$29="",B1032=[1]Consulta!$E$29),OR([1]Consulta!$G$29="",D1032=[1]Consulta!$G$29,R1032=[1]Consulta!$G$29)),ROW()-1,""))</f>
        <v/>
      </c>
    </row>
    <row r="1033" spans="1:42" ht="15" customHeight="1" x14ac:dyDescent="0.25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 t="str">
        <f t="shared" si="144"/>
        <v/>
      </c>
      <c r="AG1033" s="7" t="str">
        <f t="shared" si="152"/>
        <v/>
      </c>
      <c r="AH1033" s="7" t="str">
        <f t="shared" si="145"/>
        <v/>
      </c>
      <c r="AI1033" s="7" t="str">
        <f t="shared" si="146"/>
        <v/>
      </c>
      <c r="AJ1033" s="7" t="str">
        <f t="shared" si="147"/>
        <v/>
      </c>
      <c r="AK1033" s="7" t="str">
        <f t="shared" si="148"/>
        <v/>
      </c>
      <c r="AL1033" s="7" t="str">
        <f t="shared" si="149"/>
        <v/>
      </c>
      <c r="AM1033" s="7" t="str">
        <f t="shared" si="150"/>
        <v/>
      </c>
      <c r="AN1033" s="8" t="str">
        <f>IF(C1033="","",COUNTIF($C$2:C1033,C1033))</f>
        <v/>
      </c>
      <c r="AO1033" s="8" t="str">
        <f t="shared" si="151"/>
        <v/>
      </c>
      <c r="AP1033" s="8" t="str">
        <f>IF(C1033="","",IF(AND(OR([1]Consulta!$C$29="",A1033=[1]Consulta!$C$29),OR([1]Consulta!$E$29="",B1033=[1]Consulta!$E$29),OR([1]Consulta!$G$29="",D1033=[1]Consulta!$G$29,R1033=[1]Consulta!$G$29)),ROW()-1,""))</f>
        <v/>
      </c>
    </row>
    <row r="1034" spans="1:42" ht="15" customHeight="1" x14ac:dyDescent="0.25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 t="str">
        <f t="shared" si="144"/>
        <v/>
      </c>
      <c r="AG1034" s="7" t="str">
        <f t="shared" si="152"/>
        <v/>
      </c>
      <c r="AH1034" s="7" t="str">
        <f t="shared" si="145"/>
        <v/>
      </c>
      <c r="AI1034" s="7" t="str">
        <f t="shared" si="146"/>
        <v/>
      </c>
      <c r="AJ1034" s="7" t="str">
        <f t="shared" si="147"/>
        <v/>
      </c>
      <c r="AK1034" s="7" t="str">
        <f t="shared" si="148"/>
        <v/>
      </c>
      <c r="AL1034" s="7" t="str">
        <f t="shared" si="149"/>
        <v/>
      </c>
      <c r="AM1034" s="7" t="str">
        <f t="shared" si="150"/>
        <v/>
      </c>
      <c r="AN1034" s="8" t="str">
        <f>IF(C1034="","",COUNTIF($C$2:C1034,C1034))</f>
        <v/>
      </c>
      <c r="AO1034" s="8" t="str">
        <f t="shared" si="151"/>
        <v/>
      </c>
      <c r="AP1034" s="8" t="str">
        <f>IF(C1034="","",IF(AND(OR([1]Consulta!$C$29="",A1034=[1]Consulta!$C$29),OR([1]Consulta!$E$29="",B1034=[1]Consulta!$E$29),OR([1]Consulta!$G$29="",D1034=[1]Consulta!$G$29,R1034=[1]Consulta!$G$29)),ROW()-1,""))</f>
        <v/>
      </c>
    </row>
    <row r="1035" spans="1:42" ht="15" customHeight="1" x14ac:dyDescent="0.2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 t="str">
        <f t="shared" si="144"/>
        <v/>
      </c>
      <c r="AG1035" s="7" t="str">
        <f t="shared" si="152"/>
        <v/>
      </c>
      <c r="AH1035" s="7" t="str">
        <f t="shared" si="145"/>
        <v/>
      </c>
      <c r="AI1035" s="7" t="str">
        <f t="shared" si="146"/>
        <v/>
      </c>
      <c r="AJ1035" s="7" t="str">
        <f t="shared" si="147"/>
        <v/>
      </c>
      <c r="AK1035" s="7" t="str">
        <f t="shared" si="148"/>
        <v/>
      </c>
      <c r="AL1035" s="7" t="str">
        <f t="shared" si="149"/>
        <v/>
      </c>
      <c r="AM1035" s="7" t="str">
        <f t="shared" si="150"/>
        <v/>
      </c>
      <c r="AN1035" s="8" t="str">
        <f>IF(C1035="","",COUNTIF($C$2:C1035,C1035))</f>
        <v/>
      </c>
      <c r="AO1035" s="8" t="str">
        <f t="shared" si="151"/>
        <v/>
      </c>
      <c r="AP1035" s="8" t="str">
        <f>IF(C1035="","",IF(AND(OR([1]Consulta!$C$29="",A1035=[1]Consulta!$C$29),OR([1]Consulta!$E$29="",B1035=[1]Consulta!$E$29),OR([1]Consulta!$G$29="",D1035=[1]Consulta!$G$29,R1035=[1]Consulta!$G$29)),ROW()-1,""))</f>
        <v/>
      </c>
    </row>
    <row r="1036" spans="1:42" ht="15" customHeight="1" x14ac:dyDescent="0.25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 t="str">
        <f t="shared" si="144"/>
        <v/>
      </c>
      <c r="AG1036" s="7" t="str">
        <f t="shared" si="152"/>
        <v/>
      </c>
      <c r="AH1036" s="7" t="str">
        <f t="shared" si="145"/>
        <v/>
      </c>
      <c r="AI1036" s="7" t="str">
        <f t="shared" si="146"/>
        <v/>
      </c>
      <c r="AJ1036" s="7" t="str">
        <f t="shared" si="147"/>
        <v/>
      </c>
      <c r="AK1036" s="7" t="str">
        <f t="shared" si="148"/>
        <v/>
      </c>
      <c r="AL1036" s="7" t="str">
        <f t="shared" si="149"/>
        <v/>
      </c>
      <c r="AM1036" s="7" t="str">
        <f t="shared" si="150"/>
        <v/>
      </c>
      <c r="AN1036" s="8" t="str">
        <f>IF(C1036="","",COUNTIF($C$2:C1036,C1036))</f>
        <v/>
      </c>
      <c r="AO1036" s="8" t="str">
        <f t="shared" si="151"/>
        <v/>
      </c>
      <c r="AP1036" s="8" t="str">
        <f>IF(C1036="","",IF(AND(OR([1]Consulta!$C$29="",A1036=[1]Consulta!$C$29),OR([1]Consulta!$E$29="",B1036=[1]Consulta!$E$29),OR([1]Consulta!$G$29="",D1036=[1]Consulta!$G$29,R1036=[1]Consulta!$G$29)),ROW()-1,""))</f>
        <v/>
      </c>
    </row>
    <row r="1037" spans="1:42" ht="15" customHeight="1" x14ac:dyDescent="0.25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 t="str">
        <f t="shared" si="144"/>
        <v/>
      </c>
      <c r="AG1037" s="7" t="str">
        <f t="shared" si="152"/>
        <v/>
      </c>
      <c r="AH1037" s="7" t="str">
        <f t="shared" si="145"/>
        <v/>
      </c>
      <c r="AI1037" s="7" t="str">
        <f t="shared" si="146"/>
        <v/>
      </c>
      <c r="AJ1037" s="7" t="str">
        <f t="shared" si="147"/>
        <v/>
      </c>
      <c r="AK1037" s="7" t="str">
        <f t="shared" si="148"/>
        <v/>
      </c>
      <c r="AL1037" s="7" t="str">
        <f t="shared" si="149"/>
        <v/>
      </c>
      <c r="AM1037" s="7" t="str">
        <f t="shared" si="150"/>
        <v/>
      </c>
      <c r="AN1037" s="8" t="str">
        <f>IF(C1037="","",COUNTIF($C$2:C1037,C1037))</f>
        <v/>
      </c>
      <c r="AO1037" s="8" t="str">
        <f t="shared" si="151"/>
        <v/>
      </c>
      <c r="AP1037" s="8" t="str">
        <f>IF(C1037="","",IF(AND(OR([1]Consulta!$C$29="",A1037=[1]Consulta!$C$29),OR([1]Consulta!$E$29="",B1037=[1]Consulta!$E$29),OR([1]Consulta!$G$29="",D1037=[1]Consulta!$G$29,R1037=[1]Consulta!$G$29)),ROW()-1,""))</f>
        <v/>
      </c>
    </row>
    <row r="1038" spans="1:42" ht="15" customHeight="1" x14ac:dyDescent="0.25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 t="str">
        <f t="shared" si="144"/>
        <v/>
      </c>
      <c r="AG1038" s="7" t="str">
        <f t="shared" si="152"/>
        <v/>
      </c>
      <c r="AH1038" s="7" t="str">
        <f t="shared" si="145"/>
        <v/>
      </c>
      <c r="AI1038" s="7" t="str">
        <f t="shared" si="146"/>
        <v/>
      </c>
      <c r="AJ1038" s="7" t="str">
        <f t="shared" si="147"/>
        <v/>
      </c>
      <c r="AK1038" s="7" t="str">
        <f t="shared" si="148"/>
        <v/>
      </c>
      <c r="AL1038" s="7" t="str">
        <f t="shared" si="149"/>
        <v/>
      </c>
      <c r="AM1038" s="7" t="str">
        <f t="shared" si="150"/>
        <v/>
      </c>
      <c r="AN1038" s="8" t="str">
        <f>IF(C1038="","",COUNTIF($C$2:C1038,C1038))</f>
        <v/>
      </c>
      <c r="AO1038" s="8" t="str">
        <f t="shared" si="151"/>
        <v/>
      </c>
      <c r="AP1038" s="8" t="str">
        <f>IF(C1038="","",IF(AND(OR([1]Consulta!$C$29="",A1038=[1]Consulta!$C$29),OR([1]Consulta!$E$29="",B1038=[1]Consulta!$E$29),OR([1]Consulta!$G$29="",D1038=[1]Consulta!$G$29,R1038=[1]Consulta!$G$29)),ROW()-1,""))</f>
        <v/>
      </c>
    </row>
    <row r="1039" spans="1:42" ht="15" customHeight="1" x14ac:dyDescent="0.25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 t="str">
        <f t="shared" si="144"/>
        <v/>
      </c>
      <c r="AG1039" s="7" t="str">
        <f t="shared" si="152"/>
        <v/>
      </c>
      <c r="AH1039" s="7" t="str">
        <f t="shared" si="145"/>
        <v/>
      </c>
      <c r="AI1039" s="7" t="str">
        <f t="shared" si="146"/>
        <v/>
      </c>
      <c r="AJ1039" s="7" t="str">
        <f t="shared" si="147"/>
        <v/>
      </c>
      <c r="AK1039" s="7" t="str">
        <f t="shared" si="148"/>
        <v/>
      </c>
      <c r="AL1039" s="7" t="str">
        <f t="shared" si="149"/>
        <v/>
      </c>
      <c r="AM1039" s="7" t="str">
        <f t="shared" si="150"/>
        <v/>
      </c>
      <c r="AN1039" s="8" t="str">
        <f>IF(C1039="","",COUNTIF($C$2:C1039,C1039))</f>
        <v/>
      </c>
      <c r="AO1039" s="8" t="str">
        <f t="shared" si="151"/>
        <v/>
      </c>
      <c r="AP1039" s="8" t="str">
        <f>IF(C1039="","",IF(AND(OR([1]Consulta!$C$29="",A1039=[1]Consulta!$C$29),OR([1]Consulta!$E$29="",B1039=[1]Consulta!$E$29),OR([1]Consulta!$G$29="",D1039=[1]Consulta!$G$29,R1039=[1]Consulta!$G$29)),ROW()-1,""))</f>
        <v/>
      </c>
    </row>
    <row r="1040" spans="1:42" ht="15" customHeight="1" x14ac:dyDescent="0.25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 t="str">
        <f t="shared" si="144"/>
        <v/>
      </c>
      <c r="AG1040" s="7" t="str">
        <f t="shared" si="152"/>
        <v/>
      </c>
      <c r="AH1040" s="7" t="str">
        <f t="shared" si="145"/>
        <v/>
      </c>
      <c r="AI1040" s="7" t="str">
        <f t="shared" si="146"/>
        <v/>
      </c>
      <c r="AJ1040" s="7" t="str">
        <f t="shared" si="147"/>
        <v/>
      </c>
      <c r="AK1040" s="7" t="str">
        <f t="shared" si="148"/>
        <v/>
      </c>
      <c r="AL1040" s="7" t="str">
        <f t="shared" si="149"/>
        <v/>
      </c>
      <c r="AM1040" s="7" t="str">
        <f t="shared" si="150"/>
        <v/>
      </c>
      <c r="AN1040" s="8" t="str">
        <f>IF(C1040="","",COUNTIF($C$2:C1040,C1040))</f>
        <v/>
      </c>
      <c r="AO1040" s="8" t="str">
        <f t="shared" si="151"/>
        <v/>
      </c>
      <c r="AP1040" s="8" t="str">
        <f>IF(C1040="","",IF(AND(OR([1]Consulta!$C$29="",A1040=[1]Consulta!$C$29),OR([1]Consulta!$E$29="",B1040=[1]Consulta!$E$29),OR([1]Consulta!$G$29="",D1040=[1]Consulta!$G$29,R1040=[1]Consulta!$G$29)),ROW()-1,""))</f>
        <v/>
      </c>
    </row>
    <row r="1041" spans="1:42" ht="15" customHeight="1" x14ac:dyDescent="0.25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 t="str">
        <f t="shared" si="144"/>
        <v/>
      </c>
      <c r="AG1041" s="7" t="str">
        <f t="shared" si="152"/>
        <v/>
      </c>
      <c r="AH1041" s="7" t="str">
        <f t="shared" si="145"/>
        <v/>
      </c>
      <c r="AI1041" s="7" t="str">
        <f t="shared" si="146"/>
        <v/>
      </c>
      <c r="AJ1041" s="7" t="str">
        <f t="shared" si="147"/>
        <v/>
      </c>
      <c r="AK1041" s="7" t="str">
        <f t="shared" si="148"/>
        <v/>
      </c>
      <c r="AL1041" s="7" t="str">
        <f t="shared" si="149"/>
        <v/>
      </c>
      <c r="AM1041" s="7" t="str">
        <f t="shared" si="150"/>
        <v/>
      </c>
      <c r="AN1041" s="8" t="str">
        <f>IF(C1041="","",COUNTIF($C$2:C1041,C1041))</f>
        <v/>
      </c>
      <c r="AO1041" s="8" t="str">
        <f t="shared" si="151"/>
        <v/>
      </c>
      <c r="AP1041" s="8" t="str">
        <f>IF(C1041="","",IF(AND(OR([1]Consulta!$C$29="",A1041=[1]Consulta!$C$29),OR([1]Consulta!$E$29="",B1041=[1]Consulta!$E$29),OR([1]Consulta!$G$29="",D1041=[1]Consulta!$G$29,R1041=[1]Consulta!$G$29)),ROW()-1,""))</f>
        <v/>
      </c>
    </row>
    <row r="1042" spans="1:42" ht="15" customHeight="1" x14ac:dyDescent="0.25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 t="str">
        <f t="shared" si="144"/>
        <v/>
      </c>
      <c r="AG1042" s="7" t="str">
        <f t="shared" si="152"/>
        <v/>
      </c>
      <c r="AH1042" s="7" t="str">
        <f t="shared" si="145"/>
        <v/>
      </c>
      <c r="AI1042" s="7" t="str">
        <f t="shared" si="146"/>
        <v/>
      </c>
      <c r="AJ1042" s="7" t="str">
        <f t="shared" si="147"/>
        <v/>
      </c>
      <c r="AK1042" s="7" t="str">
        <f t="shared" si="148"/>
        <v/>
      </c>
      <c r="AL1042" s="7" t="str">
        <f t="shared" si="149"/>
        <v/>
      </c>
      <c r="AM1042" s="7" t="str">
        <f t="shared" si="150"/>
        <v/>
      </c>
      <c r="AN1042" s="8" t="str">
        <f>IF(C1042="","",COUNTIF($C$2:C1042,C1042))</f>
        <v/>
      </c>
      <c r="AO1042" s="8" t="str">
        <f t="shared" si="151"/>
        <v/>
      </c>
      <c r="AP1042" s="8" t="str">
        <f>IF(C1042="","",IF(AND(OR([1]Consulta!$C$29="",A1042=[1]Consulta!$C$29),OR([1]Consulta!$E$29="",B1042=[1]Consulta!$E$29),OR([1]Consulta!$G$29="",D1042=[1]Consulta!$G$29,R1042=[1]Consulta!$G$29)),ROW()-1,""))</f>
        <v/>
      </c>
    </row>
    <row r="1043" spans="1:42" ht="15" customHeight="1" x14ac:dyDescent="0.25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 t="str">
        <f t="shared" si="144"/>
        <v/>
      </c>
      <c r="AG1043" s="7" t="str">
        <f t="shared" si="152"/>
        <v/>
      </c>
      <c r="AH1043" s="7" t="str">
        <f t="shared" si="145"/>
        <v/>
      </c>
      <c r="AI1043" s="7" t="str">
        <f t="shared" si="146"/>
        <v/>
      </c>
      <c r="AJ1043" s="7" t="str">
        <f t="shared" si="147"/>
        <v/>
      </c>
      <c r="AK1043" s="7" t="str">
        <f t="shared" si="148"/>
        <v/>
      </c>
      <c r="AL1043" s="7" t="str">
        <f t="shared" si="149"/>
        <v/>
      </c>
      <c r="AM1043" s="7" t="str">
        <f t="shared" si="150"/>
        <v/>
      </c>
      <c r="AN1043" s="8" t="str">
        <f>IF(C1043="","",COUNTIF($C$2:C1043,C1043))</f>
        <v/>
      </c>
      <c r="AO1043" s="8" t="str">
        <f t="shared" si="151"/>
        <v/>
      </c>
      <c r="AP1043" s="8" t="str">
        <f>IF(C1043="","",IF(AND(OR([1]Consulta!$C$29="",A1043=[1]Consulta!$C$29),OR([1]Consulta!$E$29="",B1043=[1]Consulta!$E$29),OR([1]Consulta!$G$29="",D1043=[1]Consulta!$G$29,R1043=[1]Consulta!$G$29)),ROW()-1,""))</f>
        <v/>
      </c>
    </row>
    <row r="1044" spans="1:42" ht="15" customHeight="1" x14ac:dyDescent="0.25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 t="str">
        <f t="shared" si="144"/>
        <v/>
      </c>
      <c r="AG1044" s="7" t="str">
        <f t="shared" si="152"/>
        <v/>
      </c>
      <c r="AH1044" s="7" t="str">
        <f t="shared" si="145"/>
        <v/>
      </c>
      <c r="AI1044" s="7" t="str">
        <f t="shared" si="146"/>
        <v/>
      </c>
      <c r="AJ1044" s="7" t="str">
        <f t="shared" si="147"/>
        <v/>
      </c>
      <c r="AK1044" s="7" t="str">
        <f t="shared" si="148"/>
        <v/>
      </c>
      <c r="AL1044" s="7" t="str">
        <f t="shared" si="149"/>
        <v/>
      </c>
      <c r="AM1044" s="7" t="str">
        <f t="shared" si="150"/>
        <v/>
      </c>
      <c r="AN1044" s="8" t="str">
        <f>IF(C1044="","",COUNTIF($C$2:C1044,C1044))</f>
        <v/>
      </c>
      <c r="AO1044" s="8" t="str">
        <f t="shared" si="151"/>
        <v/>
      </c>
      <c r="AP1044" s="8" t="str">
        <f>IF(C1044="","",IF(AND(OR([1]Consulta!$C$29="",A1044=[1]Consulta!$C$29),OR([1]Consulta!$E$29="",B1044=[1]Consulta!$E$29),OR([1]Consulta!$G$29="",D1044=[1]Consulta!$G$29,R1044=[1]Consulta!$G$29)),ROW()-1,""))</f>
        <v/>
      </c>
    </row>
    <row r="1045" spans="1:42" ht="15" customHeight="1" x14ac:dyDescent="0.2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 t="str">
        <f t="shared" si="144"/>
        <v/>
      </c>
      <c r="AG1045" s="7" t="str">
        <f t="shared" si="152"/>
        <v/>
      </c>
      <c r="AH1045" s="7" t="str">
        <f t="shared" si="145"/>
        <v/>
      </c>
      <c r="AI1045" s="7" t="str">
        <f t="shared" si="146"/>
        <v/>
      </c>
      <c r="AJ1045" s="7" t="str">
        <f t="shared" si="147"/>
        <v/>
      </c>
      <c r="AK1045" s="7" t="str">
        <f t="shared" si="148"/>
        <v/>
      </c>
      <c r="AL1045" s="7" t="str">
        <f t="shared" si="149"/>
        <v/>
      </c>
      <c r="AM1045" s="7" t="str">
        <f t="shared" si="150"/>
        <v/>
      </c>
      <c r="AN1045" s="8" t="str">
        <f>IF(C1045="","",COUNTIF($C$2:C1045,C1045))</f>
        <v/>
      </c>
      <c r="AO1045" s="8" t="str">
        <f t="shared" si="151"/>
        <v/>
      </c>
      <c r="AP1045" s="8" t="str">
        <f>IF(C1045="","",IF(AND(OR([1]Consulta!$C$29="",A1045=[1]Consulta!$C$29),OR([1]Consulta!$E$29="",B1045=[1]Consulta!$E$29),OR([1]Consulta!$G$29="",D1045=[1]Consulta!$G$29,R1045=[1]Consulta!$G$29)),ROW()-1,""))</f>
        <v/>
      </c>
    </row>
    <row r="1046" spans="1:42" ht="15" customHeight="1" x14ac:dyDescent="0.25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 t="str">
        <f t="shared" si="144"/>
        <v/>
      </c>
      <c r="AG1046" s="7" t="str">
        <f t="shared" si="152"/>
        <v/>
      </c>
      <c r="AH1046" s="7" t="str">
        <f t="shared" si="145"/>
        <v/>
      </c>
      <c r="AI1046" s="7" t="str">
        <f t="shared" si="146"/>
        <v/>
      </c>
      <c r="AJ1046" s="7" t="str">
        <f t="shared" si="147"/>
        <v/>
      </c>
      <c r="AK1046" s="7" t="str">
        <f t="shared" si="148"/>
        <v/>
      </c>
      <c r="AL1046" s="7" t="str">
        <f t="shared" si="149"/>
        <v/>
      </c>
      <c r="AM1046" s="7" t="str">
        <f t="shared" si="150"/>
        <v/>
      </c>
      <c r="AN1046" s="8" t="str">
        <f>IF(C1046="","",COUNTIF($C$2:C1046,C1046))</f>
        <v/>
      </c>
      <c r="AO1046" s="8" t="str">
        <f t="shared" si="151"/>
        <v/>
      </c>
      <c r="AP1046" s="8" t="str">
        <f>IF(C1046="","",IF(AND(OR([1]Consulta!$C$29="",A1046=[1]Consulta!$C$29),OR([1]Consulta!$E$29="",B1046=[1]Consulta!$E$29),OR([1]Consulta!$G$29="",D1046=[1]Consulta!$G$29,R1046=[1]Consulta!$G$29)),ROW()-1,""))</f>
        <v/>
      </c>
    </row>
    <row r="1047" spans="1:42" ht="15" customHeight="1" x14ac:dyDescent="0.25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 t="str">
        <f t="shared" si="144"/>
        <v/>
      </c>
      <c r="AG1047" s="7" t="str">
        <f t="shared" si="152"/>
        <v/>
      </c>
      <c r="AH1047" s="7" t="str">
        <f t="shared" si="145"/>
        <v/>
      </c>
      <c r="AI1047" s="7" t="str">
        <f t="shared" si="146"/>
        <v/>
      </c>
      <c r="AJ1047" s="7" t="str">
        <f t="shared" si="147"/>
        <v/>
      </c>
      <c r="AK1047" s="7" t="str">
        <f t="shared" si="148"/>
        <v/>
      </c>
      <c r="AL1047" s="7" t="str">
        <f t="shared" si="149"/>
        <v/>
      </c>
      <c r="AM1047" s="7" t="str">
        <f t="shared" si="150"/>
        <v/>
      </c>
      <c r="AN1047" s="8" t="str">
        <f>IF(C1047="","",COUNTIF($C$2:C1047,C1047))</f>
        <v/>
      </c>
      <c r="AO1047" s="8" t="str">
        <f t="shared" si="151"/>
        <v/>
      </c>
      <c r="AP1047" s="8" t="str">
        <f>IF(C1047="","",IF(AND(OR([1]Consulta!$C$29="",A1047=[1]Consulta!$C$29),OR([1]Consulta!$E$29="",B1047=[1]Consulta!$E$29),OR([1]Consulta!$G$29="",D1047=[1]Consulta!$G$29,R1047=[1]Consulta!$G$29)),ROW()-1,""))</f>
        <v/>
      </c>
    </row>
    <row r="1048" spans="1:42" ht="15" customHeight="1" x14ac:dyDescent="0.25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 t="str">
        <f t="shared" si="144"/>
        <v/>
      </c>
      <c r="AG1048" s="7" t="str">
        <f t="shared" si="152"/>
        <v/>
      </c>
      <c r="AH1048" s="7" t="str">
        <f t="shared" si="145"/>
        <v/>
      </c>
      <c r="AI1048" s="7" t="str">
        <f t="shared" si="146"/>
        <v/>
      </c>
      <c r="AJ1048" s="7" t="str">
        <f t="shared" si="147"/>
        <v/>
      </c>
      <c r="AK1048" s="7" t="str">
        <f t="shared" si="148"/>
        <v/>
      </c>
      <c r="AL1048" s="7" t="str">
        <f t="shared" si="149"/>
        <v/>
      </c>
      <c r="AM1048" s="7" t="str">
        <f t="shared" si="150"/>
        <v/>
      </c>
      <c r="AN1048" s="8" t="str">
        <f>IF(C1048="","",COUNTIF($C$2:C1048,C1048))</f>
        <v/>
      </c>
      <c r="AO1048" s="8" t="str">
        <f t="shared" si="151"/>
        <v/>
      </c>
      <c r="AP1048" s="8" t="str">
        <f>IF(C1048="","",IF(AND(OR([1]Consulta!$C$29="",A1048=[1]Consulta!$C$29),OR([1]Consulta!$E$29="",B1048=[1]Consulta!$E$29),OR([1]Consulta!$G$29="",D1048=[1]Consulta!$G$29,R1048=[1]Consulta!$G$29)),ROW()-1,""))</f>
        <v/>
      </c>
    </row>
    <row r="1049" spans="1:42" ht="15" customHeight="1" x14ac:dyDescent="0.25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 t="str">
        <f t="shared" si="144"/>
        <v/>
      </c>
      <c r="AG1049" s="7" t="str">
        <f t="shared" si="152"/>
        <v/>
      </c>
      <c r="AH1049" s="7" t="str">
        <f t="shared" si="145"/>
        <v/>
      </c>
      <c r="AI1049" s="7" t="str">
        <f t="shared" si="146"/>
        <v/>
      </c>
      <c r="AJ1049" s="7" t="str">
        <f t="shared" si="147"/>
        <v/>
      </c>
      <c r="AK1049" s="7" t="str">
        <f t="shared" si="148"/>
        <v/>
      </c>
      <c r="AL1049" s="7" t="str">
        <f t="shared" si="149"/>
        <v/>
      </c>
      <c r="AM1049" s="7" t="str">
        <f t="shared" si="150"/>
        <v/>
      </c>
      <c r="AN1049" s="8" t="str">
        <f>IF(C1049="","",COUNTIF($C$2:C1049,C1049))</f>
        <v/>
      </c>
      <c r="AO1049" s="8" t="str">
        <f t="shared" si="151"/>
        <v/>
      </c>
      <c r="AP1049" s="8" t="str">
        <f>IF(C1049="","",IF(AND(OR([1]Consulta!$C$29="",A1049=[1]Consulta!$C$29),OR([1]Consulta!$E$29="",B1049=[1]Consulta!$E$29),OR([1]Consulta!$G$29="",D1049=[1]Consulta!$G$29,R1049=[1]Consulta!$G$29)),ROW()-1,""))</f>
        <v/>
      </c>
    </row>
    <row r="1050" spans="1:42" ht="15" customHeight="1" x14ac:dyDescent="0.25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 t="str">
        <f t="shared" si="144"/>
        <v/>
      </c>
      <c r="AG1050" s="7" t="str">
        <f t="shared" si="152"/>
        <v/>
      </c>
      <c r="AH1050" s="7" t="str">
        <f t="shared" si="145"/>
        <v/>
      </c>
      <c r="AI1050" s="7" t="str">
        <f t="shared" si="146"/>
        <v/>
      </c>
      <c r="AJ1050" s="7" t="str">
        <f t="shared" si="147"/>
        <v/>
      </c>
      <c r="AK1050" s="7" t="str">
        <f t="shared" si="148"/>
        <v/>
      </c>
      <c r="AL1050" s="7" t="str">
        <f t="shared" si="149"/>
        <v/>
      </c>
      <c r="AM1050" s="7" t="str">
        <f t="shared" si="150"/>
        <v/>
      </c>
      <c r="AN1050" s="8" t="str">
        <f>IF(C1050="","",COUNTIF($C$2:C1050,C1050))</f>
        <v/>
      </c>
      <c r="AO1050" s="8" t="str">
        <f t="shared" si="151"/>
        <v/>
      </c>
      <c r="AP1050" s="8" t="str">
        <f>IF(C1050="","",IF(AND(OR([1]Consulta!$C$29="",A1050=[1]Consulta!$C$29),OR([1]Consulta!$E$29="",B1050=[1]Consulta!$E$29),OR([1]Consulta!$G$29="",D1050=[1]Consulta!$G$29,R1050=[1]Consulta!$G$29)),ROW()-1,""))</f>
        <v/>
      </c>
    </row>
    <row r="1051" spans="1:42" ht="15" customHeight="1" x14ac:dyDescent="0.25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 t="str">
        <f t="shared" si="144"/>
        <v/>
      </c>
      <c r="AG1051" s="7" t="str">
        <f t="shared" si="152"/>
        <v/>
      </c>
      <c r="AH1051" s="7" t="str">
        <f t="shared" si="145"/>
        <v/>
      </c>
      <c r="AI1051" s="7" t="str">
        <f t="shared" si="146"/>
        <v/>
      </c>
      <c r="AJ1051" s="7" t="str">
        <f t="shared" si="147"/>
        <v/>
      </c>
      <c r="AK1051" s="7" t="str">
        <f t="shared" si="148"/>
        <v/>
      </c>
      <c r="AL1051" s="7" t="str">
        <f t="shared" si="149"/>
        <v/>
      </c>
      <c r="AM1051" s="7" t="str">
        <f t="shared" si="150"/>
        <v/>
      </c>
      <c r="AN1051" s="8" t="str">
        <f>IF(C1051="","",COUNTIF($C$2:C1051,C1051))</f>
        <v/>
      </c>
      <c r="AO1051" s="8" t="str">
        <f t="shared" si="151"/>
        <v/>
      </c>
      <c r="AP1051" s="8" t="str">
        <f>IF(C1051="","",IF(AND(OR([1]Consulta!$C$29="",A1051=[1]Consulta!$C$29),OR([1]Consulta!$E$29="",B1051=[1]Consulta!$E$29),OR([1]Consulta!$G$29="",D1051=[1]Consulta!$G$29,R1051=[1]Consulta!$G$29)),ROW()-1,""))</f>
        <v/>
      </c>
    </row>
    <row r="1052" spans="1:42" ht="15" customHeight="1" x14ac:dyDescent="0.25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 t="str">
        <f t="shared" si="144"/>
        <v/>
      </c>
      <c r="AG1052" s="7" t="str">
        <f t="shared" si="152"/>
        <v/>
      </c>
      <c r="AH1052" s="7" t="str">
        <f t="shared" si="145"/>
        <v/>
      </c>
      <c r="AI1052" s="7" t="str">
        <f t="shared" si="146"/>
        <v/>
      </c>
      <c r="AJ1052" s="7" t="str">
        <f t="shared" si="147"/>
        <v/>
      </c>
      <c r="AK1052" s="7" t="str">
        <f t="shared" si="148"/>
        <v/>
      </c>
      <c r="AL1052" s="7" t="str">
        <f t="shared" si="149"/>
        <v/>
      </c>
      <c r="AM1052" s="7" t="str">
        <f t="shared" si="150"/>
        <v/>
      </c>
      <c r="AN1052" s="8" t="str">
        <f>IF(C1052="","",COUNTIF($C$2:C1052,C1052))</f>
        <v/>
      </c>
      <c r="AO1052" s="8" t="str">
        <f t="shared" si="151"/>
        <v/>
      </c>
      <c r="AP1052" s="8" t="str">
        <f>IF(C1052="","",IF(AND(OR([1]Consulta!$C$29="",A1052=[1]Consulta!$C$29),OR([1]Consulta!$E$29="",B1052=[1]Consulta!$E$29),OR([1]Consulta!$G$29="",D1052=[1]Consulta!$G$29,R1052=[1]Consulta!$G$29)),ROW()-1,""))</f>
        <v/>
      </c>
    </row>
    <row r="1053" spans="1:42" ht="15" customHeight="1" x14ac:dyDescent="0.25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 t="str">
        <f t="shared" si="144"/>
        <v/>
      </c>
      <c r="AG1053" s="7" t="str">
        <f t="shared" si="152"/>
        <v/>
      </c>
      <c r="AH1053" s="7" t="str">
        <f t="shared" si="145"/>
        <v/>
      </c>
      <c r="AI1053" s="7" t="str">
        <f t="shared" si="146"/>
        <v/>
      </c>
      <c r="AJ1053" s="7" t="str">
        <f t="shared" si="147"/>
        <v/>
      </c>
      <c r="AK1053" s="7" t="str">
        <f t="shared" si="148"/>
        <v/>
      </c>
      <c r="AL1053" s="7" t="str">
        <f t="shared" si="149"/>
        <v/>
      </c>
      <c r="AM1053" s="7" t="str">
        <f t="shared" si="150"/>
        <v/>
      </c>
      <c r="AN1053" s="8" t="str">
        <f>IF(C1053="","",COUNTIF($C$2:C1053,C1053))</f>
        <v/>
      </c>
      <c r="AO1053" s="8" t="str">
        <f t="shared" si="151"/>
        <v/>
      </c>
      <c r="AP1053" s="8" t="str">
        <f>IF(C1053="","",IF(AND(OR([1]Consulta!$C$29="",A1053=[1]Consulta!$C$29),OR([1]Consulta!$E$29="",B1053=[1]Consulta!$E$29),OR([1]Consulta!$G$29="",D1053=[1]Consulta!$G$29,R1053=[1]Consulta!$G$29)),ROW()-1,""))</f>
        <v/>
      </c>
    </row>
    <row r="1054" spans="1:42" ht="15" customHeight="1" x14ac:dyDescent="0.25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 t="str">
        <f t="shared" si="144"/>
        <v/>
      </c>
      <c r="AG1054" s="7" t="str">
        <f t="shared" si="152"/>
        <v/>
      </c>
      <c r="AH1054" s="7" t="str">
        <f t="shared" si="145"/>
        <v/>
      </c>
      <c r="AI1054" s="7" t="str">
        <f t="shared" si="146"/>
        <v/>
      </c>
      <c r="AJ1054" s="7" t="str">
        <f t="shared" si="147"/>
        <v/>
      </c>
      <c r="AK1054" s="7" t="str">
        <f t="shared" si="148"/>
        <v/>
      </c>
      <c r="AL1054" s="7" t="str">
        <f t="shared" si="149"/>
        <v/>
      </c>
      <c r="AM1054" s="7" t="str">
        <f t="shared" si="150"/>
        <v/>
      </c>
      <c r="AN1054" s="8" t="str">
        <f>IF(C1054="","",COUNTIF($C$2:C1054,C1054))</f>
        <v/>
      </c>
      <c r="AO1054" s="8" t="str">
        <f t="shared" si="151"/>
        <v/>
      </c>
      <c r="AP1054" s="8" t="str">
        <f>IF(C1054="","",IF(AND(OR([1]Consulta!$C$29="",A1054=[1]Consulta!$C$29),OR([1]Consulta!$E$29="",B1054=[1]Consulta!$E$29),OR([1]Consulta!$G$29="",D1054=[1]Consulta!$G$29,R1054=[1]Consulta!$G$29)),ROW()-1,""))</f>
        <v/>
      </c>
    </row>
    <row r="1055" spans="1:42" ht="15" customHeight="1" x14ac:dyDescent="0.2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 t="str">
        <f t="shared" si="144"/>
        <v/>
      </c>
      <c r="AG1055" s="7" t="str">
        <f t="shared" si="152"/>
        <v/>
      </c>
      <c r="AH1055" s="7" t="str">
        <f t="shared" si="145"/>
        <v/>
      </c>
      <c r="AI1055" s="7" t="str">
        <f t="shared" si="146"/>
        <v/>
      </c>
      <c r="AJ1055" s="7" t="str">
        <f t="shared" si="147"/>
        <v/>
      </c>
      <c r="AK1055" s="7" t="str">
        <f t="shared" si="148"/>
        <v/>
      </c>
      <c r="AL1055" s="7" t="str">
        <f t="shared" si="149"/>
        <v/>
      </c>
      <c r="AM1055" s="7" t="str">
        <f t="shared" si="150"/>
        <v/>
      </c>
      <c r="AN1055" s="8" t="str">
        <f>IF(C1055="","",COUNTIF($C$2:C1055,C1055))</f>
        <v/>
      </c>
      <c r="AO1055" s="8" t="str">
        <f t="shared" si="151"/>
        <v/>
      </c>
      <c r="AP1055" s="8" t="str">
        <f>IF(C1055="","",IF(AND(OR([1]Consulta!$C$29="",A1055=[1]Consulta!$C$29),OR([1]Consulta!$E$29="",B1055=[1]Consulta!$E$29),OR([1]Consulta!$G$29="",D1055=[1]Consulta!$G$29,R1055=[1]Consulta!$G$29)),ROW()-1,""))</f>
        <v/>
      </c>
    </row>
    <row r="1056" spans="1:42" ht="15" customHeight="1" x14ac:dyDescent="0.25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 t="str">
        <f t="shared" si="144"/>
        <v/>
      </c>
      <c r="AG1056" s="7" t="str">
        <f t="shared" si="152"/>
        <v/>
      </c>
      <c r="AH1056" s="7" t="str">
        <f t="shared" si="145"/>
        <v/>
      </c>
      <c r="AI1056" s="7" t="str">
        <f t="shared" si="146"/>
        <v/>
      </c>
      <c r="AJ1056" s="7" t="str">
        <f t="shared" si="147"/>
        <v/>
      </c>
      <c r="AK1056" s="7" t="str">
        <f t="shared" si="148"/>
        <v/>
      </c>
      <c r="AL1056" s="7" t="str">
        <f t="shared" si="149"/>
        <v/>
      </c>
      <c r="AM1056" s="7" t="str">
        <f t="shared" si="150"/>
        <v/>
      </c>
      <c r="AN1056" s="8" t="str">
        <f>IF(C1056="","",COUNTIF($C$2:C1056,C1056))</f>
        <v/>
      </c>
      <c r="AO1056" s="8" t="str">
        <f t="shared" si="151"/>
        <v/>
      </c>
      <c r="AP1056" s="8" t="str">
        <f>IF(C1056="","",IF(AND(OR([1]Consulta!$C$29="",A1056=[1]Consulta!$C$29),OR([1]Consulta!$E$29="",B1056=[1]Consulta!$E$29),OR([1]Consulta!$G$29="",D1056=[1]Consulta!$G$29,R1056=[1]Consulta!$G$29)),ROW()-1,""))</f>
        <v/>
      </c>
    </row>
    <row r="1057" spans="1:42" ht="15" customHeight="1" x14ac:dyDescent="0.25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 t="str">
        <f t="shared" si="144"/>
        <v/>
      </c>
      <c r="AG1057" s="7" t="str">
        <f t="shared" si="152"/>
        <v/>
      </c>
      <c r="AH1057" s="7" t="str">
        <f t="shared" si="145"/>
        <v/>
      </c>
      <c r="AI1057" s="7" t="str">
        <f t="shared" si="146"/>
        <v/>
      </c>
      <c r="AJ1057" s="7" t="str">
        <f t="shared" si="147"/>
        <v/>
      </c>
      <c r="AK1057" s="7" t="str">
        <f t="shared" si="148"/>
        <v/>
      </c>
      <c r="AL1057" s="7" t="str">
        <f t="shared" si="149"/>
        <v/>
      </c>
      <c r="AM1057" s="7" t="str">
        <f t="shared" si="150"/>
        <v/>
      </c>
      <c r="AN1057" s="8" t="str">
        <f>IF(C1057="","",COUNTIF($C$2:C1057,C1057))</f>
        <v/>
      </c>
      <c r="AO1057" s="8" t="str">
        <f t="shared" si="151"/>
        <v/>
      </c>
      <c r="AP1057" s="8" t="str">
        <f>IF(C1057="","",IF(AND(OR([1]Consulta!$C$29="",A1057=[1]Consulta!$C$29),OR([1]Consulta!$E$29="",B1057=[1]Consulta!$E$29),OR([1]Consulta!$G$29="",D1057=[1]Consulta!$G$29,R1057=[1]Consulta!$G$29)),ROW()-1,""))</f>
        <v/>
      </c>
    </row>
    <row r="1058" spans="1:42" ht="15" customHeight="1" x14ac:dyDescent="0.25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 t="str">
        <f t="shared" si="144"/>
        <v/>
      </c>
      <c r="AG1058" s="7" t="str">
        <f t="shared" si="152"/>
        <v/>
      </c>
      <c r="AH1058" s="7" t="str">
        <f t="shared" si="145"/>
        <v/>
      </c>
      <c r="AI1058" s="7" t="str">
        <f t="shared" si="146"/>
        <v/>
      </c>
      <c r="AJ1058" s="7" t="str">
        <f t="shared" si="147"/>
        <v/>
      </c>
      <c r="AK1058" s="7" t="str">
        <f t="shared" si="148"/>
        <v/>
      </c>
      <c r="AL1058" s="7" t="str">
        <f t="shared" si="149"/>
        <v/>
      </c>
      <c r="AM1058" s="7" t="str">
        <f t="shared" si="150"/>
        <v/>
      </c>
      <c r="AN1058" s="8" t="str">
        <f>IF(C1058="","",COUNTIF($C$2:C1058,C1058))</f>
        <v/>
      </c>
      <c r="AO1058" s="8" t="str">
        <f t="shared" si="151"/>
        <v/>
      </c>
      <c r="AP1058" s="8" t="str">
        <f>IF(C1058="","",IF(AND(OR([1]Consulta!$C$29="",A1058=[1]Consulta!$C$29),OR([1]Consulta!$E$29="",B1058=[1]Consulta!$E$29),OR([1]Consulta!$G$29="",D1058=[1]Consulta!$G$29,R1058=[1]Consulta!$G$29)),ROW()-1,""))</f>
        <v/>
      </c>
    </row>
    <row r="1059" spans="1:42" ht="15" customHeight="1" x14ac:dyDescent="0.25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 t="str">
        <f t="shared" si="144"/>
        <v/>
      </c>
      <c r="AG1059" s="7" t="str">
        <f t="shared" si="152"/>
        <v/>
      </c>
      <c r="AH1059" s="7" t="str">
        <f t="shared" si="145"/>
        <v/>
      </c>
      <c r="AI1059" s="7" t="str">
        <f t="shared" si="146"/>
        <v/>
      </c>
      <c r="AJ1059" s="7" t="str">
        <f t="shared" si="147"/>
        <v/>
      </c>
      <c r="AK1059" s="7" t="str">
        <f t="shared" si="148"/>
        <v/>
      </c>
      <c r="AL1059" s="7" t="str">
        <f t="shared" si="149"/>
        <v/>
      </c>
      <c r="AM1059" s="7" t="str">
        <f t="shared" si="150"/>
        <v/>
      </c>
      <c r="AN1059" s="8" t="str">
        <f>IF(C1059="","",COUNTIF($C$2:C1059,C1059))</f>
        <v/>
      </c>
      <c r="AO1059" s="8" t="str">
        <f t="shared" si="151"/>
        <v/>
      </c>
      <c r="AP1059" s="8" t="str">
        <f>IF(C1059="","",IF(AND(OR([1]Consulta!$C$29="",A1059=[1]Consulta!$C$29),OR([1]Consulta!$E$29="",B1059=[1]Consulta!$E$29),OR([1]Consulta!$G$29="",D1059=[1]Consulta!$G$29,R1059=[1]Consulta!$G$29)),ROW()-1,""))</f>
        <v/>
      </c>
    </row>
    <row r="1060" spans="1:42" ht="15" customHeight="1" x14ac:dyDescent="0.25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 t="str">
        <f t="shared" si="144"/>
        <v/>
      </c>
      <c r="AG1060" s="7" t="str">
        <f t="shared" si="152"/>
        <v/>
      </c>
      <c r="AH1060" s="7" t="str">
        <f t="shared" si="145"/>
        <v/>
      </c>
      <c r="AI1060" s="7" t="str">
        <f t="shared" si="146"/>
        <v/>
      </c>
      <c r="AJ1060" s="7" t="str">
        <f t="shared" si="147"/>
        <v/>
      </c>
      <c r="AK1060" s="7" t="str">
        <f t="shared" si="148"/>
        <v/>
      </c>
      <c r="AL1060" s="7" t="str">
        <f t="shared" si="149"/>
        <v/>
      </c>
      <c r="AM1060" s="7" t="str">
        <f t="shared" si="150"/>
        <v/>
      </c>
      <c r="AN1060" s="8" t="str">
        <f>IF(C1060="","",COUNTIF($C$2:C1060,C1060))</f>
        <v/>
      </c>
      <c r="AO1060" s="8" t="str">
        <f t="shared" si="151"/>
        <v/>
      </c>
      <c r="AP1060" s="8" t="str">
        <f>IF(C1060="","",IF(AND(OR([1]Consulta!$C$29="",A1060=[1]Consulta!$C$29),OR([1]Consulta!$E$29="",B1060=[1]Consulta!$E$29),OR([1]Consulta!$G$29="",D1060=[1]Consulta!$G$29,R1060=[1]Consulta!$G$29)),ROW()-1,""))</f>
        <v/>
      </c>
    </row>
    <row r="1061" spans="1:42" ht="15" customHeight="1" x14ac:dyDescent="0.25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 t="str">
        <f t="shared" si="144"/>
        <v/>
      </c>
      <c r="AG1061" s="7" t="str">
        <f t="shared" si="152"/>
        <v/>
      </c>
      <c r="AH1061" s="7" t="str">
        <f t="shared" si="145"/>
        <v/>
      </c>
      <c r="AI1061" s="7" t="str">
        <f t="shared" si="146"/>
        <v/>
      </c>
      <c r="AJ1061" s="7" t="str">
        <f t="shared" si="147"/>
        <v/>
      </c>
      <c r="AK1061" s="7" t="str">
        <f t="shared" si="148"/>
        <v/>
      </c>
      <c r="AL1061" s="7" t="str">
        <f t="shared" si="149"/>
        <v/>
      </c>
      <c r="AM1061" s="7" t="str">
        <f t="shared" si="150"/>
        <v/>
      </c>
      <c r="AN1061" s="8" t="str">
        <f>IF(C1061="","",COUNTIF($C$2:C1061,C1061))</f>
        <v/>
      </c>
      <c r="AO1061" s="8" t="str">
        <f t="shared" si="151"/>
        <v/>
      </c>
      <c r="AP1061" s="8" t="str">
        <f>IF(C1061="","",IF(AND(OR([1]Consulta!$C$29="",A1061=[1]Consulta!$C$29),OR([1]Consulta!$E$29="",B1061=[1]Consulta!$E$29),OR([1]Consulta!$G$29="",D1061=[1]Consulta!$G$29,R1061=[1]Consulta!$G$29)),ROW()-1,""))</f>
        <v/>
      </c>
    </row>
    <row r="1062" spans="1:42" ht="15" customHeight="1" x14ac:dyDescent="0.25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 t="str">
        <f t="shared" si="144"/>
        <v/>
      </c>
      <c r="AG1062" s="7" t="str">
        <f t="shared" si="152"/>
        <v/>
      </c>
      <c r="AH1062" s="7" t="str">
        <f t="shared" si="145"/>
        <v/>
      </c>
      <c r="AI1062" s="7" t="str">
        <f t="shared" si="146"/>
        <v/>
      </c>
      <c r="AJ1062" s="7" t="str">
        <f t="shared" si="147"/>
        <v/>
      </c>
      <c r="AK1062" s="7" t="str">
        <f t="shared" si="148"/>
        <v/>
      </c>
      <c r="AL1062" s="7" t="str">
        <f t="shared" si="149"/>
        <v/>
      </c>
      <c r="AM1062" s="7" t="str">
        <f t="shared" si="150"/>
        <v/>
      </c>
      <c r="AN1062" s="8" t="str">
        <f>IF(C1062="","",COUNTIF($C$2:C1062,C1062))</f>
        <v/>
      </c>
      <c r="AO1062" s="8" t="str">
        <f t="shared" si="151"/>
        <v/>
      </c>
      <c r="AP1062" s="8" t="str">
        <f>IF(C1062="","",IF(AND(OR([1]Consulta!$C$29="",A1062=[1]Consulta!$C$29),OR([1]Consulta!$E$29="",B1062=[1]Consulta!$E$29),OR([1]Consulta!$G$29="",D1062=[1]Consulta!$G$29,R1062=[1]Consulta!$G$29)),ROW()-1,""))</f>
        <v/>
      </c>
    </row>
    <row r="1063" spans="1:42" ht="15" customHeight="1" x14ac:dyDescent="0.25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 t="str">
        <f t="shared" si="144"/>
        <v/>
      </c>
      <c r="AG1063" s="7" t="str">
        <f t="shared" si="152"/>
        <v/>
      </c>
      <c r="AH1063" s="7" t="str">
        <f t="shared" si="145"/>
        <v/>
      </c>
      <c r="AI1063" s="7" t="str">
        <f t="shared" si="146"/>
        <v/>
      </c>
      <c r="AJ1063" s="7" t="str">
        <f t="shared" si="147"/>
        <v/>
      </c>
      <c r="AK1063" s="7" t="str">
        <f t="shared" si="148"/>
        <v/>
      </c>
      <c r="AL1063" s="7" t="str">
        <f t="shared" si="149"/>
        <v/>
      </c>
      <c r="AM1063" s="7" t="str">
        <f t="shared" si="150"/>
        <v/>
      </c>
      <c r="AN1063" s="8" t="str">
        <f>IF(C1063="","",COUNTIF($C$2:C1063,C1063))</f>
        <v/>
      </c>
      <c r="AO1063" s="8" t="str">
        <f t="shared" si="151"/>
        <v/>
      </c>
      <c r="AP1063" s="8" t="str">
        <f>IF(C1063="","",IF(AND(OR([1]Consulta!$C$29="",A1063=[1]Consulta!$C$29),OR([1]Consulta!$E$29="",B1063=[1]Consulta!$E$29),OR([1]Consulta!$G$29="",D1063=[1]Consulta!$G$29,R1063=[1]Consulta!$G$29)),ROW()-1,""))</f>
        <v/>
      </c>
    </row>
    <row r="1064" spans="1:42" ht="15" customHeight="1" x14ac:dyDescent="0.25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 t="str">
        <f t="shared" si="144"/>
        <v/>
      </c>
      <c r="AG1064" s="7" t="str">
        <f t="shared" si="152"/>
        <v/>
      </c>
      <c r="AH1064" s="7" t="str">
        <f t="shared" si="145"/>
        <v/>
      </c>
      <c r="AI1064" s="7" t="str">
        <f t="shared" si="146"/>
        <v/>
      </c>
      <c r="AJ1064" s="7" t="str">
        <f t="shared" si="147"/>
        <v/>
      </c>
      <c r="AK1064" s="7" t="str">
        <f t="shared" si="148"/>
        <v/>
      </c>
      <c r="AL1064" s="7" t="str">
        <f t="shared" si="149"/>
        <v/>
      </c>
      <c r="AM1064" s="7" t="str">
        <f t="shared" si="150"/>
        <v/>
      </c>
      <c r="AN1064" s="8" t="str">
        <f>IF(C1064="","",COUNTIF($C$2:C1064,C1064))</f>
        <v/>
      </c>
      <c r="AO1064" s="8" t="str">
        <f t="shared" si="151"/>
        <v/>
      </c>
      <c r="AP1064" s="8" t="str">
        <f>IF(C1064="","",IF(AND(OR([1]Consulta!$C$29="",A1064=[1]Consulta!$C$29),OR([1]Consulta!$E$29="",B1064=[1]Consulta!$E$29),OR([1]Consulta!$G$29="",D1064=[1]Consulta!$G$29,R1064=[1]Consulta!$G$29)),ROW()-1,""))</f>
        <v/>
      </c>
    </row>
    <row r="1065" spans="1:42" ht="15" customHeight="1" x14ac:dyDescent="0.25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 t="str">
        <f t="shared" si="144"/>
        <v/>
      </c>
      <c r="AG1065" s="7" t="str">
        <f t="shared" si="152"/>
        <v/>
      </c>
      <c r="AH1065" s="7" t="str">
        <f t="shared" si="145"/>
        <v/>
      </c>
      <c r="AI1065" s="7" t="str">
        <f t="shared" si="146"/>
        <v/>
      </c>
      <c r="AJ1065" s="7" t="str">
        <f t="shared" si="147"/>
        <v/>
      </c>
      <c r="AK1065" s="7" t="str">
        <f t="shared" si="148"/>
        <v/>
      </c>
      <c r="AL1065" s="7" t="str">
        <f t="shared" si="149"/>
        <v/>
      </c>
      <c r="AM1065" s="7" t="str">
        <f t="shared" si="150"/>
        <v/>
      </c>
      <c r="AN1065" s="8" t="str">
        <f>IF(C1065="","",COUNTIF($C$2:C1065,C1065))</f>
        <v/>
      </c>
      <c r="AO1065" s="8" t="str">
        <f t="shared" si="151"/>
        <v/>
      </c>
      <c r="AP1065" s="8" t="str">
        <f>IF(C1065="","",IF(AND(OR([1]Consulta!$C$29="",A1065=[1]Consulta!$C$29),OR([1]Consulta!$E$29="",B1065=[1]Consulta!$E$29),OR([1]Consulta!$G$29="",D1065=[1]Consulta!$G$29,R1065=[1]Consulta!$G$29)),ROW()-1,""))</f>
        <v/>
      </c>
    </row>
    <row r="1066" spans="1:42" ht="15" customHeight="1" x14ac:dyDescent="0.25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 t="str">
        <f t="shared" si="144"/>
        <v/>
      </c>
      <c r="AG1066" s="7" t="str">
        <f t="shared" si="152"/>
        <v/>
      </c>
      <c r="AH1066" s="7" t="str">
        <f t="shared" si="145"/>
        <v/>
      </c>
      <c r="AI1066" s="7" t="str">
        <f t="shared" si="146"/>
        <v/>
      </c>
      <c r="AJ1066" s="7" t="str">
        <f t="shared" si="147"/>
        <v/>
      </c>
      <c r="AK1066" s="7" t="str">
        <f t="shared" si="148"/>
        <v/>
      </c>
      <c r="AL1066" s="7" t="str">
        <f t="shared" si="149"/>
        <v/>
      </c>
      <c r="AM1066" s="7" t="str">
        <f t="shared" si="150"/>
        <v/>
      </c>
      <c r="AN1066" s="8" t="str">
        <f>IF(C1066="","",COUNTIF($C$2:C1066,C1066))</f>
        <v/>
      </c>
      <c r="AO1066" s="8" t="str">
        <f t="shared" si="151"/>
        <v/>
      </c>
      <c r="AP1066" s="8" t="str">
        <f>IF(C1066="","",IF(AND(OR([1]Consulta!$C$29="",A1066=[1]Consulta!$C$29),OR([1]Consulta!$E$29="",B1066=[1]Consulta!$E$29),OR([1]Consulta!$G$29="",D1066=[1]Consulta!$G$29,R1066=[1]Consulta!$G$29)),ROW()-1,""))</f>
        <v/>
      </c>
    </row>
    <row r="1067" spans="1:42" ht="15" customHeight="1" x14ac:dyDescent="0.25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 t="str">
        <f t="shared" si="144"/>
        <v/>
      </c>
      <c r="AG1067" s="7" t="str">
        <f t="shared" si="152"/>
        <v/>
      </c>
      <c r="AH1067" s="7" t="str">
        <f t="shared" si="145"/>
        <v/>
      </c>
      <c r="AI1067" s="7" t="str">
        <f t="shared" si="146"/>
        <v/>
      </c>
      <c r="AJ1067" s="7" t="str">
        <f t="shared" si="147"/>
        <v/>
      </c>
      <c r="AK1067" s="7" t="str">
        <f t="shared" si="148"/>
        <v/>
      </c>
      <c r="AL1067" s="7" t="str">
        <f t="shared" si="149"/>
        <v/>
      </c>
      <c r="AM1067" s="7" t="str">
        <f t="shared" si="150"/>
        <v/>
      </c>
      <c r="AN1067" s="8" t="str">
        <f>IF(C1067="","",COUNTIF($C$2:C1067,C1067))</f>
        <v/>
      </c>
      <c r="AO1067" s="8" t="str">
        <f t="shared" si="151"/>
        <v/>
      </c>
      <c r="AP1067" s="8" t="str">
        <f>IF(C1067="","",IF(AND(OR([1]Consulta!$C$29="",A1067=[1]Consulta!$C$29),OR([1]Consulta!$E$29="",B1067=[1]Consulta!$E$29),OR([1]Consulta!$G$29="",D1067=[1]Consulta!$G$29,R1067=[1]Consulta!$G$29)),ROW()-1,""))</f>
        <v/>
      </c>
    </row>
    <row r="1068" spans="1:42" ht="15" customHeight="1" x14ac:dyDescent="0.25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 t="str">
        <f t="shared" si="144"/>
        <v/>
      </c>
      <c r="AG1068" s="7" t="str">
        <f t="shared" si="152"/>
        <v/>
      </c>
      <c r="AH1068" s="7" t="str">
        <f t="shared" si="145"/>
        <v/>
      </c>
      <c r="AI1068" s="7" t="str">
        <f t="shared" si="146"/>
        <v/>
      </c>
      <c r="AJ1068" s="7" t="str">
        <f t="shared" si="147"/>
        <v/>
      </c>
      <c r="AK1068" s="7" t="str">
        <f t="shared" si="148"/>
        <v/>
      </c>
      <c r="AL1068" s="7" t="str">
        <f t="shared" si="149"/>
        <v/>
      </c>
      <c r="AM1068" s="7" t="str">
        <f t="shared" si="150"/>
        <v/>
      </c>
      <c r="AN1068" s="8" t="str">
        <f>IF(C1068="","",COUNTIF($C$2:C1068,C1068))</f>
        <v/>
      </c>
      <c r="AO1068" s="8" t="str">
        <f t="shared" si="151"/>
        <v/>
      </c>
      <c r="AP1068" s="8" t="str">
        <f>IF(C1068="","",IF(AND(OR([1]Consulta!$C$29="",A1068=[1]Consulta!$C$29),OR([1]Consulta!$E$29="",B1068=[1]Consulta!$E$29),OR([1]Consulta!$G$29="",D1068=[1]Consulta!$G$29,R1068=[1]Consulta!$G$29)),ROW()-1,""))</f>
        <v/>
      </c>
    </row>
    <row r="1069" spans="1:42" ht="15" customHeight="1" x14ac:dyDescent="0.25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 t="str">
        <f t="shared" si="144"/>
        <v/>
      </c>
      <c r="AG1069" s="7" t="str">
        <f t="shared" si="152"/>
        <v/>
      </c>
      <c r="AH1069" s="7" t="str">
        <f t="shared" si="145"/>
        <v/>
      </c>
      <c r="AI1069" s="7" t="str">
        <f t="shared" si="146"/>
        <v/>
      </c>
      <c r="AJ1069" s="7" t="str">
        <f t="shared" si="147"/>
        <v/>
      </c>
      <c r="AK1069" s="7" t="str">
        <f t="shared" si="148"/>
        <v/>
      </c>
      <c r="AL1069" s="7" t="str">
        <f t="shared" si="149"/>
        <v/>
      </c>
      <c r="AM1069" s="7" t="str">
        <f t="shared" si="150"/>
        <v/>
      </c>
      <c r="AN1069" s="8" t="str">
        <f>IF(C1069="","",COUNTIF($C$2:C1069,C1069))</f>
        <v/>
      </c>
      <c r="AO1069" s="8" t="str">
        <f t="shared" si="151"/>
        <v/>
      </c>
      <c r="AP1069" s="8" t="str">
        <f>IF(C1069="","",IF(AND(OR([1]Consulta!$C$29="",A1069=[1]Consulta!$C$29),OR([1]Consulta!$E$29="",B1069=[1]Consulta!$E$29),OR([1]Consulta!$G$29="",D1069=[1]Consulta!$G$29,R1069=[1]Consulta!$G$29)),ROW()-1,""))</f>
        <v/>
      </c>
    </row>
    <row r="1070" spans="1:42" ht="15" customHeight="1" x14ac:dyDescent="0.25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 t="str">
        <f t="shared" si="144"/>
        <v/>
      </c>
      <c r="AG1070" s="7" t="str">
        <f t="shared" si="152"/>
        <v/>
      </c>
      <c r="AH1070" s="7" t="str">
        <f t="shared" si="145"/>
        <v/>
      </c>
      <c r="AI1070" s="7" t="str">
        <f t="shared" si="146"/>
        <v/>
      </c>
      <c r="AJ1070" s="7" t="str">
        <f t="shared" si="147"/>
        <v/>
      </c>
      <c r="AK1070" s="7" t="str">
        <f t="shared" si="148"/>
        <v/>
      </c>
      <c r="AL1070" s="7" t="str">
        <f t="shared" si="149"/>
        <v/>
      </c>
      <c r="AM1070" s="7" t="str">
        <f t="shared" si="150"/>
        <v/>
      </c>
      <c r="AN1070" s="8" t="str">
        <f>IF(C1070="","",COUNTIF($C$2:C1070,C1070))</f>
        <v/>
      </c>
      <c r="AO1070" s="8" t="str">
        <f t="shared" si="151"/>
        <v/>
      </c>
      <c r="AP1070" s="8" t="str">
        <f>IF(C1070="","",IF(AND(OR([1]Consulta!$C$29="",A1070=[1]Consulta!$C$29),OR([1]Consulta!$E$29="",B1070=[1]Consulta!$E$29),OR([1]Consulta!$G$29="",D1070=[1]Consulta!$G$29,R1070=[1]Consulta!$G$29)),ROW()-1,""))</f>
        <v/>
      </c>
    </row>
    <row r="1071" spans="1:42" ht="15" customHeight="1" x14ac:dyDescent="0.25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 t="str">
        <f t="shared" si="144"/>
        <v/>
      </c>
      <c r="AG1071" s="7" t="str">
        <f t="shared" si="152"/>
        <v/>
      </c>
      <c r="AH1071" s="7" t="str">
        <f t="shared" si="145"/>
        <v/>
      </c>
      <c r="AI1071" s="7" t="str">
        <f t="shared" si="146"/>
        <v/>
      </c>
      <c r="AJ1071" s="7" t="str">
        <f t="shared" si="147"/>
        <v/>
      </c>
      <c r="AK1071" s="7" t="str">
        <f t="shared" si="148"/>
        <v/>
      </c>
      <c r="AL1071" s="7" t="str">
        <f t="shared" si="149"/>
        <v/>
      </c>
      <c r="AM1071" s="7" t="str">
        <f t="shared" si="150"/>
        <v/>
      </c>
      <c r="AN1071" s="8" t="str">
        <f>IF(C1071="","",COUNTIF($C$2:C1071,C1071))</f>
        <v/>
      </c>
      <c r="AO1071" s="8" t="str">
        <f t="shared" si="151"/>
        <v/>
      </c>
      <c r="AP1071" s="8" t="str">
        <f>IF(C1071="","",IF(AND(OR([1]Consulta!$C$29="",A1071=[1]Consulta!$C$29),OR([1]Consulta!$E$29="",B1071=[1]Consulta!$E$29),OR([1]Consulta!$G$29="",D1071=[1]Consulta!$G$29,R1071=[1]Consulta!$G$29)),ROW()-1,""))</f>
        <v/>
      </c>
    </row>
    <row r="1072" spans="1:42" ht="15" customHeight="1" x14ac:dyDescent="0.25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 t="str">
        <f t="shared" si="144"/>
        <v/>
      </c>
      <c r="AG1072" s="7" t="str">
        <f t="shared" si="152"/>
        <v/>
      </c>
      <c r="AH1072" s="7" t="str">
        <f t="shared" si="145"/>
        <v/>
      </c>
      <c r="AI1072" s="7" t="str">
        <f t="shared" si="146"/>
        <v/>
      </c>
      <c r="AJ1072" s="7" t="str">
        <f t="shared" si="147"/>
        <v/>
      </c>
      <c r="AK1072" s="7" t="str">
        <f t="shared" si="148"/>
        <v/>
      </c>
      <c r="AL1072" s="7" t="str">
        <f t="shared" si="149"/>
        <v/>
      </c>
      <c r="AM1072" s="7" t="str">
        <f t="shared" si="150"/>
        <v/>
      </c>
      <c r="AN1072" s="8" t="str">
        <f>IF(C1072="","",COUNTIF($C$2:C1072,C1072))</f>
        <v/>
      </c>
      <c r="AO1072" s="8" t="str">
        <f t="shared" si="151"/>
        <v/>
      </c>
      <c r="AP1072" s="8" t="str">
        <f>IF(C1072="","",IF(AND(OR([1]Consulta!$C$29="",A1072=[1]Consulta!$C$29),OR([1]Consulta!$E$29="",B1072=[1]Consulta!$E$29),OR([1]Consulta!$G$29="",D1072=[1]Consulta!$G$29,R1072=[1]Consulta!$G$29)),ROW()-1,""))</f>
        <v/>
      </c>
    </row>
    <row r="1073" spans="1:42" ht="15" customHeight="1" x14ac:dyDescent="0.25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 t="str">
        <f t="shared" si="144"/>
        <v/>
      </c>
      <c r="AG1073" s="7" t="str">
        <f t="shared" si="152"/>
        <v/>
      </c>
      <c r="AH1073" s="7" t="str">
        <f t="shared" si="145"/>
        <v/>
      </c>
      <c r="AI1073" s="7" t="str">
        <f t="shared" si="146"/>
        <v/>
      </c>
      <c r="AJ1073" s="7" t="str">
        <f t="shared" si="147"/>
        <v/>
      </c>
      <c r="AK1073" s="7" t="str">
        <f t="shared" si="148"/>
        <v/>
      </c>
      <c r="AL1073" s="7" t="str">
        <f t="shared" si="149"/>
        <v/>
      </c>
      <c r="AM1073" s="7" t="str">
        <f t="shared" si="150"/>
        <v/>
      </c>
      <c r="AN1073" s="8" t="str">
        <f>IF(C1073="","",COUNTIF($C$2:C1073,C1073))</f>
        <v/>
      </c>
      <c r="AO1073" s="8" t="str">
        <f t="shared" si="151"/>
        <v/>
      </c>
      <c r="AP1073" s="8" t="str">
        <f>IF(C1073="","",IF(AND(OR([1]Consulta!$C$29="",A1073=[1]Consulta!$C$29),OR([1]Consulta!$E$29="",B1073=[1]Consulta!$E$29),OR([1]Consulta!$G$29="",D1073=[1]Consulta!$G$29,R1073=[1]Consulta!$G$29)),ROW()-1,""))</f>
        <v/>
      </c>
    </row>
    <row r="1074" spans="1:42" ht="15" customHeight="1" x14ac:dyDescent="0.25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 t="str">
        <f t="shared" si="144"/>
        <v/>
      </c>
      <c r="AG1074" s="7" t="str">
        <f t="shared" si="152"/>
        <v/>
      </c>
      <c r="AH1074" s="7" t="str">
        <f t="shared" si="145"/>
        <v/>
      </c>
      <c r="AI1074" s="7" t="str">
        <f t="shared" si="146"/>
        <v/>
      </c>
      <c r="AJ1074" s="7" t="str">
        <f t="shared" si="147"/>
        <v/>
      </c>
      <c r="AK1074" s="7" t="str">
        <f t="shared" si="148"/>
        <v/>
      </c>
      <c r="AL1074" s="7" t="str">
        <f t="shared" si="149"/>
        <v/>
      </c>
      <c r="AM1074" s="7" t="str">
        <f t="shared" si="150"/>
        <v/>
      </c>
      <c r="AN1074" s="8" t="str">
        <f>IF(C1074="","",COUNTIF($C$2:C1074,C1074))</f>
        <v/>
      </c>
      <c r="AO1074" s="8" t="str">
        <f t="shared" si="151"/>
        <v/>
      </c>
      <c r="AP1074" s="8" t="str">
        <f>IF(C1074="","",IF(AND(OR([1]Consulta!$C$29="",A1074=[1]Consulta!$C$29),OR([1]Consulta!$E$29="",B1074=[1]Consulta!$E$29),OR([1]Consulta!$G$29="",D1074=[1]Consulta!$G$29,R1074=[1]Consulta!$G$29)),ROW()-1,""))</f>
        <v/>
      </c>
    </row>
    <row r="1075" spans="1:42" ht="15" customHeight="1" x14ac:dyDescent="0.25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 t="str">
        <f t="shared" si="144"/>
        <v/>
      </c>
      <c r="AG1075" s="7" t="str">
        <f t="shared" si="152"/>
        <v/>
      </c>
      <c r="AH1075" s="7" t="str">
        <f t="shared" si="145"/>
        <v/>
      </c>
      <c r="AI1075" s="7" t="str">
        <f t="shared" si="146"/>
        <v/>
      </c>
      <c r="AJ1075" s="7" t="str">
        <f t="shared" si="147"/>
        <v/>
      </c>
      <c r="AK1075" s="7" t="str">
        <f t="shared" si="148"/>
        <v/>
      </c>
      <c r="AL1075" s="7" t="str">
        <f t="shared" si="149"/>
        <v/>
      </c>
      <c r="AM1075" s="7" t="str">
        <f t="shared" si="150"/>
        <v/>
      </c>
      <c r="AN1075" s="8" t="str">
        <f>IF(C1075="","",COUNTIF($C$2:C1075,C1075))</f>
        <v/>
      </c>
      <c r="AO1075" s="8" t="str">
        <f t="shared" si="151"/>
        <v/>
      </c>
      <c r="AP1075" s="8" t="str">
        <f>IF(C1075="","",IF(AND(OR([1]Consulta!$C$29="",A1075=[1]Consulta!$C$29),OR([1]Consulta!$E$29="",B1075=[1]Consulta!$E$29),OR([1]Consulta!$G$29="",D1075=[1]Consulta!$G$29,R1075=[1]Consulta!$G$29)),ROW()-1,""))</f>
        <v/>
      </c>
    </row>
    <row r="1076" spans="1:42" ht="15" customHeight="1" x14ac:dyDescent="0.25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 t="str">
        <f t="shared" si="144"/>
        <v/>
      </c>
      <c r="AG1076" s="7" t="str">
        <f t="shared" si="152"/>
        <v/>
      </c>
      <c r="AH1076" s="7" t="str">
        <f t="shared" si="145"/>
        <v/>
      </c>
      <c r="AI1076" s="7" t="str">
        <f t="shared" si="146"/>
        <v/>
      </c>
      <c r="AJ1076" s="7" t="str">
        <f t="shared" si="147"/>
        <v/>
      </c>
      <c r="AK1076" s="7" t="str">
        <f t="shared" si="148"/>
        <v/>
      </c>
      <c r="AL1076" s="7" t="str">
        <f t="shared" si="149"/>
        <v/>
      </c>
      <c r="AM1076" s="7" t="str">
        <f t="shared" si="150"/>
        <v/>
      </c>
      <c r="AN1076" s="8" t="str">
        <f>IF(C1076="","",COUNTIF($C$2:C1076,C1076))</f>
        <v/>
      </c>
      <c r="AO1076" s="8" t="str">
        <f t="shared" si="151"/>
        <v/>
      </c>
      <c r="AP1076" s="8" t="str">
        <f>IF(C1076="","",IF(AND(OR([1]Consulta!$C$29="",A1076=[1]Consulta!$C$29),OR([1]Consulta!$E$29="",B1076=[1]Consulta!$E$29),OR([1]Consulta!$G$29="",D1076=[1]Consulta!$G$29,R1076=[1]Consulta!$G$29)),ROW()-1,""))</f>
        <v/>
      </c>
    </row>
    <row r="1077" spans="1:42" ht="15" customHeight="1" x14ac:dyDescent="0.25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 t="str">
        <f t="shared" si="144"/>
        <v/>
      </c>
      <c r="AG1077" s="7" t="str">
        <f t="shared" si="152"/>
        <v/>
      </c>
      <c r="AH1077" s="7" t="str">
        <f t="shared" si="145"/>
        <v/>
      </c>
      <c r="AI1077" s="7" t="str">
        <f t="shared" si="146"/>
        <v/>
      </c>
      <c r="AJ1077" s="7" t="str">
        <f t="shared" si="147"/>
        <v/>
      </c>
      <c r="AK1077" s="7" t="str">
        <f t="shared" si="148"/>
        <v/>
      </c>
      <c r="AL1077" s="7" t="str">
        <f t="shared" si="149"/>
        <v/>
      </c>
      <c r="AM1077" s="7" t="str">
        <f t="shared" si="150"/>
        <v/>
      </c>
      <c r="AN1077" s="8" t="str">
        <f>IF(C1077="","",COUNTIF($C$2:C1077,C1077))</f>
        <v/>
      </c>
      <c r="AO1077" s="8" t="str">
        <f t="shared" si="151"/>
        <v/>
      </c>
      <c r="AP1077" s="8" t="str">
        <f>IF(C1077="","",IF(AND(OR([1]Consulta!$C$29="",A1077=[1]Consulta!$C$29),OR([1]Consulta!$E$29="",B1077=[1]Consulta!$E$29),OR([1]Consulta!$G$29="",D1077=[1]Consulta!$G$29,R1077=[1]Consulta!$G$29)),ROW()-1,""))</f>
        <v/>
      </c>
    </row>
    <row r="1078" spans="1:42" ht="15" customHeight="1" x14ac:dyDescent="0.25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 t="str">
        <f t="shared" si="144"/>
        <v/>
      </c>
      <c r="AG1078" s="7" t="str">
        <f t="shared" si="152"/>
        <v/>
      </c>
      <c r="AH1078" s="7" t="str">
        <f t="shared" si="145"/>
        <v/>
      </c>
      <c r="AI1078" s="7" t="str">
        <f t="shared" si="146"/>
        <v/>
      </c>
      <c r="AJ1078" s="7" t="str">
        <f t="shared" si="147"/>
        <v/>
      </c>
      <c r="AK1078" s="7" t="str">
        <f t="shared" si="148"/>
        <v/>
      </c>
      <c r="AL1078" s="7" t="str">
        <f t="shared" si="149"/>
        <v/>
      </c>
      <c r="AM1078" s="7" t="str">
        <f t="shared" si="150"/>
        <v/>
      </c>
      <c r="AN1078" s="8" t="str">
        <f>IF(C1078="","",COUNTIF($C$2:C1078,C1078))</f>
        <v/>
      </c>
      <c r="AO1078" s="8" t="str">
        <f t="shared" si="151"/>
        <v/>
      </c>
      <c r="AP1078" s="8" t="str">
        <f>IF(C1078="","",IF(AND(OR([1]Consulta!$C$29="",A1078=[1]Consulta!$C$29),OR([1]Consulta!$E$29="",B1078=[1]Consulta!$E$29),OR([1]Consulta!$G$29="",D1078=[1]Consulta!$G$29,R1078=[1]Consulta!$G$29)),ROW()-1,""))</f>
        <v/>
      </c>
    </row>
    <row r="1079" spans="1:42" ht="15" customHeight="1" x14ac:dyDescent="0.25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 t="str">
        <f t="shared" si="144"/>
        <v/>
      </c>
      <c r="AG1079" s="7" t="str">
        <f t="shared" si="152"/>
        <v/>
      </c>
      <c r="AH1079" s="7" t="str">
        <f t="shared" si="145"/>
        <v/>
      </c>
      <c r="AI1079" s="7" t="str">
        <f t="shared" si="146"/>
        <v/>
      </c>
      <c r="AJ1079" s="7" t="str">
        <f t="shared" si="147"/>
        <v/>
      </c>
      <c r="AK1079" s="7" t="str">
        <f t="shared" si="148"/>
        <v/>
      </c>
      <c r="AL1079" s="7" t="str">
        <f t="shared" si="149"/>
        <v/>
      </c>
      <c r="AM1079" s="7" t="str">
        <f t="shared" si="150"/>
        <v/>
      </c>
      <c r="AN1079" s="8" t="str">
        <f>IF(C1079="","",COUNTIF($C$2:C1079,C1079))</f>
        <v/>
      </c>
      <c r="AO1079" s="8" t="str">
        <f t="shared" si="151"/>
        <v/>
      </c>
      <c r="AP1079" s="8" t="str">
        <f>IF(C1079="","",IF(AND(OR([1]Consulta!$C$29="",A1079=[1]Consulta!$C$29),OR([1]Consulta!$E$29="",B1079=[1]Consulta!$E$29),OR([1]Consulta!$G$29="",D1079=[1]Consulta!$G$29,R1079=[1]Consulta!$G$29)),ROW()-1,""))</f>
        <v/>
      </c>
    </row>
    <row r="1080" spans="1:42" ht="15" customHeight="1" x14ac:dyDescent="0.25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 t="str">
        <f t="shared" si="144"/>
        <v/>
      </c>
      <c r="AG1080" s="7" t="str">
        <f t="shared" si="152"/>
        <v/>
      </c>
      <c r="AH1080" s="7" t="str">
        <f t="shared" si="145"/>
        <v/>
      </c>
      <c r="AI1080" s="7" t="str">
        <f t="shared" si="146"/>
        <v/>
      </c>
      <c r="AJ1080" s="7" t="str">
        <f t="shared" si="147"/>
        <v/>
      </c>
      <c r="AK1080" s="7" t="str">
        <f t="shared" si="148"/>
        <v/>
      </c>
      <c r="AL1080" s="7" t="str">
        <f t="shared" si="149"/>
        <v/>
      </c>
      <c r="AM1080" s="7" t="str">
        <f t="shared" si="150"/>
        <v/>
      </c>
      <c r="AN1080" s="8" t="str">
        <f>IF(C1080="","",COUNTIF($C$2:C1080,C1080))</f>
        <v/>
      </c>
      <c r="AO1080" s="8" t="str">
        <f t="shared" si="151"/>
        <v/>
      </c>
      <c r="AP1080" s="8" t="str">
        <f>IF(C1080="","",IF(AND(OR([1]Consulta!$C$29="",A1080=[1]Consulta!$C$29),OR([1]Consulta!$E$29="",B1080=[1]Consulta!$E$29),OR([1]Consulta!$G$29="",D1080=[1]Consulta!$G$29,R1080=[1]Consulta!$G$29)),ROW()-1,""))</f>
        <v/>
      </c>
    </row>
    <row r="1081" spans="1:42" ht="15" customHeight="1" x14ac:dyDescent="0.25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 t="str">
        <f t="shared" si="144"/>
        <v/>
      </c>
      <c r="AG1081" s="7" t="str">
        <f t="shared" si="152"/>
        <v/>
      </c>
      <c r="AH1081" s="7" t="str">
        <f t="shared" si="145"/>
        <v/>
      </c>
      <c r="AI1081" s="7" t="str">
        <f t="shared" si="146"/>
        <v/>
      </c>
      <c r="AJ1081" s="7" t="str">
        <f t="shared" si="147"/>
        <v/>
      </c>
      <c r="AK1081" s="7" t="str">
        <f t="shared" si="148"/>
        <v/>
      </c>
      <c r="AL1081" s="7" t="str">
        <f t="shared" si="149"/>
        <v/>
      </c>
      <c r="AM1081" s="7" t="str">
        <f t="shared" si="150"/>
        <v/>
      </c>
      <c r="AN1081" s="8" t="str">
        <f>IF(C1081="","",COUNTIF($C$2:C1081,C1081))</f>
        <v/>
      </c>
      <c r="AO1081" s="8" t="str">
        <f t="shared" si="151"/>
        <v/>
      </c>
      <c r="AP1081" s="8" t="str">
        <f>IF(C1081="","",IF(AND(OR([1]Consulta!$C$29="",A1081=[1]Consulta!$C$29),OR([1]Consulta!$E$29="",B1081=[1]Consulta!$E$29),OR([1]Consulta!$G$29="",D1081=[1]Consulta!$G$29,R1081=[1]Consulta!$G$29)),ROW()-1,""))</f>
        <v/>
      </c>
    </row>
    <row r="1082" spans="1:42" ht="15" customHeight="1" x14ac:dyDescent="0.25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 t="str">
        <f t="shared" si="144"/>
        <v/>
      </c>
      <c r="AG1082" s="7" t="str">
        <f t="shared" si="152"/>
        <v/>
      </c>
      <c r="AH1082" s="7" t="str">
        <f t="shared" si="145"/>
        <v/>
      </c>
      <c r="AI1082" s="7" t="str">
        <f t="shared" si="146"/>
        <v/>
      </c>
      <c r="AJ1082" s="7" t="str">
        <f t="shared" si="147"/>
        <v/>
      </c>
      <c r="AK1082" s="7" t="str">
        <f t="shared" si="148"/>
        <v/>
      </c>
      <c r="AL1082" s="7" t="str">
        <f t="shared" si="149"/>
        <v/>
      </c>
      <c r="AM1082" s="7" t="str">
        <f t="shared" si="150"/>
        <v/>
      </c>
      <c r="AN1082" s="8" t="str">
        <f>IF(C1082="","",COUNTIF($C$2:C1082,C1082))</f>
        <v/>
      </c>
      <c r="AO1082" s="8" t="str">
        <f t="shared" si="151"/>
        <v/>
      </c>
      <c r="AP1082" s="8" t="str">
        <f>IF(C1082="","",IF(AND(OR([1]Consulta!$C$29="",A1082=[1]Consulta!$C$29),OR([1]Consulta!$E$29="",B1082=[1]Consulta!$E$29),OR([1]Consulta!$G$29="",D1082=[1]Consulta!$G$29,R1082=[1]Consulta!$G$29)),ROW()-1,""))</f>
        <v/>
      </c>
    </row>
    <row r="1083" spans="1:42" ht="15" customHeight="1" x14ac:dyDescent="0.25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 t="str">
        <f t="shared" si="144"/>
        <v/>
      </c>
      <c r="AG1083" s="7" t="str">
        <f t="shared" si="152"/>
        <v/>
      </c>
      <c r="AH1083" s="7" t="str">
        <f t="shared" si="145"/>
        <v/>
      </c>
      <c r="AI1083" s="7" t="str">
        <f t="shared" si="146"/>
        <v/>
      </c>
      <c r="AJ1083" s="7" t="str">
        <f t="shared" si="147"/>
        <v/>
      </c>
      <c r="AK1083" s="7" t="str">
        <f t="shared" si="148"/>
        <v/>
      </c>
      <c r="AL1083" s="7" t="str">
        <f t="shared" si="149"/>
        <v/>
      </c>
      <c r="AM1083" s="7" t="str">
        <f t="shared" si="150"/>
        <v/>
      </c>
      <c r="AN1083" s="8" t="str">
        <f>IF(C1083="","",COUNTIF($C$2:C1083,C1083))</f>
        <v/>
      </c>
      <c r="AO1083" s="8" t="str">
        <f t="shared" si="151"/>
        <v/>
      </c>
      <c r="AP1083" s="8" t="str">
        <f>IF(C1083="","",IF(AND(OR([1]Consulta!$C$29="",A1083=[1]Consulta!$C$29),OR([1]Consulta!$E$29="",B1083=[1]Consulta!$E$29),OR([1]Consulta!$G$29="",D1083=[1]Consulta!$G$29,R1083=[1]Consulta!$G$29)),ROW()-1,""))</f>
        <v/>
      </c>
    </row>
    <row r="1084" spans="1:42" ht="15" customHeight="1" x14ac:dyDescent="0.25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 t="str">
        <f t="shared" si="144"/>
        <v/>
      </c>
      <c r="AG1084" s="7" t="str">
        <f t="shared" si="152"/>
        <v/>
      </c>
      <c r="AH1084" s="7" t="str">
        <f t="shared" si="145"/>
        <v/>
      </c>
      <c r="AI1084" s="7" t="str">
        <f t="shared" si="146"/>
        <v/>
      </c>
      <c r="AJ1084" s="7" t="str">
        <f t="shared" si="147"/>
        <v/>
      </c>
      <c r="AK1084" s="7" t="str">
        <f t="shared" si="148"/>
        <v/>
      </c>
      <c r="AL1084" s="7" t="str">
        <f t="shared" si="149"/>
        <v/>
      </c>
      <c r="AM1084" s="7" t="str">
        <f t="shared" si="150"/>
        <v/>
      </c>
      <c r="AN1084" s="8" t="str">
        <f>IF(C1084="","",COUNTIF($C$2:C1084,C1084))</f>
        <v/>
      </c>
      <c r="AO1084" s="8" t="str">
        <f t="shared" si="151"/>
        <v/>
      </c>
      <c r="AP1084" s="8" t="str">
        <f>IF(C1084="","",IF(AND(OR([1]Consulta!$C$29="",A1084=[1]Consulta!$C$29),OR([1]Consulta!$E$29="",B1084=[1]Consulta!$E$29),OR([1]Consulta!$G$29="",D1084=[1]Consulta!$G$29,R1084=[1]Consulta!$G$29)),ROW()-1,""))</f>
        <v/>
      </c>
    </row>
    <row r="1085" spans="1:42" ht="15" customHeight="1" x14ac:dyDescent="0.25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 t="str">
        <f t="shared" si="144"/>
        <v/>
      </c>
      <c r="AG1085" s="7" t="str">
        <f t="shared" si="152"/>
        <v/>
      </c>
      <c r="AH1085" s="7" t="str">
        <f t="shared" si="145"/>
        <v/>
      </c>
      <c r="AI1085" s="7" t="str">
        <f t="shared" si="146"/>
        <v/>
      </c>
      <c r="AJ1085" s="7" t="str">
        <f t="shared" si="147"/>
        <v/>
      </c>
      <c r="AK1085" s="7" t="str">
        <f t="shared" si="148"/>
        <v/>
      </c>
      <c r="AL1085" s="7" t="str">
        <f t="shared" si="149"/>
        <v/>
      </c>
      <c r="AM1085" s="7" t="str">
        <f t="shared" si="150"/>
        <v/>
      </c>
      <c r="AN1085" s="8" t="str">
        <f>IF(C1085="","",COUNTIF($C$2:C1085,C1085))</f>
        <v/>
      </c>
      <c r="AO1085" s="8" t="str">
        <f t="shared" si="151"/>
        <v/>
      </c>
      <c r="AP1085" s="8" t="str">
        <f>IF(C1085="","",IF(AND(OR([1]Consulta!$C$29="",A1085=[1]Consulta!$C$29),OR([1]Consulta!$E$29="",B1085=[1]Consulta!$E$29),OR([1]Consulta!$G$29="",D1085=[1]Consulta!$G$29,R1085=[1]Consulta!$G$29)),ROW()-1,""))</f>
        <v/>
      </c>
    </row>
    <row r="1086" spans="1:42" ht="15" customHeight="1" x14ac:dyDescent="0.25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 t="str">
        <f t="shared" si="144"/>
        <v/>
      </c>
      <c r="AG1086" s="7" t="str">
        <f t="shared" si="152"/>
        <v/>
      </c>
      <c r="AH1086" s="7" t="str">
        <f t="shared" si="145"/>
        <v/>
      </c>
      <c r="AI1086" s="7" t="str">
        <f t="shared" si="146"/>
        <v/>
      </c>
      <c r="AJ1086" s="7" t="str">
        <f t="shared" si="147"/>
        <v/>
      </c>
      <c r="AK1086" s="7" t="str">
        <f t="shared" si="148"/>
        <v/>
      </c>
      <c r="AL1086" s="7" t="str">
        <f t="shared" si="149"/>
        <v/>
      </c>
      <c r="AM1086" s="7" t="str">
        <f t="shared" si="150"/>
        <v/>
      </c>
      <c r="AN1086" s="8" t="str">
        <f>IF(C1086="","",COUNTIF($C$2:C1086,C1086))</f>
        <v/>
      </c>
      <c r="AO1086" s="8" t="str">
        <f t="shared" si="151"/>
        <v/>
      </c>
      <c r="AP1086" s="8" t="str">
        <f>IF(C1086="","",IF(AND(OR([1]Consulta!$C$29="",A1086=[1]Consulta!$C$29),OR([1]Consulta!$E$29="",B1086=[1]Consulta!$E$29),OR([1]Consulta!$G$29="",D1086=[1]Consulta!$G$29,R1086=[1]Consulta!$G$29)),ROW()-1,""))</f>
        <v/>
      </c>
    </row>
    <row r="1087" spans="1:42" ht="15" customHeight="1" x14ac:dyDescent="0.25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 t="str">
        <f t="shared" si="144"/>
        <v/>
      </c>
      <c r="AG1087" s="7" t="str">
        <f t="shared" si="152"/>
        <v/>
      </c>
      <c r="AH1087" s="7" t="str">
        <f t="shared" si="145"/>
        <v/>
      </c>
      <c r="AI1087" s="7" t="str">
        <f t="shared" si="146"/>
        <v/>
      </c>
      <c r="AJ1087" s="7" t="str">
        <f t="shared" si="147"/>
        <v/>
      </c>
      <c r="AK1087" s="7" t="str">
        <f t="shared" si="148"/>
        <v/>
      </c>
      <c r="AL1087" s="7" t="str">
        <f t="shared" si="149"/>
        <v/>
      </c>
      <c r="AM1087" s="7" t="str">
        <f t="shared" si="150"/>
        <v/>
      </c>
      <c r="AN1087" s="8" t="str">
        <f>IF(C1087="","",COUNTIF($C$2:C1087,C1087))</f>
        <v/>
      </c>
      <c r="AO1087" s="8" t="str">
        <f t="shared" si="151"/>
        <v/>
      </c>
      <c r="AP1087" s="8" t="str">
        <f>IF(C1087="","",IF(AND(OR([1]Consulta!$C$29="",A1087=[1]Consulta!$C$29),OR([1]Consulta!$E$29="",B1087=[1]Consulta!$E$29),OR([1]Consulta!$G$29="",D1087=[1]Consulta!$G$29,R1087=[1]Consulta!$G$29)),ROW()-1,""))</f>
        <v/>
      </c>
    </row>
    <row r="1088" spans="1:42" ht="15" customHeight="1" x14ac:dyDescent="0.25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 t="str">
        <f t="shared" si="144"/>
        <v/>
      </c>
      <c r="AG1088" s="7" t="str">
        <f t="shared" si="152"/>
        <v/>
      </c>
      <c r="AH1088" s="7" t="str">
        <f t="shared" si="145"/>
        <v/>
      </c>
      <c r="AI1088" s="7" t="str">
        <f t="shared" si="146"/>
        <v/>
      </c>
      <c r="AJ1088" s="7" t="str">
        <f t="shared" si="147"/>
        <v/>
      </c>
      <c r="AK1088" s="7" t="str">
        <f t="shared" si="148"/>
        <v/>
      </c>
      <c r="AL1088" s="7" t="str">
        <f t="shared" si="149"/>
        <v/>
      </c>
      <c r="AM1088" s="7" t="str">
        <f t="shared" si="150"/>
        <v/>
      </c>
      <c r="AN1088" s="8" t="str">
        <f>IF(C1088="","",COUNTIF($C$2:C1088,C1088))</f>
        <v/>
      </c>
      <c r="AO1088" s="8" t="str">
        <f t="shared" si="151"/>
        <v/>
      </c>
      <c r="AP1088" s="8" t="str">
        <f>IF(C1088="","",IF(AND(OR([1]Consulta!$C$29="",A1088=[1]Consulta!$C$29),OR([1]Consulta!$E$29="",B1088=[1]Consulta!$E$29),OR([1]Consulta!$G$29="",D1088=[1]Consulta!$G$29,R1088=[1]Consulta!$G$29)),ROW()-1,""))</f>
        <v/>
      </c>
    </row>
    <row r="1089" spans="1:42" ht="15" customHeight="1" x14ac:dyDescent="0.25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 t="str">
        <f t="shared" si="144"/>
        <v/>
      </c>
      <c r="AG1089" s="7" t="str">
        <f t="shared" si="152"/>
        <v/>
      </c>
      <c r="AH1089" s="7" t="str">
        <f t="shared" si="145"/>
        <v/>
      </c>
      <c r="AI1089" s="7" t="str">
        <f t="shared" si="146"/>
        <v/>
      </c>
      <c r="AJ1089" s="7" t="str">
        <f t="shared" si="147"/>
        <v/>
      </c>
      <c r="AK1089" s="7" t="str">
        <f t="shared" si="148"/>
        <v/>
      </c>
      <c r="AL1089" s="7" t="str">
        <f t="shared" si="149"/>
        <v/>
      </c>
      <c r="AM1089" s="7" t="str">
        <f t="shared" si="150"/>
        <v/>
      </c>
      <c r="AN1089" s="8" t="str">
        <f>IF(C1089="","",COUNTIF($C$2:C1089,C1089))</f>
        <v/>
      </c>
      <c r="AO1089" s="8" t="str">
        <f t="shared" si="151"/>
        <v/>
      </c>
      <c r="AP1089" s="8" t="str">
        <f>IF(C1089="","",IF(AND(OR([1]Consulta!$C$29="",A1089=[1]Consulta!$C$29),OR([1]Consulta!$E$29="",B1089=[1]Consulta!$E$29),OR([1]Consulta!$G$29="",D1089=[1]Consulta!$G$29,R1089=[1]Consulta!$G$29)),ROW()-1,""))</f>
        <v/>
      </c>
    </row>
    <row r="1090" spans="1:42" ht="15" customHeight="1" x14ac:dyDescent="0.25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 t="str">
        <f t="shared" ref="AF1090:AF1153" si="153">IF(C1090="","",IF(AND(ISNUMBER(K1090),ISNUMBER(L1090)),K1090-L1090,""))</f>
        <v/>
      </c>
      <c r="AG1090" s="7" t="str">
        <f t="shared" si="152"/>
        <v/>
      </c>
      <c r="AH1090" s="7" t="str">
        <f t="shared" ref="AH1090:AH1153" si="154">IF(C1090="","",IF(AND(ISNUMBER(Y1090),ISNUMBER(Z1090)),Y1090-Z1090,""))</f>
        <v/>
      </c>
      <c r="AI1090" s="7" t="str">
        <f t="shared" ref="AI1090:AI1153" si="155">IF(C1090="","",IF(AH1090="","N/A",IF(AH1090&lt;0,"ALARMA","OK")))</f>
        <v/>
      </c>
      <c r="AJ1090" s="7" t="str">
        <f t="shared" ref="AJ1090:AJ1153" si="156">IF(C1090="","",IF(ISNUMBER(M1090),IF(M1090&gt;0,"CON ERRORES","OK"),"N/A"))</f>
        <v/>
      </c>
      <c r="AK1090" s="7" t="str">
        <f t="shared" ref="AK1090:AK1153" si="157">IF(C1090="","",IF(ISNUMBER(AA1090),IF(AA1090&gt;0,"CON ERRORES","OK"),"N/A"))</f>
        <v/>
      </c>
      <c r="AL1090" s="7" t="str">
        <f t="shared" ref="AL1090:AL1153" si="158">IF(C1090="","",IF(OR(AG1090="ALARMA",AI1090="ALARMA",AJ1090="CON ERRORES",AK1090="CON ERRORES"),"REVISAR","OK"))</f>
        <v/>
      </c>
      <c r="AM1090" s="7" t="str">
        <f t="shared" ref="AM1090:AM1153" si="159">IF(C1090="","",IF(ISNUMBER(Q1090),Q1090,IF(ISNUMBER(AE1090),AE1090,"Ver detalle")))</f>
        <v/>
      </c>
      <c r="AN1090" s="8" t="str">
        <f>IF(C1090="","",COUNTIF($C$2:C1090,C1090))</f>
        <v/>
      </c>
      <c r="AO1090" s="8" t="str">
        <f t="shared" ref="AO1090:AO1153" si="160">IF(C1090="","",C1090&amp;"|"&amp;AN1090)</f>
        <v/>
      </c>
      <c r="AP1090" s="8" t="str">
        <f>IF(C1090="","",IF(AND(OR([1]Consulta!$C$29="",A1090=[1]Consulta!$C$29),OR([1]Consulta!$E$29="",B1090=[1]Consulta!$E$29),OR([1]Consulta!$G$29="",D1090=[1]Consulta!$G$29,R1090=[1]Consulta!$G$29)),ROW()-1,""))</f>
        <v/>
      </c>
    </row>
    <row r="1091" spans="1:42" ht="15" customHeight="1" x14ac:dyDescent="0.25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 t="str">
        <f t="shared" si="153"/>
        <v/>
      </c>
      <c r="AG1091" s="7" t="str">
        <f t="shared" ref="AG1091:AG1154" si="161">IF(C1091="","",IF(AF1091="","N/A",IF(AF1091&lt;0,"ALARMA","OK")))</f>
        <v/>
      </c>
      <c r="AH1091" s="7" t="str">
        <f t="shared" si="154"/>
        <v/>
      </c>
      <c r="AI1091" s="7" t="str">
        <f t="shared" si="155"/>
        <v/>
      </c>
      <c r="AJ1091" s="7" t="str">
        <f t="shared" si="156"/>
        <v/>
      </c>
      <c r="AK1091" s="7" t="str">
        <f t="shared" si="157"/>
        <v/>
      </c>
      <c r="AL1091" s="7" t="str">
        <f t="shared" si="158"/>
        <v/>
      </c>
      <c r="AM1091" s="7" t="str">
        <f t="shared" si="159"/>
        <v/>
      </c>
      <c r="AN1091" s="8" t="str">
        <f>IF(C1091="","",COUNTIF($C$2:C1091,C1091))</f>
        <v/>
      </c>
      <c r="AO1091" s="8" t="str">
        <f t="shared" si="160"/>
        <v/>
      </c>
      <c r="AP1091" s="8" t="str">
        <f>IF(C1091="","",IF(AND(OR([1]Consulta!$C$29="",A1091=[1]Consulta!$C$29),OR([1]Consulta!$E$29="",B1091=[1]Consulta!$E$29),OR([1]Consulta!$G$29="",D1091=[1]Consulta!$G$29,R1091=[1]Consulta!$G$29)),ROW()-1,""))</f>
        <v/>
      </c>
    </row>
    <row r="1092" spans="1:42" ht="15" customHeight="1" x14ac:dyDescent="0.25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 t="str">
        <f t="shared" si="153"/>
        <v/>
      </c>
      <c r="AG1092" s="7" t="str">
        <f t="shared" si="161"/>
        <v/>
      </c>
      <c r="AH1092" s="7" t="str">
        <f t="shared" si="154"/>
        <v/>
      </c>
      <c r="AI1092" s="7" t="str">
        <f t="shared" si="155"/>
        <v/>
      </c>
      <c r="AJ1092" s="7" t="str">
        <f t="shared" si="156"/>
        <v/>
      </c>
      <c r="AK1092" s="7" t="str">
        <f t="shared" si="157"/>
        <v/>
      </c>
      <c r="AL1092" s="7" t="str">
        <f t="shared" si="158"/>
        <v/>
      </c>
      <c r="AM1092" s="7" t="str">
        <f t="shared" si="159"/>
        <v/>
      </c>
      <c r="AN1092" s="8" t="str">
        <f>IF(C1092="","",COUNTIF($C$2:C1092,C1092))</f>
        <v/>
      </c>
      <c r="AO1092" s="8" t="str">
        <f t="shared" si="160"/>
        <v/>
      </c>
      <c r="AP1092" s="8" t="str">
        <f>IF(C1092="","",IF(AND(OR([1]Consulta!$C$29="",A1092=[1]Consulta!$C$29),OR([1]Consulta!$E$29="",B1092=[1]Consulta!$E$29),OR([1]Consulta!$G$29="",D1092=[1]Consulta!$G$29,R1092=[1]Consulta!$G$29)),ROW()-1,""))</f>
        <v/>
      </c>
    </row>
    <row r="1093" spans="1:42" ht="15" customHeight="1" x14ac:dyDescent="0.25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 t="str">
        <f t="shared" si="153"/>
        <v/>
      </c>
      <c r="AG1093" s="7" t="str">
        <f t="shared" si="161"/>
        <v/>
      </c>
      <c r="AH1093" s="7" t="str">
        <f t="shared" si="154"/>
        <v/>
      </c>
      <c r="AI1093" s="7" t="str">
        <f t="shared" si="155"/>
        <v/>
      </c>
      <c r="AJ1093" s="7" t="str">
        <f t="shared" si="156"/>
        <v/>
      </c>
      <c r="AK1093" s="7" t="str">
        <f t="shared" si="157"/>
        <v/>
      </c>
      <c r="AL1093" s="7" t="str">
        <f t="shared" si="158"/>
        <v/>
      </c>
      <c r="AM1093" s="7" t="str">
        <f t="shared" si="159"/>
        <v/>
      </c>
      <c r="AN1093" s="8" t="str">
        <f>IF(C1093="","",COUNTIF($C$2:C1093,C1093))</f>
        <v/>
      </c>
      <c r="AO1093" s="8" t="str">
        <f t="shared" si="160"/>
        <v/>
      </c>
      <c r="AP1093" s="8" t="str">
        <f>IF(C1093="","",IF(AND(OR([1]Consulta!$C$29="",A1093=[1]Consulta!$C$29),OR([1]Consulta!$E$29="",B1093=[1]Consulta!$E$29),OR([1]Consulta!$G$29="",D1093=[1]Consulta!$G$29,R1093=[1]Consulta!$G$29)),ROW()-1,""))</f>
        <v/>
      </c>
    </row>
    <row r="1094" spans="1:42" ht="15" customHeight="1" x14ac:dyDescent="0.25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 t="str">
        <f t="shared" si="153"/>
        <v/>
      </c>
      <c r="AG1094" s="7" t="str">
        <f t="shared" si="161"/>
        <v/>
      </c>
      <c r="AH1094" s="7" t="str">
        <f t="shared" si="154"/>
        <v/>
      </c>
      <c r="AI1094" s="7" t="str">
        <f t="shared" si="155"/>
        <v/>
      </c>
      <c r="AJ1094" s="7" t="str">
        <f t="shared" si="156"/>
        <v/>
      </c>
      <c r="AK1094" s="7" t="str">
        <f t="shared" si="157"/>
        <v/>
      </c>
      <c r="AL1094" s="7" t="str">
        <f t="shared" si="158"/>
        <v/>
      </c>
      <c r="AM1094" s="7" t="str">
        <f t="shared" si="159"/>
        <v/>
      </c>
      <c r="AN1094" s="8" t="str">
        <f>IF(C1094="","",COUNTIF($C$2:C1094,C1094))</f>
        <v/>
      </c>
      <c r="AO1094" s="8" t="str">
        <f t="shared" si="160"/>
        <v/>
      </c>
      <c r="AP1094" s="8" t="str">
        <f>IF(C1094="","",IF(AND(OR([1]Consulta!$C$29="",A1094=[1]Consulta!$C$29),OR([1]Consulta!$E$29="",B1094=[1]Consulta!$E$29),OR([1]Consulta!$G$29="",D1094=[1]Consulta!$G$29,R1094=[1]Consulta!$G$29)),ROW()-1,""))</f>
        <v/>
      </c>
    </row>
    <row r="1095" spans="1:42" ht="15" customHeight="1" x14ac:dyDescent="0.25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 t="str">
        <f t="shared" si="153"/>
        <v/>
      </c>
      <c r="AG1095" s="7" t="str">
        <f t="shared" si="161"/>
        <v/>
      </c>
      <c r="AH1095" s="7" t="str">
        <f t="shared" si="154"/>
        <v/>
      </c>
      <c r="AI1095" s="7" t="str">
        <f t="shared" si="155"/>
        <v/>
      </c>
      <c r="AJ1095" s="7" t="str">
        <f t="shared" si="156"/>
        <v/>
      </c>
      <c r="AK1095" s="7" t="str">
        <f t="shared" si="157"/>
        <v/>
      </c>
      <c r="AL1095" s="7" t="str">
        <f t="shared" si="158"/>
        <v/>
      </c>
      <c r="AM1095" s="7" t="str">
        <f t="shared" si="159"/>
        <v/>
      </c>
      <c r="AN1095" s="8" t="str">
        <f>IF(C1095="","",COUNTIF($C$2:C1095,C1095))</f>
        <v/>
      </c>
      <c r="AO1095" s="8" t="str">
        <f t="shared" si="160"/>
        <v/>
      </c>
      <c r="AP1095" s="8" t="str">
        <f>IF(C1095="","",IF(AND(OR([1]Consulta!$C$29="",A1095=[1]Consulta!$C$29),OR([1]Consulta!$E$29="",B1095=[1]Consulta!$E$29),OR([1]Consulta!$G$29="",D1095=[1]Consulta!$G$29,R1095=[1]Consulta!$G$29)),ROW()-1,""))</f>
        <v/>
      </c>
    </row>
    <row r="1096" spans="1:42" ht="15" customHeight="1" x14ac:dyDescent="0.25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 t="str">
        <f t="shared" si="153"/>
        <v/>
      </c>
      <c r="AG1096" s="7" t="str">
        <f t="shared" si="161"/>
        <v/>
      </c>
      <c r="AH1096" s="7" t="str">
        <f t="shared" si="154"/>
        <v/>
      </c>
      <c r="AI1096" s="7" t="str">
        <f t="shared" si="155"/>
        <v/>
      </c>
      <c r="AJ1096" s="7" t="str">
        <f t="shared" si="156"/>
        <v/>
      </c>
      <c r="AK1096" s="7" t="str">
        <f t="shared" si="157"/>
        <v/>
      </c>
      <c r="AL1096" s="7" t="str">
        <f t="shared" si="158"/>
        <v/>
      </c>
      <c r="AM1096" s="7" t="str">
        <f t="shared" si="159"/>
        <v/>
      </c>
      <c r="AN1096" s="8" t="str">
        <f>IF(C1096="","",COUNTIF($C$2:C1096,C1096))</f>
        <v/>
      </c>
      <c r="AO1096" s="8" t="str">
        <f t="shared" si="160"/>
        <v/>
      </c>
      <c r="AP1096" s="8" t="str">
        <f>IF(C1096="","",IF(AND(OR([1]Consulta!$C$29="",A1096=[1]Consulta!$C$29),OR([1]Consulta!$E$29="",B1096=[1]Consulta!$E$29),OR([1]Consulta!$G$29="",D1096=[1]Consulta!$G$29,R1096=[1]Consulta!$G$29)),ROW()-1,""))</f>
        <v/>
      </c>
    </row>
    <row r="1097" spans="1:42" ht="15" customHeight="1" x14ac:dyDescent="0.25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 t="str">
        <f t="shared" si="153"/>
        <v/>
      </c>
      <c r="AG1097" s="7" t="str">
        <f t="shared" si="161"/>
        <v/>
      </c>
      <c r="AH1097" s="7" t="str">
        <f t="shared" si="154"/>
        <v/>
      </c>
      <c r="AI1097" s="7" t="str">
        <f t="shared" si="155"/>
        <v/>
      </c>
      <c r="AJ1097" s="7" t="str">
        <f t="shared" si="156"/>
        <v/>
      </c>
      <c r="AK1097" s="7" t="str">
        <f t="shared" si="157"/>
        <v/>
      </c>
      <c r="AL1097" s="7" t="str">
        <f t="shared" si="158"/>
        <v/>
      </c>
      <c r="AM1097" s="7" t="str">
        <f t="shared" si="159"/>
        <v/>
      </c>
      <c r="AN1097" s="8" t="str">
        <f>IF(C1097="","",COUNTIF($C$2:C1097,C1097))</f>
        <v/>
      </c>
      <c r="AO1097" s="8" t="str">
        <f t="shared" si="160"/>
        <v/>
      </c>
      <c r="AP1097" s="8" t="str">
        <f>IF(C1097="","",IF(AND(OR([1]Consulta!$C$29="",A1097=[1]Consulta!$C$29),OR([1]Consulta!$E$29="",B1097=[1]Consulta!$E$29),OR([1]Consulta!$G$29="",D1097=[1]Consulta!$G$29,R1097=[1]Consulta!$G$29)),ROW()-1,""))</f>
        <v/>
      </c>
    </row>
    <row r="1098" spans="1:42" ht="15" customHeight="1" x14ac:dyDescent="0.25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 t="str">
        <f t="shared" si="153"/>
        <v/>
      </c>
      <c r="AG1098" s="7" t="str">
        <f t="shared" si="161"/>
        <v/>
      </c>
      <c r="AH1098" s="7" t="str">
        <f t="shared" si="154"/>
        <v/>
      </c>
      <c r="AI1098" s="7" t="str">
        <f t="shared" si="155"/>
        <v/>
      </c>
      <c r="AJ1098" s="7" t="str">
        <f t="shared" si="156"/>
        <v/>
      </c>
      <c r="AK1098" s="7" t="str">
        <f t="shared" si="157"/>
        <v/>
      </c>
      <c r="AL1098" s="7" t="str">
        <f t="shared" si="158"/>
        <v/>
      </c>
      <c r="AM1098" s="7" t="str">
        <f t="shared" si="159"/>
        <v/>
      </c>
      <c r="AN1098" s="8" t="str">
        <f>IF(C1098="","",COUNTIF($C$2:C1098,C1098))</f>
        <v/>
      </c>
      <c r="AO1098" s="8" t="str">
        <f t="shared" si="160"/>
        <v/>
      </c>
      <c r="AP1098" s="8" t="str">
        <f>IF(C1098="","",IF(AND(OR([1]Consulta!$C$29="",A1098=[1]Consulta!$C$29),OR([1]Consulta!$E$29="",B1098=[1]Consulta!$E$29),OR([1]Consulta!$G$29="",D1098=[1]Consulta!$G$29,R1098=[1]Consulta!$G$29)),ROW()-1,""))</f>
        <v/>
      </c>
    </row>
    <row r="1099" spans="1:42" ht="15" customHeight="1" x14ac:dyDescent="0.25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 t="str">
        <f t="shared" si="153"/>
        <v/>
      </c>
      <c r="AG1099" s="7" t="str">
        <f t="shared" si="161"/>
        <v/>
      </c>
      <c r="AH1099" s="7" t="str">
        <f t="shared" si="154"/>
        <v/>
      </c>
      <c r="AI1099" s="7" t="str">
        <f t="shared" si="155"/>
        <v/>
      </c>
      <c r="AJ1099" s="7" t="str">
        <f t="shared" si="156"/>
        <v/>
      </c>
      <c r="AK1099" s="7" t="str">
        <f t="shared" si="157"/>
        <v/>
      </c>
      <c r="AL1099" s="7" t="str">
        <f t="shared" si="158"/>
        <v/>
      </c>
      <c r="AM1099" s="7" t="str">
        <f t="shared" si="159"/>
        <v/>
      </c>
      <c r="AN1099" s="8" t="str">
        <f>IF(C1099="","",COUNTIF($C$2:C1099,C1099))</f>
        <v/>
      </c>
      <c r="AO1099" s="8" t="str">
        <f t="shared" si="160"/>
        <v/>
      </c>
      <c r="AP1099" s="8" t="str">
        <f>IF(C1099="","",IF(AND(OR([1]Consulta!$C$29="",A1099=[1]Consulta!$C$29),OR([1]Consulta!$E$29="",B1099=[1]Consulta!$E$29),OR([1]Consulta!$G$29="",D1099=[1]Consulta!$G$29,R1099=[1]Consulta!$G$29)),ROW()-1,""))</f>
        <v/>
      </c>
    </row>
    <row r="1100" spans="1:42" ht="15" customHeight="1" x14ac:dyDescent="0.25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 t="str">
        <f t="shared" si="153"/>
        <v/>
      </c>
      <c r="AG1100" s="7" t="str">
        <f t="shared" si="161"/>
        <v/>
      </c>
      <c r="AH1100" s="7" t="str">
        <f t="shared" si="154"/>
        <v/>
      </c>
      <c r="AI1100" s="7" t="str">
        <f t="shared" si="155"/>
        <v/>
      </c>
      <c r="AJ1100" s="7" t="str">
        <f t="shared" si="156"/>
        <v/>
      </c>
      <c r="AK1100" s="7" t="str">
        <f t="shared" si="157"/>
        <v/>
      </c>
      <c r="AL1100" s="7" t="str">
        <f t="shared" si="158"/>
        <v/>
      </c>
      <c r="AM1100" s="7" t="str">
        <f t="shared" si="159"/>
        <v/>
      </c>
      <c r="AN1100" s="8" t="str">
        <f>IF(C1100="","",COUNTIF($C$2:C1100,C1100))</f>
        <v/>
      </c>
      <c r="AO1100" s="8" t="str">
        <f t="shared" si="160"/>
        <v/>
      </c>
      <c r="AP1100" s="8" t="str">
        <f>IF(C1100="","",IF(AND(OR([1]Consulta!$C$29="",A1100=[1]Consulta!$C$29),OR([1]Consulta!$E$29="",B1100=[1]Consulta!$E$29),OR([1]Consulta!$G$29="",D1100=[1]Consulta!$G$29,R1100=[1]Consulta!$G$29)),ROW()-1,""))</f>
        <v/>
      </c>
    </row>
    <row r="1101" spans="1:42" ht="15" customHeight="1" x14ac:dyDescent="0.25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 t="str">
        <f t="shared" si="153"/>
        <v/>
      </c>
      <c r="AG1101" s="7" t="str">
        <f t="shared" si="161"/>
        <v/>
      </c>
      <c r="AH1101" s="7" t="str">
        <f t="shared" si="154"/>
        <v/>
      </c>
      <c r="AI1101" s="7" t="str">
        <f t="shared" si="155"/>
        <v/>
      </c>
      <c r="AJ1101" s="7" t="str">
        <f t="shared" si="156"/>
        <v/>
      </c>
      <c r="AK1101" s="7" t="str">
        <f t="shared" si="157"/>
        <v/>
      </c>
      <c r="AL1101" s="7" t="str">
        <f t="shared" si="158"/>
        <v/>
      </c>
      <c r="AM1101" s="7" t="str">
        <f t="shared" si="159"/>
        <v/>
      </c>
      <c r="AN1101" s="8" t="str">
        <f>IF(C1101="","",COUNTIF($C$2:C1101,C1101))</f>
        <v/>
      </c>
      <c r="AO1101" s="8" t="str">
        <f t="shared" si="160"/>
        <v/>
      </c>
      <c r="AP1101" s="8" t="str">
        <f>IF(C1101="","",IF(AND(OR([1]Consulta!$C$29="",A1101=[1]Consulta!$C$29),OR([1]Consulta!$E$29="",B1101=[1]Consulta!$E$29),OR([1]Consulta!$G$29="",D1101=[1]Consulta!$G$29,R1101=[1]Consulta!$G$29)),ROW()-1,""))</f>
        <v/>
      </c>
    </row>
    <row r="1102" spans="1:42" ht="15" customHeight="1" x14ac:dyDescent="0.25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 t="str">
        <f t="shared" si="153"/>
        <v/>
      </c>
      <c r="AG1102" s="7" t="str">
        <f t="shared" si="161"/>
        <v/>
      </c>
      <c r="AH1102" s="7" t="str">
        <f t="shared" si="154"/>
        <v/>
      </c>
      <c r="AI1102" s="7" t="str">
        <f t="shared" si="155"/>
        <v/>
      </c>
      <c r="AJ1102" s="7" t="str">
        <f t="shared" si="156"/>
        <v/>
      </c>
      <c r="AK1102" s="7" t="str">
        <f t="shared" si="157"/>
        <v/>
      </c>
      <c r="AL1102" s="7" t="str">
        <f t="shared" si="158"/>
        <v/>
      </c>
      <c r="AM1102" s="7" t="str">
        <f t="shared" si="159"/>
        <v/>
      </c>
      <c r="AN1102" s="8" t="str">
        <f>IF(C1102="","",COUNTIF($C$2:C1102,C1102))</f>
        <v/>
      </c>
      <c r="AO1102" s="8" t="str">
        <f t="shared" si="160"/>
        <v/>
      </c>
      <c r="AP1102" s="8" t="str">
        <f>IF(C1102="","",IF(AND(OR([1]Consulta!$C$29="",A1102=[1]Consulta!$C$29),OR([1]Consulta!$E$29="",B1102=[1]Consulta!$E$29),OR([1]Consulta!$G$29="",D1102=[1]Consulta!$G$29,R1102=[1]Consulta!$G$29)),ROW()-1,""))</f>
        <v/>
      </c>
    </row>
    <row r="1103" spans="1:42" ht="15" customHeight="1" x14ac:dyDescent="0.25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 t="str">
        <f t="shared" si="153"/>
        <v/>
      </c>
      <c r="AG1103" s="7" t="str">
        <f t="shared" si="161"/>
        <v/>
      </c>
      <c r="AH1103" s="7" t="str">
        <f t="shared" si="154"/>
        <v/>
      </c>
      <c r="AI1103" s="7" t="str">
        <f t="shared" si="155"/>
        <v/>
      </c>
      <c r="AJ1103" s="7" t="str">
        <f t="shared" si="156"/>
        <v/>
      </c>
      <c r="AK1103" s="7" t="str">
        <f t="shared" si="157"/>
        <v/>
      </c>
      <c r="AL1103" s="7" t="str">
        <f t="shared" si="158"/>
        <v/>
      </c>
      <c r="AM1103" s="7" t="str">
        <f t="shared" si="159"/>
        <v/>
      </c>
      <c r="AN1103" s="8" t="str">
        <f>IF(C1103="","",COUNTIF($C$2:C1103,C1103))</f>
        <v/>
      </c>
      <c r="AO1103" s="8" t="str">
        <f t="shared" si="160"/>
        <v/>
      </c>
      <c r="AP1103" s="8" t="str">
        <f>IF(C1103="","",IF(AND(OR([1]Consulta!$C$29="",A1103=[1]Consulta!$C$29),OR([1]Consulta!$E$29="",B1103=[1]Consulta!$E$29),OR([1]Consulta!$G$29="",D1103=[1]Consulta!$G$29,R1103=[1]Consulta!$G$29)),ROW()-1,""))</f>
        <v/>
      </c>
    </row>
    <row r="1104" spans="1:42" ht="15" customHeight="1" x14ac:dyDescent="0.25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 t="str">
        <f t="shared" si="153"/>
        <v/>
      </c>
      <c r="AG1104" s="7" t="str">
        <f t="shared" si="161"/>
        <v/>
      </c>
      <c r="AH1104" s="7" t="str">
        <f t="shared" si="154"/>
        <v/>
      </c>
      <c r="AI1104" s="7" t="str">
        <f t="shared" si="155"/>
        <v/>
      </c>
      <c r="AJ1104" s="7" t="str">
        <f t="shared" si="156"/>
        <v/>
      </c>
      <c r="AK1104" s="7" t="str">
        <f t="shared" si="157"/>
        <v/>
      </c>
      <c r="AL1104" s="7" t="str">
        <f t="shared" si="158"/>
        <v/>
      </c>
      <c r="AM1104" s="7" t="str">
        <f t="shared" si="159"/>
        <v/>
      </c>
      <c r="AN1104" s="8" t="str">
        <f>IF(C1104="","",COUNTIF($C$2:C1104,C1104))</f>
        <v/>
      </c>
      <c r="AO1104" s="8" t="str">
        <f t="shared" si="160"/>
        <v/>
      </c>
      <c r="AP1104" s="8" t="str">
        <f>IF(C1104="","",IF(AND(OR([1]Consulta!$C$29="",A1104=[1]Consulta!$C$29),OR([1]Consulta!$E$29="",B1104=[1]Consulta!$E$29),OR([1]Consulta!$G$29="",D1104=[1]Consulta!$G$29,R1104=[1]Consulta!$G$29)),ROW()-1,""))</f>
        <v/>
      </c>
    </row>
    <row r="1105" spans="1:42" ht="15" customHeight="1" x14ac:dyDescent="0.25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 t="str">
        <f t="shared" si="153"/>
        <v/>
      </c>
      <c r="AG1105" s="7" t="str">
        <f t="shared" si="161"/>
        <v/>
      </c>
      <c r="AH1105" s="7" t="str">
        <f t="shared" si="154"/>
        <v/>
      </c>
      <c r="AI1105" s="7" t="str">
        <f t="shared" si="155"/>
        <v/>
      </c>
      <c r="AJ1105" s="7" t="str">
        <f t="shared" si="156"/>
        <v/>
      </c>
      <c r="AK1105" s="7" t="str">
        <f t="shared" si="157"/>
        <v/>
      </c>
      <c r="AL1105" s="7" t="str">
        <f t="shared" si="158"/>
        <v/>
      </c>
      <c r="AM1105" s="7" t="str">
        <f t="shared" si="159"/>
        <v/>
      </c>
      <c r="AN1105" s="8" t="str">
        <f>IF(C1105="","",COUNTIF($C$2:C1105,C1105))</f>
        <v/>
      </c>
      <c r="AO1105" s="8" t="str">
        <f t="shared" si="160"/>
        <v/>
      </c>
      <c r="AP1105" s="8" t="str">
        <f>IF(C1105="","",IF(AND(OR([1]Consulta!$C$29="",A1105=[1]Consulta!$C$29),OR([1]Consulta!$E$29="",B1105=[1]Consulta!$E$29),OR([1]Consulta!$G$29="",D1105=[1]Consulta!$G$29,R1105=[1]Consulta!$G$29)),ROW()-1,""))</f>
        <v/>
      </c>
    </row>
    <row r="1106" spans="1:42" ht="15" customHeight="1" x14ac:dyDescent="0.25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 t="str">
        <f t="shared" si="153"/>
        <v/>
      </c>
      <c r="AG1106" s="7" t="str">
        <f t="shared" si="161"/>
        <v/>
      </c>
      <c r="AH1106" s="7" t="str">
        <f t="shared" si="154"/>
        <v/>
      </c>
      <c r="AI1106" s="7" t="str">
        <f t="shared" si="155"/>
        <v/>
      </c>
      <c r="AJ1106" s="7" t="str">
        <f t="shared" si="156"/>
        <v/>
      </c>
      <c r="AK1106" s="7" t="str">
        <f t="shared" si="157"/>
        <v/>
      </c>
      <c r="AL1106" s="7" t="str">
        <f t="shared" si="158"/>
        <v/>
      </c>
      <c r="AM1106" s="7" t="str">
        <f t="shared" si="159"/>
        <v/>
      </c>
      <c r="AN1106" s="8" t="str">
        <f>IF(C1106="","",COUNTIF($C$2:C1106,C1106))</f>
        <v/>
      </c>
      <c r="AO1106" s="8" t="str">
        <f t="shared" si="160"/>
        <v/>
      </c>
      <c r="AP1106" s="8" t="str">
        <f>IF(C1106="","",IF(AND(OR([1]Consulta!$C$29="",A1106=[1]Consulta!$C$29),OR([1]Consulta!$E$29="",B1106=[1]Consulta!$E$29),OR([1]Consulta!$G$29="",D1106=[1]Consulta!$G$29,R1106=[1]Consulta!$G$29)),ROW()-1,""))</f>
        <v/>
      </c>
    </row>
    <row r="1107" spans="1:42" ht="15" customHeight="1" x14ac:dyDescent="0.25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 t="str">
        <f t="shared" si="153"/>
        <v/>
      </c>
      <c r="AG1107" s="7" t="str">
        <f t="shared" si="161"/>
        <v/>
      </c>
      <c r="AH1107" s="7" t="str">
        <f t="shared" si="154"/>
        <v/>
      </c>
      <c r="AI1107" s="7" t="str">
        <f t="shared" si="155"/>
        <v/>
      </c>
      <c r="AJ1107" s="7" t="str">
        <f t="shared" si="156"/>
        <v/>
      </c>
      <c r="AK1107" s="7" t="str">
        <f t="shared" si="157"/>
        <v/>
      </c>
      <c r="AL1107" s="7" t="str">
        <f t="shared" si="158"/>
        <v/>
      </c>
      <c r="AM1107" s="7" t="str">
        <f t="shared" si="159"/>
        <v/>
      </c>
      <c r="AN1107" s="8" t="str">
        <f>IF(C1107="","",COUNTIF($C$2:C1107,C1107))</f>
        <v/>
      </c>
      <c r="AO1107" s="8" t="str">
        <f t="shared" si="160"/>
        <v/>
      </c>
      <c r="AP1107" s="8" t="str">
        <f>IF(C1107="","",IF(AND(OR([1]Consulta!$C$29="",A1107=[1]Consulta!$C$29),OR([1]Consulta!$E$29="",B1107=[1]Consulta!$E$29),OR([1]Consulta!$G$29="",D1107=[1]Consulta!$G$29,R1107=[1]Consulta!$G$29)),ROW()-1,""))</f>
        <v/>
      </c>
    </row>
    <row r="1108" spans="1:42" ht="15" customHeight="1" x14ac:dyDescent="0.25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 t="str">
        <f t="shared" si="153"/>
        <v/>
      </c>
      <c r="AG1108" s="7" t="str">
        <f t="shared" si="161"/>
        <v/>
      </c>
      <c r="AH1108" s="7" t="str">
        <f t="shared" si="154"/>
        <v/>
      </c>
      <c r="AI1108" s="7" t="str">
        <f t="shared" si="155"/>
        <v/>
      </c>
      <c r="AJ1108" s="7" t="str">
        <f t="shared" si="156"/>
        <v/>
      </c>
      <c r="AK1108" s="7" t="str">
        <f t="shared" si="157"/>
        <v/>
      </c>
      <c r="AL1108" s="7" t="str">
        <f t="shared" si="158"/>
        <v/>
      </c>
      <c r="AM1108" s="7" t="str">
        <f t="shared" si="159"/>
        <v/>
      </c>
      <c r="AN1108" s="8" t="str">
        <f>IF(C1108="","",COUNTIF($C$2:C1108,C1108))</f>
        <v/>
      </c>
      <c r="AO1108" s="8" t="str">
        <f t="shared" si="160"/>
        <v/>
      </c>
      <c r="AP1108" s="8" t="str">
        <f>IF(C1108="","",IF(AND(OR([1]Consulta!$C$29="",A1108=[1]Consulta!$C$29),OR([1]Consulta!$E$29="",B1108=[1]Consulta!$E$29),OR([1]Consulta!$G$29="",D1108=[1]Consulta!$G$29,R1108=[1]Consulta!$G$29)),ROW()-1,""))</f>
        <v/>
      </c>
    </row>
    <row r="1109" spans="1:42" ht="15" customHeight="1" x14ac:dyDescent="0.25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 t="str">
        <f t="shared" si="153"/>
        <v/>
      </c>
      <c r="AG1109" s="7" t="str">
        <f t="shared" si="161"/>
        <v/>
      </c>
      <c r="AH1109" s="7" t="str">
        <f t="shared" si="154"/>
        <v/>
      </c>
      <c r="AI1109" s="7" t="str">
        <f t="shared" si="155"/>
        <v/>
      </c>
      <c r="AJ1109" s="7" t="str">
        <f t="shared" si="156"/>
        <v/>
      </c>
      <c r="AK1109" s="7" t="str">
        <f t="shared" si="157"/>
        <v/>
      </c>
      <c r="AL1109" s="7" t="str">
        <f t="shared" si="158"/>
        <v/>
      </c>
      <c r="AM1109" s="7" t="str">
        <f t="shared" si="159"/>
        <v/>
      </c>
      <c r="AN1109" s="8" t="str">
        <f>IF(C1109="","",COUNTIF($C$2:C1109,C1109))</f>
        <v/>
      </c>
      <c r="AO1109" s="8" t="str">
        <f t="shared" si="160"/>
        <v/>
      </c>
      <c r="AP1109" s="8" t="str">
        <f>IF(C1109="","",IF(AND(OR([1]Consulta!$C$29="",A1109=[1]Consulta!$C$29),OR([1]Consulta!$E$29="",B1109=[1]Consulta!$E$29),OR([1]Consulta!$G$29="",D1109=[1]Consulta!$G$29,R1109=[1]Consulta!$G$29)),ROW()-1,""))</f>
        <v/>
      </c>
    </row>
    <row r="1110" spans="1:42" ht="15" customHeight="1" x14ac:dyDescent="0.25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 t="str">
        <f t="shared" si="153"/>
        <v/>
      </c>
      <c r="AG1110" s="7" t="str">
        <f t="shared" si="161"/>
        <v/>
      </c>
      <c r="AH1110" s="7" t="str">
        <f t="shared" si="154"/>
        <v/>
      </c>
      <c r="AI1110" s="7" t="str">
        <f t="shared" si="155"/>
        <v/>
      </c>
      <c r="AJ1110" s="7" t="str">
        <f t="shared" si="156"/>
        <v/>
      </c>
      <c r="AK1110" s="7" t="str">
        <f t="shared" si="157"/>
        <v/>
      </c>
      <c r="AL1110" s="7" t="str">
        <f t="shared" si="158"/>
        <v/>
      </c>
      <c r="AM1110" s="7" t="str">
        <f t="shared" si="159"/>
        <v/>
      </c>
      <c r="AN1110" s="8" t="str">
        <f>IF(C1110="","",COUNTIF($C$2:C1110,C1110))</f>
        <v/>
      </c>
      <c r="AO1110" s="8" t="str">
        <f t="shared" si="160"/>
        <v/>
      </c>
      <c r="AP1110" s="8" t="str">
        <f>IF(C1110="","",IF(AND(OR([1]Consulta!$C$29="",A1110=[1]Consulta!$C$29),OR([1]Consulta!$E$29="",B1110=[1]Consulta!$E$29),OR([1]Consulta!$G$29="",D1110=[1]Consulta!$G$29,R1110=[1]Consulta!$G$29)),ROW()-1,""))</f>
        <v/>
      </c>
    </row>
    <row r="1111" spans="1:42" ht="15" customHeight="1" x14ac:dyDescent="0.25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 t="str">
        <f t="shared" si="153"/>
        <v/>
      </c>
      <c r="AG1111" s="7" t="str">
        <f t="shared" si="161"/>
        <v/>
      </c>
      <c r="AH1111" s="7" t="str">
        <f t="shared" si="154"/>
        <v/>
      </c>
      <c r="AI1111" s="7" t="str">
        <f t="shared" si="155"/>
        <v/>
      </c>
      <c r="AJ1111" s="7" t="str">
        <f t="shared" si="156"/>
        <v/>
      </c>
      <c r="AK1111" s="7" t="str">
        <f t="shared" si="157"/>
        <v/>
      </c>
      <c r="AL1111" s="7" t="str">
        <f t="shared" si="158"/>
        <v/>
      </c>
      <c r="AM1111" s="7" t="str">
        <f t="shared" si="159"/>
        <v/>
      </c>
      <c r="AN1111" s="8" t="str">
        <f>IF(C1111="","",COUNTIF($C$2:C1111,C1111))</f>
        <v/>
      </c>
      <c r="AO1111" s="8" t="str">
        <f t="shared" si="160"/>
        <v/>
      </c>
      <c r="AP1111" s="8" t="str">
        <f>IF(C1111="","",IF(AND(OR([1]Consulta!$C$29="",A1111=[1]Consulta!$C$29),OR([1]Consulta!$E$29="",B1111=[1]Consulta!$E$29),OR([1]Consulta!$G$29="",D1111=[1]Consulta!$G$29,R1111=[1]Consulta!$G$29)),ROW()-1,""))</f>
        <v/>
      </c>
    </row>
    <row r="1112" spans="1:42" ht="15" customHeight="1" x14ac:dyDescent="0.25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 t="str">
        <f t="shared" si="153"/>
        <v/>
      </c>
      <c r="AG1112" s="7" t="str">
        <f t="shared" si="161"/>
        <v/>
      </c>
      <c r="AH1112" s="7" t="str">
        <f t="shared" si="154"/>
        <v/>
      </c>
      <c r="AI1112" s="7" t="str">
        <f t="shared" si="155"/>
        <v/>
      </c>
      <c r="AJ1112" s="7" t="str">
        <f t="shared" si="156"/>
        <v/>
      </c>
      <c r="AK1112" s="7" t="str">
        <f t="shared" si="157"/>
        <v/>
      </c>
      <c r="AL1112" s="7" t="str">
        <f t="shared" si="158"/>
        <v/>
      </c>
      <c r="AM1112" s="7" t="str">
        <f t="shared" si="159"/>
        <v/>
      </c>
      <c r="AN1112" s="8" t="str">
        <f>IF(C1112="","",COUNTIF($C$2:C1112,C1112))</f>
        <v/>
      </c>
      <c r="AO1112" s="8" t="str">
        <f t="shared" si="160"/>
        <v/>
      </c>
      <c r="AP1112" s="8" t="str">
        <f>IF(C1112="","",IF(AND(OR([1]Consulta!$C$29="",A1112=[1]Consulta!$C$29),OR([1]Consulta!$E$29="",B1112=[1]Consulta!$E$29),OR([1]Consulta!$G$29="",D1112=[1]Consulta!$G$29,R1112=[1]Consulta!$G$29)),ROW()-1,""))</f>
        <v/>
      </c>
    </row>
    <row r="1113" spans="1:42" ht="15" customHeight="1" x14ac:dyDescent="0.25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 t="str">
        <f t="shared" si="153"/>
        <v/>
      </c>
      <c r="AG1113" s="7" t="str">
        <f t="shared" si="161"/>
        <v/>
      </c>
      <c r="AH1113" s="7" t="str">
        <f t="shared" si="154"/>
        <v/>
      </c>
      <c r="AI1113" s="7" t="str">
        <f t="shared" si="155"/>
        <v/>
      </c>
      <c r="AJ1113" s="7" t="str">
        <f t="shared" si="156"/>
        <v/>
      </c>
      <c r="AK1113" s="7" t="str">
        <f t="shared" si="157"/>
        <v/>
      </c>
      <c r="AL1113" s="7" t="str">
        <f t="shared" si="158"/>
        <v/>
      </c>
      <c r="AM1113" s="7" t="str">
        <f t="shared" si="159"/>
        <v/>
      </c>
      <c r="AN1113" s="8" t="str">
        <f>IF(C1113="","",COUNTIF($C$2:C1113,C1113))</f>
        <v/>
      </c>
      <c r="AO1113" s="8" t="str">
        <f t="shared" si="160"/>
        <v/>
      </c>
      <c r="AP1113" s="8" t="str">
        <f>IF(C1113="","",IF(AND(OR([1]Consulta!$C$29="",A1113=[1]Consulta!$C$29),OR([1]Consulta!$E$29="",B1113=[1]Consulta!$E$29),OR([1]Consulta!$G$29="",D1113=[1]Consulta!$G$29,R1113=[1]Consulta!$G$29)),ROW()-1,""))</f>
        <v/>
      </c>
    </row>
    <row r="1114" spans="1:42" ht="15" customHeight="1" x14ac:dyDescent="0.25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 t="str">
        <f t="shared" si="153"/>
        <v/>
      </c>
      <c r="AG1114" s="7" t="str">
        <f t="shared" si="161"/>
        <v/>
      </c>
      <c r="AH1114" s="7" t="str">
        <f t="shared" si="154"/>
        <v/>
      </c>
      <c r="AI1114" s="7" t="str">
        <f t="shared" si="155"/>
        <v/>
      </c>
      <c r="AJ1114" s="7" t="str">
        <f t="shared" si="156"/>
        <v/>
      </c>
      <c r="AK1114" s="7" t="str">
        <f t="shared" si="157"/>
        <v/>
      </c>
      <c r="AL1114" s="7" t="str">
        <f t="shared" si="158"/>
        <v/>
      </c>
      <c r="AM1114" s="7" t="str">
        <f t="shared" si="159"/>
        <v/>
      </c>
      <c r="AN1114" s="8" t="str">
        <f>IF(C1114="","",COUNTIF($C$2:C1114,C1114))</f>
        <v/>
      </c>
      <c r="AO1114" s="8" t="str">
        <f t="shared" si="160"/>
        <v/>
      </c>
      <c r="AP1114" s="8" t="str">
        <f>IF(C1114="","",IF(AND(OR([1]Consulta!$C$29="",A1114=[1]Consulta!$C$29),OR([1]Consulta!$E$29="",B1114=[1]Consulta!$E$29),OR([1]Consulta!$G$29="",D1114=[1]Consulta!$G$29,R1114=[1]Consulta!$G$29)),ROW()-1,""))</f>
        <v/>
      </c>
    </row>
    <row r="1115" spans="1:42" ht="15" customHeight="1" x14ac:dyDescent="0.25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 t="str">
        <f t="shared" si="153"/>
        <v/>
      </c>
      <c r="AG1115" s="7" t="str">
        <f t="shared" si="161"/>
        <v/>
      </c>
      <c r="AH1115" s="7" t="str">
        <f t="shared" si="154"/>
        <v/>
      </c>
      <c r="AI1115" s="7" t="str">
        <f t="shared" si="155"/>
        <v/>
      </c>
      <c r="AJ1115" s="7" t="str">
        <f t="shared" si="156"/>
        <v/>
      </c>
      <c r="AK1115" s="7" t="str">
        <f t="shared" si="157"/>
        <v/>
      </c>
      <c r="AL1115" s="7" t="str">
        <f t="shared" si="158"/>
        <v/>
      </c>
      <c r="AM1115" s="7" t="str">
        <f t="shared" si="159"/>
        <v/>
      </c>
      <c r="AN1115" s="8" t="str">
        <f>IF(C1115="","",COUNTIF($C$2:C1115,C1115))</f>
        <v/>
      </c>
      <c r="AO1115" s="8" t="str">
        <f t="shared" si="160"/>
        <v/>
      </c>
      <c r="AP1115" s="8" t="str">
        <f>IF(C1115="","",IF(AND(OR([1]Consulta!$C$29="",A1115=[1]Consulta!$C$29),OR([1]Consulta!$E$29="",B1115=[1]Consulta!$E$29),OR([1]Consulta!$G$29="",D1115=[1]Consulta!$G$29,R1115=[1]Consulta!$G$29)),ROW()-1,""))</f>
        <v/>
      </c>
    </row>
    <row r="1116" spans="1:42" ht="15" customHeight="1" x14ac:dyDescent="0.25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 t="str">
        <f t="shared" si="153"/>
        <v/>
      </c>
      <c r="AG1116" s="7" t="str">
        <f t="shared" si="161"/>
        <v/>
      </c>
      <c r="AH1116" s="7" t="str">
        <f t="shared" si="154"/>
        <v/>
      </c>
      <c r="AI1116" s="7" t="str">
        <f t="shared" si="155"/>
        <v/>
      </c>
      <c r="AJ1116" s="7" t="str">
        <f t="shared" si="156"/>
        <v/>
      </c>
      <c r="AK1116" s="7" t="str">
        <f t="shared" si="157"/>
        <v/>
      </c>
      <c r="AL1116" s="7" t="str">
        <f t="shared" si="158"/>
        <v/>
      </c>
      <c r="AM1116" s="7" t="str">
        <f t="shared" si="159"/>
        <v/>
      </c>
      <c r="AN1116" s="8" t="str">
        <f>IF(C1116="","",COUNTIF($C$2:C1116,C1116))</f>
        <v/>
      </c>
      <c r="AO1116" s="8" t="str">
        <f t="shared" si="160"/>
        <v/>
      </c>
      <c r="AP1116" s="8" t="str">
        <f>IF(C1116="","",IF(AND(OR([1]Consulta!$C$29="",A1116=[1]Consulta!$C$29),OR([1]Consulta!$E$29="",B1116=[1]Consulta!$E$29),OR([1]Consulta!$G$29="",D1116=[1]Consulta!$G$29,R1116=[1]Consulta!$G$29)),ROW()-1,""))</f>
        <v/>
      </c>
    </row>
    <row r="1117" spans="1:42" ht="15" customHeight="1" x14ac:dyDescent="0.25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 t="str">
        <f t="shared" si="153"/>
        <v/>
      </c>
      <c r="AG1117" s="7" t="str">
        <f t="shared" si="161"/>
        <v/>
      </c>
      <c r="AH1117" s="7" t="str">
        <f t="shared" si="154"/>
        <v/>
      </c>
      <c r="AI1117" s="7" t="str">
        <f t="shared" si="155"/>
        <v/>
      </c>
      <c r="AJ1117" s="7" t="str">
        <f t="shared" si="156"/>
        <v/>
      </c>
      <c r="AK1117" s="7" t="str">
        <f t="shared" si="157"/>
        <v/>
      </c>
      <c r="AL1117" s="7" t="str">
        <f t="shared" si="158"/>
        <v/>
      </c>
      <c r="AM1117" s="7" t="str">
        <f t="shared" si="159"/>
        <v/>
      </c>
      <c r="AN1117" s="8" t="str">
        <f>IF(C1117="","",COUNTIF($C$2:C1117,C1117))</f>
        <v/>
      </c>
      <c r="AO1117" s="8" t="str">
        <f t="shared" si="160"/>
        <v/>
      </c>
      <c r="AP1117" s="8" t="str">
        <f>IF(C1117="","",IF(AND(OR([1]Consulta!$C$29="",A1117=[1]Consulta!$C$29),OR([1]Consulta!$E$29="",B1117=[1]Consulta!$E$29),OR([1]Consulta!$G$29="",D1117=[1]Consulta!$G$29,R1117=[1]Consulta!$G$29)),ROW()-1,""))</f>
        <v/>
      </c>
    </row>
    <row r="1118" spans="1:42" ht="15" customHeight="1" x14ac:dyDescent="0.25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 t="str">
        <f t="shared" si="153"/>
        <v/>
      </c>
      <c r="AG1118" s="7" t="str">
        <f t="shared" si="161"/>
        <v/>
      </c>
      <c r="AH1118" s="7" t="str">
        <f t="shared" si="154"/>
        <v/>
      </c>
      <c r="AI1118" s="7" t="str">
        <f t="shared" si="155"/>
        <v/>
      </c>
      <c r="AJ1118" s="7" t="str">
        <f t="shared" si="156"/>
        <v/>
      </c>
      <c r="AK1118" s="7" t="str">
        <f t="shared" si="157"/>
        <v/>
      </c>
      <c r="AL1118" s="7" t="str">
        <f t="shared" si="158"/>
        <v/>
      </c>
      <c r="AM1118" s="7" t="str">
        <f t="shared" si="159"/>
        <v/>
      </c>
      <c r="AN1118" s="8" t="str">
        <f>IF(C1118="","",COUNTIF($C$2:C1118,C1118))</f>
        <v/>
      </c>
      <c r="AO1118" s="8" t="str">
        <f t="shared" si="160"/>
        <v/>
      </c>
      <c r="AP1118" s="8" t="str">
        <f>IF(C1118="","",IF(AND(OR([1]Consulta!$C$29="",A1118=[1]Consulta!$C$29),OR([1]Consulta!$E$29="",B1118=[1]Consulta!$E$29),OR([1]Consulta!$G$29="",D1118=[1]Consulta!$G$29,R1118=[1]Consulta!$G$29)),ROW()-1,""))</f>
        <v/>
      </c>
    </row>
    <row r="1119" spans="1:42" ht="15" customHeight="1" x14ac:dyDescent="0.25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 t="str">
        <f t="shared" si="153"/>
        <v/>
      </c>
      <c r="AG1119" s="7" t="str">
        <f t="shared" si="161"/>
        <v/>
      </c>
      <c r="AH1119" s="7" t="str">
        <f t="shared" si="154"/>
        <v/>
      </c>
      <c r="AI1119" s="7" t="str">
        <f t="shared" si="155"/>
        <v/>
      </c>
      <c r="AJ1119" s="7" t="str">
        <f t="shared" si="156"/>
        <v/>
      </c>
      <c r="AK1119" s="7" t="str">
        <f t="shared" si="157"/>
        <v/>
      </c>
      <c r="AL1119" s="7" t="str">
        <f t="shared" si="158"/>
        <v/>
      </c>
      <c r="AM1119" s="7" t="str">
        <f t="shared" si="159"/>
        <v/>
      </c>
      <c r="AN1119" s="8" t="str">
        <f>IF(C1119="","",COUNTIF($C$2:C1119,C1119))</f>
        <v/>
      </c>
      <c r="AO1119" s="8" t="str">
        <f t="shared" si="160"/>
        <v/>
      </c>
      <c r="AP1119" s="8" t="str">
        <f>IF(C1119="","",IF(AND(OR([1]Consulta!$C$29="",A1119=[1]Consulta!$C$29),OR([1]Consulta!$E$29="",B1119=[1]Consulta!$E$29),OR([1]Consulta!$G$29="",D1119=[1]Consulta!$G$29,R1119=[1]Consulta!$G$29)),ROW()-1,""))</f>
        <v/>
      </c>
    </row>
    <row r="1120" spans="1:42" ht="15" customHeight="1" x14ac:dyDescent="0.25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 t="str">
        <f t="shared" si="153"/>
        <v/>
      </c>
      <c r="AG1120" s="7" t="str">
        <f t="shared" si="161"/>
        <v/>
      </c>
      <c r="AH1120" s="7" t="str">
        <f t="shared" si="154"/>
        <v/>
      </c>
      <c r="AI1120" s="7" t="str">
        <f t="shared" si="155"/>
        <v/>
      </c>
      <c r="AJ1120" s="7" t="str">
        <f t="shared" si="156"/>
        <v/>
      </c>
      <c r="AK1120" s="7" t="str">
        <f t="shared" si="157"/>
        <v/>
      </c>
      <c r="AL1120" s="7" t="str">
        <f t="shared" si="158"/>
        <v/>
      </c>
      <c r="AM1120" s="7" t="str">
        <f t="shared" si="159"/>
        <v/>
      </c>
      <c r="AN1120" s="8" t="str">
        <f>IF(C1120="","",COUNTIF($C$2:C1120,C1120))</f>
        <v/>
      </c>
      <c r="AO1120" s="8" t="str">
        <f t="shared" si="160"/>
        <v/>
      </c>
      <c r="AP1120" s="8" t="str">
        <f>IF(C1120="","",IF(AND(OR([1]Consulta!$C$29="",A1120=[1]Consulta!$C$29),OR([1]Consulta!$E$29="",B1120=[1]Consulta!$E$29),OR([1]Consulta!$G$29="",D1120=[1]Consulta!$G$29,R1120=[1]Consulta!$G$29)),ROW()-1,""))</f>
        <v/>
      </c>
    </row>
    <row r="1121" spans="1:42" ht="15" customHeight="1" x14ac:dyDescent="0.25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 t="str">
        <f t="shared" si="153"/>
        <v/>
      </c>
      <c r="AG1121" s="7" t="str">
        <f t="shared" si="161"/>
        <v/>
      </c>
      <c r="AH1121" s="7" t="str">
        <f t="shared" si="154"/>
        <v/>
      </c>
      <c r="AI1121" s="7" t="str">
        <f t="shared" si="155"/>
        <v/>
      </c>
      <c r="AJ1121" s="7" t="str">
        <f t="shared" si="156"/>
        <v/>
      </c>
      <c r="AK1121" s="7" t="str">
        <f t="shared" si="157"/>
        <v/>
      </c>
      <c r="AL1121" s="7" t="str">
        <f t="shared" si="158"/>
        <v/>
      </c>
      <c r="AM1121" s="7" t="str">
        <f t="shared" si="159"/>
        <v/>
      </c>
      <c r="AN1121" s="8" t="str">
        <f>IF(C1121="","",COUNTIF($C$2:C1121,C1121))</f>
        <v/>
      </c>
      <c r="AO1121" s="8" t="str">
        <f t="shared" si="160"/>
        <v/>
      </c>
      <c r="AP1121" s="8" t="str">
        <f>IF(C1121="","",IF(AND(OR([1]Consulta!$C$29="",A1121=[1]Consulta!$C$29),OR([1]Consulta!$E$29="",B1121=[1]Consulta!$E$29),OR([1]Consulta!$G$29="",D1121=[1]Consulta!$G$29,R1121=[1]Consulta!$G$29)),ROW()-1,""))</f>
        <v/>
      </c>
    </row>
    <row r="1122" spans="1:42" ht="15" customHeight="1" x14ac:dyDescent="0.25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 t="str">
        <f t="shared" si="153"/>
        <v/>
      </c>
      <c r="AG1122" s="7" t="str">
        <f t="shared" si="161"/>
        <v/>
      </c>
      <c r="AH1122" s="7" t="str">
        <f t="shared" si="154"/>
        <v/>
      </c>
      <c r="AI1122" s="7" t="str">
        <f t="shared" si="155"/>
        <v/>
      </c>
      <c r="AJ1122" s="7" t="str">
        <f t="shared" si="156"/>
        <v/>
      </c>
      <c r="AK1122" s="7" t="str">
        <f t="shared" si="157"/>
        <v/>
      </c>
      <c r="AL1122" s="7" t="str">
        <f t="shared" si="158"/>
        <v/>
      </c>
      <c r="AM1122" s="7" t="str">
        <f t="shared" si="159"/>
        <v/>
      </c>
      <c r="AN1122" s="8" t="str">
        <f>IF(C1122="","",COUNTIF($C$2:C1122,C1122))</f>
        <v/>
      </c>
      <c r="AO1122" s="8" t="str">
        <f t="shared" si="160"/>
        <v/>
      </c>
      <c r="AP1122" s="8" t="str">
        <f>IF(C1122="","",IF(AND(OR([1]Consulta!$C$29="",A1122=[1]Consulta!$C$29),OR([1]Consulta!$E$29="",B1122=[1]Consulta!$E$29),OR([1]Consulta!$G$29="",D1122=[1]Consulta!$G$29,R1122=[1]Consulta!$G$29)),ROW()-1,""))</f>
        <v/>
      </c>
    </row>
    <row r="1123" spans="1:42" ht="15" customHeight="1" x14ac:dyDescent="0.25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 t="str">
        <f t="shared" si="153"/>
        <v/>
      </c>
      <c r="AG1123" s="7" t="str">
        <f t="shared" si="161"/>
        <v/>
      </c>
      <c r="AH1123" s="7" t="str">
        <f t="shared" si="154"/>
        <v/>
      </c>
      <c r="AI1123" s="7" t="str">
        <f t="shared" si="155"/>
        <v/>
      </c>
      <c r="AJ1123" s="7" t="str">
        <f t="shared" si="156"/>
        <v/>
      </c>
      <c r="AK1123" s="7" t="str">
        <f t="shared" si="157"/>
        <v/>
      </c>
      <c r="AL1123" s="7" t="str">
        <f t="shared" si="158"/>
        <v/>
      </c>
      <c r="AM1123" s="7" t="str">
        <f t="shared" si="159"/>
        <v/>
      </c>
      <c r="AN1123" s="8" t="str">
        <f>IF(C1123="","",COUNTIF($C$2:C1123,C1123))</f>
        <v/>
      </c>
      <c r="AO1123" s="8" t="str">
        <f t="shared" si="160"/>
        <v/>
      </c>
      <c r="AP1123" s="8" t="str">
        <f>IF(C1123="","",IF(AND(OR([1]Consulta!$C$29="",A1123=[1]Consulta!$C$29),OR([1]Consulta!$E$29="",B1123=[1]Consulta!$E$29),OR([1]Consulta!$G$29="",D1123=[1]Consulta!$G$29,R1123=[1]Consulta!$G$29)),ROW()-1,""))</f>
        <v/>
      </c>
    </row>
    <row r="1124" spans="1:42" ht="15" customHeight="1" x14ac:dyDescent="0.25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 t="str">
        <f t="shared" si="153"/>
        <v/>
      </c>
      <c r="AG1124" s="7" t="str">
        <f t="shared" si="161"/>
        <v/>
      </c>
      <c r="AH1124" s="7" t="str">
        <f t="shared" si="154"/>
        <v/>
      </c>
      <c r="AI1124" s="7" t="str">
        <f t="shared" si="155"/>
        <v/>
      </c>
      <c r="AJ1124" s="7" t="str">
        <f t="shared" si="156"/>
        <v/>
      </c>
      <c r="AK1124" s="7" t="str">
        <f t="shared" si="157"/>
        <v/>
      </c>
      <c r="AL1124" s="7" t="str">
        <f t="shared" si="158"/>
        <v/>
      </c>
      <c r="AM1124" s="7" t="str">
        <f t="shared" si="159"/>
        <v/>
      </c>
      <c r="AN1124" s="8" t="str">
        <f>IF(C1124="","",COUNTIF($C$2:C1124,C1124))</f>
        <v/>
      </c>
      <c r="AO1124" s="8" t="str">
        <f t="shared" si="160"/>
        <v/>
      </c>
      <c r="AP1124" s="8" t="str">
        <f>IF(C1124="","",IF(AND(OR([1]Consulta!$C$29="",A1124=[1]Consulta!$C$29),OR([1]Consulta!$E$29="",B1124=[1]Consulta!$E$29),OR([1]Consulta!$G$29="",D1124=[1]Consulta!$G$29,R1124=[1]Consulta!$G$29)),ROW()-1,""))</f>
        <v/>
      </c>
    </row>
    <row r="1125" spans="1:42" ht="15" customHeight="1" x14ac:dyDescent="0.25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 t="str">
        <f t="shared" si="153"/>
        <v/>
      </c>
      <c r="AG1125" s="7" t="str">
        <f t="shared" si="161"/>
        <v/>
      </c>
      <c r="AH1125" s="7" t="str">
        <f t="shared" si="154"/>
        <v/>
      </c>
      <c r="AI1125" s="7" t="str">
        <f t="shared" si="155"/>
        <v/>
      </c>
      <c r="AJ1125" s="7" t="str">
        <f t="shared" si="156"/>
        <v/>
      </c>
      <c r="AK1125" s="7" t="str">
        <f t="shared" si="157"/>
        <v/>
      </c>
      <c r="AL1125" s="7" t="str">
        <f t="shared" si="158"/>
        <v/>
      </c>
      <c r="AM1125" s="7" t="str">
        <f t="shared" si="159"/>
        <v/>
      </c>
      <c r="AN1125" s="8" t="str">
        <f>IF(C1125="","",COUNTIF($C$2:C1125,C1125))</f>
        <v/>
      </c>
      <c r="AO1125" s="8" t="str">
        <f t="shared" si="160"/>
        <v/>
      </c>
      <c r="AP1125" s="8" t="str">
        <f>IF(C1125="","",IF(AND(OR([1]Consulta!$C$29="",A1125=[1]Consulta!$C$29),OR([1]Consulta!$E$29="",B1125=[1]Consulta!$E$29),OR([1]Consulta!$G$29="",D1125=[1]Consulta!$G$29,R1125=[1]Consulta!$G$29)),ROW()-1,""))</f>
        <v/>
      </c>
    </row>
    <row r="1126" spans="1:42" ht="15" customHeight="1" x14ac:dyDescent="0.25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 t="str">
        <f t="shared" si="153"/>
        <v/>
      </c>
      <c r="AG1126" s="7" t="str">
        <f t="shared" si="161"/>
        <v/>
      </c>
      <c r="AH1126" s="7" t="str">
        <f t="shared" si="154"/>
        <v/>
      </c>
      <c r="AI1126" s="7" t="str">
        <f t="shared" si="155"/>
        <v/>
      </c>
      <c r="AJ1126" s="7" t="str">
        <f t="shared" si="156"/>
        <v/>
      </c>
      <c r="AK1126" s="7" t="str">
        <f t="shared" si="157"/>
        <v/>
      </c>
      <c r="AL1126" s="7" t="str">
        <f t="shared" si="158"/>
        <v/>
      </c>
      <c r="AM1126" s="7" t="str">
        <f t="shared" si="159"/>
        <v/>
      </c>
      <c r="AN1126" s="8" t="str">
        <f>IF(C1126="","",COUNTIF($C$2:C1126,C1126))</f>
        <v/>
      </c>
      <c r="AO1126" s="8" t="str">
        <f t="shared" si="160"/>
        <v/>
      </c>
      <c r="AP1126" s="8" t="str">
        <f>IF(C1126="","",IF(AND(OR([1]Consulta!$C$29="",A1126=[1]Consulta!$C$29),OR([1]Consulta!$E$29="",B1126=[1]Consulta!$E$29),OR([1]Consulta!$G$29="",D1126=[1]Consulta!$G$29,R1126=[1]Consulta!$G$29)),ROW()-1,""))</f>
        <v/>
      </c>
    </row>
    <row r="1127" spans="1:42" ht="15" customHeight="1" x14ac:dyDescent="0.25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 t="str">
        <f t="shared" si="153"/>
        <v/>
      </c>
      <c r="AG1127" s="7" t="str">
        <f t="shared" si="161"/>
        <v/>
      </c>
      <c r="AH1127" s="7" t="str">
        <f t="shared" si="154"/>
        <v/>
      </c>
      <c r="AI1127" s="7" t="str">
        <f t="shared" si="155"/>
        <v/>
      </c>
      <c r="AJ1127" s="7" t="str">
        <f t="shared" si="156"/>
        <v/>
      </c>
      <c r="AK1127" s="7" t="str">
        <f t="shared" si="157"/>
        <v/>
      </c>
      <c r="AL1127" s="7" t="str">
        <f t="shared" si="158"/>
        <v/>
      </c>
      <c r="AM1127" s="7" t="str">
        <f t="shared" si="159"/>
        <v/>
      </c>
      <c r="AN1127" s="8" t="str">
        <f>IF(C1127="","",COUNTIF($C$2:C1127,C1127))</f>
        <v/>
      </c>
      <c r="AO1127" s="8" t="str">
        <f t="shared" si="160"/>
        <v/>
      </c>
      <c r="AP1127" s="8" t="str">
        <f>IF(C1127="","",IF(AND(OR([1]Consulta!$C$29="",A1127=[1]Consulta!$C$29),OR([1]Consulta!$E$29="",B1127=[1]Consulta!$E$29),OR([1]Consulta!$G$29="",D1127=[1]Consulta!$G$29,R1127=[1]Consulta!$G$29)),ROW()-1,""))</f>
        <v/>
      </c>
    </row>
    <row r="1128" spans="1:42" ht="15" customHeight="1" x14ac:dyDescent="0.25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 t="str">
        <f t="shared" si="153"/>
        <v/>
      </c>
      <c r="AG1128" s="7" t="str">
        <f t="shared" si="161"/>
        <v/>
      </c>
      <c r="AH1128" s="7" t="str">
        <f t="shared" si="154"/>
        <v/>
      </c>
      <c r="AI1128" s="7" t="str">
        <f t="shared" si="155"/>
        <v/>
      </c>
      <c r="AJ1128" s="7" t="str">
        <f t="shared" si="156"/>
        <v/>
      </c>
      <c r="AK1128" s="7" t="str">
        <f t="shared" si="157"/>
        <v/>
      </c>
      <c r="AL1128" s="7" t="str">
        <f t="shared" si="158"/>
        <v/>
      </c>
      <c r="AM1128" s="7" t="str">
        <f t="shared" si="159"/>
        <v/>
      </c>
      <c r="AN1128" s="8" t="str">
        <f>IF(C1128="","",COUNTIF($C$2:C1128,C1128))</f>
        <v/>
      </c>
      <c r="AO1128" s="8" t="str">
        <f t="shared" si="160"/>
        <v/>
      </c>
      <c r="AP1128" s="8" t="str">
        <f>IF(C1128="","",IF(AND(OR([1]Consulta!$C$29="",A1128=[1]Consulta!$C$29),OR([1]Consulta!$E$29="",B1128=[1]Consulta!$E$29),OR([1]Consulta!$G$29="",D1128=[1]Consulta!$G$29,R1128=[1]Consulta!$G$29)),ROW()-1,""))</f>
        <v/>
      </c>
    </row>
    <row r="1129" spans="1:42" ht="15" customHeight="1" x14ac:dyDescent="0.25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 t="str">
        <f t="shared" si="153"/>
        <v/>
      </c>
      <c r="AG1129" s="7" t="str">
        <f t="shared" si="161"/>
        <v/>
      </c>
      <c r="AH1129" s="7" t="str">
        <f t="shared" si="154"/>
        <v/>
      </c>
      <c r="AI1129" s="7" t="str">
        <f t="shared" si="155"/>
        <v/>
      </c>
      <c r="AJ1129" s="7" t="str">
        <f t="shared" si="156"/>
        <v/>
      </c>
      <c r="AK1129" s="7" t="str">
        <f t="shared" si="157"/>
        <v/>
      </c>
      <c r="AL1129" s="7" t="str">
        <f t="shared" si="158"/>
        <v/>
      </c>
      <c r="AM1129" s="7" t="str">
        <f t="shared" si="159"/>
        <v/>
      </c>
      <c r="AN1129" s="8" t="str">
        <f>IF(C1129="","",COUNTIF($C$2:C1129,C1129))</f>
        <v/>
      </c>
      <c r="AO1129" s="8" t="str">
        <f t="shared" si="160"/>
        <v/>
      </c>
      <c r="AP1129" s="8" t="str">
        <f>IF(C1129="","",IF(AND(OR([1]Consulta!$C$29="",A1129=[1]Consulta!$C$29),OR([1]Consulta!$E$29="",B1129=[1]Consulta!$E$29),OR([1]Consulta!$G$29="",D1129=[1]Consulta!$G$29,R1129=[1]Consulta!$G$29)),ROW()-1,""))</f>
        <v/>
      </c>
    </row>
    <row r="1130" spans="1:42" ht="15" customHeight="1" x14ac:dyDescent="0.25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 t="str">
        <f t="shared" si="153"/>
        <v/>
      </c>
      <c r="AG1130" s="7" t="str">
        <f t="shared" si="161"/>
        <v/>
      </c>
      <c r="AH1130" s="7" t="str">
        <f t="shared" si="154"/>
        <v/>
      </c>
      <c r="AI1130" s="7" t="str">
        <f t="shared" si="155"/>
        <v/>
      </c>
      <c r="AJ1130" s="7" t="str">
        <f t="shared" si="156"/>
        <v/>
      </c>
      <c r="AK1130" s="7" t="str">
        <f t="shared" si="157"/>
        <v/>
      </c>
      <c r="AL1130" s="7" t="str">
        <f t="shared" si="158"/>
        <v/>
      </c>
      <c r="AM1130" s="7" t="str">
        <f t="shared" si="159"/>
        <v/>
      </c>
      <c r="AN1130" s="8" t="str">
        <f>IF(C1130="","",COUNTIF($C$2:C1130,C1130))</f>
        <v/>
      </c>
      <c r="AO1130" s="8" t="str">
        <f t="shared" si="160"/>
        <v/>
      </c>
      <c r="AP1130" s="8" t="str">
        <f>IF(C1130="","",IF(AND(OR([1]Consulta!$C$29="",A1130=[1]Consulta!$C$29),OR([1]Consulta!$E$29="",B1130=[1]Consulta!$E$29),OR([1]Consulta!$G$29="",D1130=[1]Consulta!$G$29,R1130=[1]Consulta!$G$29)),ROW()-1,""))</f>
        <v/>
      </c>
    </row>
    <row r="1131" spans="1:42" ht="15" customHeight="1" x14ac:dyDescent="0.25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 t="str">
        <f t="shared" si="153"/>
        <v/>
      </c>
      <c r="AG1131" s="7" t="str">
        <f t="shared" si="161"/>
        <v/>
      </c>
      <c r="AH1131" s="7" t="str">
        <f t="shared" si="154"/>
        <v/>
      </c>
      <c r="AI1131" s="7" t="str">
        <f t="shared" si="155"/>
        <v/>
      </c>
      <c r="AJ1131" s="7" t="str">
        <f t="shared" si="156"/>
        <v/>
      </c>
      <c r="AK1131" s="7" t="str">
        <f t="shared" si="157"/>
        <v/>
      </c>
      <c r="AL1131" s="7" t="str">
        <f t="shared" si="158"/>
        <v/>
      </c>
      <c r="AM1131" s="7" t="str">
        <f t="shared" si="159"/>
        <v/>
      </c>
      <c r="AN1131" s="8" t="str">
        <f>IF(C1131="","",COUNTIF($C$2:C1131,C1131))</f>
        <v/>
      </c>
      <c r="AO1131" s="8" t="str">
        <f t="shared" si="160"/>
        <v/>
      </c>
      <c r="AP1131" s="8" t="str">
        <f>IF(C1131="","",IF(AND(OR([1]Consulta!$C$29="",A1131=[1]Consulta!$C$29),OR([1]Consulta!$E$29="",B1131=[1]Consulta!$E$29),OR([1]Consulta!$G$29="",D1131=[1]Consulta!$G$29,R1131=[1]Consulta!$G$29)),ROW()-1,""))</f>
        <v/>
      </c>
    </row>
    <row r="1132" spans="1:42" ht="15" customHeight="1" x14ac:dyDescent="0.25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 t="str">
        <f t="shared" si="153"/>
        <v/>
      </c>
      <c r="AG1132" s="7" t="str">
        <f t="shared" si="161"/>
        <v/>
      </c>
      <c r="AH1132" s="7" t="str">
        <f t="shared" si="154"/>
        <v/>
      </c>
      <c r="AI1132" s="7" t="str">
        <f t="shared" si="155"/>
        <v/>
      </c>
      <c r="AJ1132" s="7" t="str">
        <f t="shared" si="156"/>
        <v/>
      </c>
      <c r="AK1132" s="7" t="str">
        <f t="shared" si="157"/>
        <v/>
      </c>
      <c r="AL1132" s="7" t="str">
        <f t="shared" si="158"/>
        <v/>
      </c>
      <c r="AM1132" s="7" t="str">
        <f t="shared" si="159"/>
        <v/>
      </c>
      <c r="AN1132" s="8" t="str">
        <f>IF(C1132="","",COUNTIF($C$2:C1132,C1132))</f>
        <v/>
      </c>
      <c r="AO1132" s="8" t="str">
        <f t="shared" si="160"/>
        <v/>
      </c>
      <c r="AP1132" s="8" t="str">
        <f>IF(C1132="","",IF(AND(OR([1]Consulta!$C$29="",A1132=[1]Consulta!$C$29),OR([1]Consulta!$E$29="",B1132=[1]Consulta!$E$29),OR([1]Consulta!$G$29="",D1132=[1]Consulta!$G$29,R1132=[1]Consulta!$G$29)),ROW()-1,""))</f>
        <v/>
      </c>
    </row>
    <row r="1133" spans="1:42" ht="15" customHeight="1" x14ac:dyDescent="0.25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 t="str">
        <f t="shared" si="153"/>
        <v/>
      </c>
      <c r="AG1133" s="7" t="str">
        <f t="shared" si="161"/>
        <v/>
      </c>
      <c r="AH1133" s="7" t="str">
        <f t="shared" si="154"/>
        <v/>
      </c>
      <c r="AI1133" s="7" t="str">
        <f t="shared" si="155"/>
        <v/>
      </c>
      <c r="AJ1133" s="7" t="str">
        <f t="shared" si="156"/>
        <v/>
      </c>
      <c r="AK1133" s="7" t="str">
        <f t="shared" si="157"/>
        <v/>
      </c>
      <c r="AL1133" s="7" t="str">
        <f t="shared" si="158"/>
        <v/>
      </c>
      <c r="AM1133" s="7" t="str">
        <f t="shared" si="159"/>
        <v/>
      </c>
      <c r="AN1133" s="8" t="str">
        <f>IF(C1133="","",COUNTIF($C$2:C1133,C1133))</f>
        <v/>
      </c>
      <c r="AO1133" s="8" t="str">
        <f t="shared" si="160"/>
        <v/>
      </c>
      <c r="AP1133" s="8" t="str">
        <f>IF(C1133="","",IF(AND(OR([1]Consulta!$C$29="",A1133=[1]Consulta!$C$29),OR([1]Consulta!$E$29="",B1133=[1]Consulta!$E$29),OR([1]Consulta!$G$29="",D1133=[1]Consulta!$G$29,R1133=[1]Consulta!$G$29)),ROW()-1,""))</f>
        <v/>
      </c>
    </row>
    <row r="1134" spans="1:42" ht="15" customHeight="1" x14ac:dyDescent="0.25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 t="str">
        <f t="shared" si="153"/>
        <v/>
      </c>
      <c r="AG1134" s="7" t="str">
        <f t="shared" si="161"/>
        <v/>
      </c>
      <c r="AH1134" s="7" t="str">
        <f t="shared" si="154"/>
        <v/>
      </c>
      <c r="AI1134" s="7" t="str">
        <f t="shared" si="155"/>
        <v/>
      </c>
      <c r="AJ1134" s="7" t="str">
        <f t="shared" si="156"/>
        <v/>
      </c>
      <c r="AK1134" s="7" t="str">
        <f t="shared" si="157"/>
        <v/>
      </c>
      <c r="AL1134" s="7" t="str">
        <f t="shared" si="158"/>
        <v/>
      </c>
      <c r="AM1134" s="7" t="str">
        <f t="shared" si="159"/>
        <v/>
      </c>
      <c r="AN1134" s="8" t="str">
        <f>IF(C1134="","",COUNTIF($C$2:C1134,C1134))</f>
        <v/>
      </c>
      <c r="AO1134" s="8" t="str">
        <f t="shared" si="160"/>
        <v/>
      </c>
      <c r="AP1134" s="8" t="str">
        <f>IF(C1134="","",IF(AND(OR([1]Consulta!$C$29="",A1134=[1]Consulta!$C$29),OR([1]Consulta!$E$29="",B1134=[1]Consulta!$E$29),OR([1]Consulta!$G$29="",D1134=[1]Consulta!$G$29,R1134=[1]Consulta!$G$29)),ROW()-1,""))</f>
        <v/>
      </c>
    </row>
    <row r="1135" spans="1:42" ht="15" customHeight="1" x14ac:dyDescent="0.25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 t="str">
        <f t="shared" si="153"/>
        <v/>
      </c>
      <c r="AG1135" s="7" t="str">
        <f t="shared" si="161"/>
        <v/>
      </c>
      <c r="AH1135" s="7" t="str">
        <f t="shared" si="154"/>
        <v/>
      </c>
      <c r="AI1135" s="7" t="str">
        <f t="shared" si="155"/>
        <v/>
      </c>
      <c r="AJ1135" s="7" t="str">
        <f t="shared" si="156"/>
        <v/>
      </c>
      <c r="AK1135" s="7" t="str">
        <f t="shared" si="157"/>
        <v/>
      </c>
      <c r="AL1135" s="7" t="str">
        <f t="shared" si="158"/>
        <v/>
      </c>
      <c r="AM1135" s="7" t="str">
        <f t="shared" si="159"/>
        <v/>
      </c>
      <c r="AN1135" s="8" t="str">
        <f>IF(C1135="","",COUNTIF($C$2:C1135,C1135))</f>
        <v/>
      </c>
      <c r="AO1135" s="8" t="str">
        <f t="shared" si="160"/>
        <v/>
      </c>
      <c r="AP1135" s="8" t="str">
        <f>IF(C1135="","",IF(AND(OR([1]Consulta!$C$29="",A1135=[1]Consulta!$C$29),OR([1]Consulta!$E$29="",B1135=[1]Consulta!$E$29),OR([1]Consulta!$G$29="",D1135=[1]Consulta!$G$29,R1135=[1]Consulta!$G$29)),ROW()-1,""))</f>
        <v/>
      </c>
    </row>
    <row r="1136" spans="1:42" ht="15" customHeight="1" x14ac:dyDescent="0.25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 t="str">
        <f t="shared" si="153"/>
        <v/>
      </c>
      <c r="AG1136" s="7" t="str">
        <f t="shared" si="161"/>
        <v/>
      </c>
      <c r="AH1136" s="7" t="str">
        <f t="shared" si="154"/>
        <v/>
      </c>
      <c r="AI1136" s="7" t="str">
        <f t="shared" si="155"/>
        <v/>
      </c>
      <c r="AJ1136" s="7" t="str">
        <f t="shared" si="156"/>
        <v/>
      </c>
      <c r="AK1136" s="7" t="str">
        <f t="shared" si="157"/>
        <v/>
      </c>
      <c r="AL1136" s="7" t="str">
        <f t="shared" si="158"/>
        <v/>
      </c>
      <c r="AM1136" s="7" t="str">
        <f t="shared" si="159"/>
        <v/>
      </c>
      <c r="AN1136" s="8" t="str">
        <f>IF(C1136="","",COUNTIF($C$2:C1136,C1136))</f>
        <v/>
      </c>
      <c r="AO1136" s="8" t="str">
        <f t="shared" si="160"/>
        <v/>
      </c>
      <c r="AP1136" s="8" t="str">
        <f>IF(C1136="","",IF(AND(OR([1]Consulta!$C$29="",A1136=[1]Consulta!$C$29),OR([1]Consulta!$E$29="",B1136=[1]Consulta!$E$29),OR([1]Consulta!$G$29="",D1136=[1]Consulta!$G$29,R1136=[1]Consulta!$G$29)),ROW()-1,""))</f>
        <v/>
      </c>
    </row>
    <row r="1137" spans="1:42" ht="15" customHeight="1" x14ac:dyDescent="0.25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 t="str">
        <f t="shared" si="153"/>
        <v/>
      </c>
      <c r="AG1137" s="7" t="str">
        <f t="shared" si="161"/>
        <v/>
      </c>
      <c r="AH1137" s="7" t="str">
        <f t="shared" si="154"/>
        <v/>
      </c>
      <c r="AI1137" s="7" t="str">
        <f t="shared" si="155"/>
        <v/>
      </c>
      <c r="AJ1137" s="7" t="str">
        <f t="shared" si="156"/>
        <v/>
      </c>
      <c r="AK1137" s="7" t="str">
        <f t="shared" si="157"/>
        <v/>
      </c>
      <c r="AL1137" s="7" t="str">
        <f t="shared" si="158"/>
        <v/>
      </c>
      <c r="AM1137" s="7" t="str">
        <f t="shared" si="159"/>
        <v/>
      </c>
      <c r="AN1137" s="8" t="str">
        <f>IF(C1137="","",COUNTIF($C$2:C1137,C1137))</f>
        <v/>
      </c>
      <c r="AO1137" s="8" t="str">
        <f t="shared" si="160"/>
        <v/>
      </c>
      <c r="AP1137" s="8" t="str">
        <f>IF(C1137="","",IF(AND(OR([1]Consulta!$C$29="",A1137=[1]Consulta!$C$29),OR([1]Consulta!$E$29="",B1137=[1]Consulta!$E$29),OR([1]Consulta!$G$29="",D1137=[1]Consulta!$G$29,R1137=[1]Consulta!$G$29)),ROW()-1,""))</f>
        <v/>
      </c>
    </row>
    <row r="1138" spans="1:42" ht="15" customHeight="1" x14ac:dyDescent="0.25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 t="str">
        <f t="shared" si="153"/>
        <v/>
      </c>
      <c r="AG1138" s="7" t="str">
        <f t="shared" si="161"/>
        <v/>
      </c>
      <c r="AH1138" s="7" t="str">
        <f t="shared" si="154"/>
        <v/>
      </c>
      <c r="AI1138" s="7" t="str">
        <f t="shared" si="155"/>
        <v/>
      </c>
      <c r="AJ1138" s="7" t="str">
        <f t="shared" si="156"/>
        <v/>
      </c>
      <c r="AK1138" s="7" t="str">
        <f t="shared" si="157"/>
        <v/>
      </c>
      <c r="AL1138" s="7" t="str">
        <f t="shared" si="158"/>
        <v/>
      </c>
      <c r="AM1138" s="7" t="str">
        <f t="shared" si="159"/>
        <v/>
      </c>
      <c r="AN1138" s="8" t="str">
        <f>IF(C1138="","",COUNTIF($C$2:C1138,C1138))</f>
        <v/>
      </c>
      <c r="AO1138" s="8" t="str">
        <f t="shared" si="160"/>
        <v/>
      </c>
      <c r="AP1138" s="8" t="str">
        <f>IF(C1138="","",IF(AND(OR([1]Consulta!$C$29="",A1138=[1]Consulta!$C$29),OR([1]Consulta!$E$29="",B1138=[1]Consulta!$E$29),OR([1]Consulta!$G$29="",D1138=[1]Consulta!$G$29,R1138=[1]Consulta!$G$29)),ROW()-1,""))</f>
        <v/>
      </c>
    </row>
    <row r="1139" spans="1:42" ht="15" customHeight="1" x14ac:dyDescent="0.25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 t="str">
        <f t="shared" si="153"/>
        <v/>
      </c>
      <c r="AG1139" s="7" t="str">
        <f t="shared" si="161"/>
        <v/>
      </c>
      <c r="AH1139" s="7" t="str">
        <f t="shared" si="154"/>
        <v/>
      </c>
      <c r="AI1139" s="7" t="str">
        <f t="shared" si="155"/>
        <v/>
      </c>
      <c r="AJ1139" s="7" t="str">
        <f t="shared" si="156"/>
        <v/>
      </c>
      <c r="AK1139" s="7" t="str">
        <f t="shared" si="157"/>
        <v/>
      </c>
      <c r="AL1139" s="7" t="str">
        <f t="shared" si="158"/>
        <v/>
      </c>
      <c r="AM1139" s="7" t="str">
        <f t="shared" si="159"/>
        <v/>
      </c>
      <c r="AN1139" s="8" t="str">
        <f>IF(C1139="","",COUNTIF($C$2:C1139,C1139))</f>
        <v/>
      </c>
      <c r="AO1139" s="8" t="str">
        <f t="shared" si="160"/>
        <v/>
      </c>
      <c r="AP1139" s="8" t="str">
        <f>IF(C1139="","",IF(AND(OR([1]Consulta!$C$29="",A1139=[1]Consulta!$C$29),OR([1]Consulta!$E$29="",B1139=[1]Consulta!$E$29),OR([1]Consulta!$G$29="",D1139=[1]Consulta!$G$29,R1139=[1]Consulta!$G$29)),ROW()-1,""))</f>
        <v/>
      </c>
    </row>
    <row r="1140" spans="1:42" ht="15" customHeight="1" x14ac:dyDescent="0.25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 t="str">
        <f t="shared" si="153"/>
        <v/>
      </c>
      <c r="AG1140" s="7" t="str">
        <f t="shared" si="161"/>
        <v/>
      </c>
      <c r="AH1140" s="7" t="str">
        <f t="shared" si="154"/>
        <v/>
      </c>
      <c r="AI1140" s="7" t="str">
        <f t="shared" si="155"/>
        <v/>
      </c>
      <c r="AJ1140" s="7" t="str">
        <f t="shared" si="156"/>
        <v/>
      </c>
      <c r="AK1140" s="7" t="str">
        <f t="shared" si="157"/>
        <v/>
      </c>
      <c r="AL1140" s="7" t="str">
        <f t="shared" si="158"/>
        <v/>
      </c>
      <c r="AM1140" s="7" t="str">
        <f t="shared" si="159"/>
        <v/>
      </c>
      <c r="AN1140" s="8" t="str">
        <f>IF(C1140="","",COUNTIF($C$2:C1140,C1140))</f>
        <v/>
      </c>
      <c r="AO1140" s="8" t="str">
        <f t="shared" si="160"/>
        <v/>
      </c>
      <c r="AP1140" s="8" t="str">
        <f>IF(C1140="","",IF(AND(OR([1]Consulta!$C$29="",A1140=[1]Consulta!$C$29),OR([1]Consulta!$E$29="",B1140=[1]Consulta!$E$29),OR([1]Consulta!$G$29="",D1140=[1]Consulta!$G$29,R1140=[1]Consulta!$G$29)),ROW()-1,""))</f>
        <v/>
      </c>
    </row>
    <row r="1141" spans="1:42" ht="15" customHeight="1" x14ac:dyDescent="0.25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 t="str">
        <f t="shared" si="153"/>
        <v/>
      </c>
      <c r="AG1141" s="7" t="str">
        <f t="shared" si="161"/>
        <v/>
      </c>
      <c r="AH1141" s="7" t="str">
        <f t="shared" si="154"/>
        <v/>
      </c>
      <c r="AI1141" s="7" t="str">
        <f t="shared" si="155"/>
        <v/>
      </c>
      <c r="AJ1141" s="7" t="str">
        <f t="shared" si="156"/>
        <v/>
      </c>
      <c r="AK1141" s="7" t="str">
        <f t="shared" si="157"/>
        <v/>
      </c>
      <c r="AL1141" s="7" t="str">
        <f t="shared" si="158"/>
        <v/>
      </c>
      <c r="AM1141" s="7" t="str">
        <f t="shared" si="159"/>
        <v/>
      </c>
      <c r="AN1141" s="8" t="str">
        <f>IF(C1141="","",COUNTIF($C$2:C1141,C1141))</f>
        <v/>
      </c>
      <c r="AO1141" s="8" t="str">
        <f t="shared" si="160"/>
        <v/>
      </c>
      <c r="AP1141" s="8" t="str">
        <f>IF(C1141="","",IF(AND(OR([1]Consulta!$C$29="",A1141=[1]Consulta!$C$29),OR([1]Consulta!$E$29="",B1141=[1]Consulta!$E$29),OR([1]Consulta!$G$29="",D1141=[1]Consulta!$G$29,R1141=[1]Consulta!$G$29)),ROW()-1,""))</f>
        <v/>
      </c>
    </row>
    <row r="1142" spans="1:42" ht="15" customHeight="1" x14ac:dyDescent="0.25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 t="str">
        <f t="shared" si="153"/>
        <v/>
      </c>
      <c r="AG1142" s="7" t="str">
        <f t="shared" si="161"/>
        <v/>
      </c>
      <c r="AH1142" s="7" t="str">
        <f t="shared" si="154"/>
        <v/>
      </c>
      <c r="AI1142" s="7" t="str">
        <f t="shared" si="155"/>
        <v/>
      </c>
      <c r="AJ1142" s="7" t="str">
        <f t="shared" si="156"/>
        <v/>
      </c>
      <c r="AK1142" s="7" t="str">
        <f t="shared" si="157"/>
        <v/>
      </c>
      <c r="AL1142" s="7" t="str">
        <f t="shared" si="158"/>
        <v/>
      </c>
      <c r="AM1142" s="7" t="str">
        <f t="shared" si="159"/>
        <v/>
      </c>
      <c r="AN1142" s="8" t="str">
        <f>IF(C1142="","",COUNTIF($C$2:C1142,C1142))</f>
        <v/>
      </c>
      <c r="AO1142" s="8" t="str">
        <f t="shared" si="160"/>
        <v/>
      </c>
      <c r="AP1142" s="8" t="str">
        <f>IF(C1142="","",IF(AND(OR([1]Consulta!$C$29="",A1142=[1]Consulta!$C$29),OR([1]Consulta!$E$29="",B1142=[1]Consulta!$E$29),OR([1]Consulta!$G$29="",D1142=[1]Consulta!$G$29,R1142=[1]Consulta!$G$29)),ROW()-1,""))</f>
        <v/>
      </c>
    </row>
    <row r="1143" spans="1:42" ht="15" customHeight="1" x14ac:dyDescent="0.25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 t="str">
        <f t="shared" si="153"/>
        <v/>
      </c>
      <c r="AG1143" s="7" t="str">
        <f t="shared" si="161"/>
        <v/>
      </c>
      <c r="AH1143" s="7" t="str">
        <f t="shared" si="154"/>
        <v/>
      </c>
      <c r="AI1143" s="7" t="str">
        <f t="shared" si="155"/>
        <v/>
      </c>
      <c r="AJ1143" s="7" t="str">
        <f t="shared" si="156"/>
        <v/>
      </c>
      <c r="AK1143" s="7" t="str">
        <f t="shared" si="157"/>
        <v/>
      </c>
      <c r="AL1143" s="7" t="str">
        <f t="shared" si="158"/>
        <v/>
      </c>
      <c r="AM1143" s="7" t="str">
        <f t="shared" si="159"/>
        <v/>
      </c>
      <c r="AN1143" s="8" t="str">
        <f>IF(C1143="","",COUNTIF($C$2:C1143,C1143))</f>
        <v/>
      </c>
      <c r="AO1143" s="8" t="str">
        <f t="shared" si="160"/>
        <v/>
      </c>
      <c r="AP1143" s="8" t="str">
        <f>IF(C1143="","",IF(AND(OR([1]Consulta!$C$29="",A1143=[1]Consulta!$C$29),OR([1]Consulta!$E$29="",B1143=[1]Consulta!$E$29),OR([1]Consulta!$G$29="",D1143=[1]Consulta!$G$29,R1143=[1]Consulta!$G$29)),ROW()-1,""))</f>
        <v/>
      </c>
    </row>
    <row r="1144" spans="1:42" ht="15" customHeight="1" x14ac:dyDescent="0.25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 t="str">
        <f t="shared" si="153"/>
        <v/>
      </c>
      <c r="AG1144" s="7" t="str">
        <f t="shared" si="161"/>
        <v/>
      </c>
      <c r="AH1144" s="7" t="str">
        <f t="shared" si="154"/>
        <v/>
      </c>
      <c r="AI1144" s="7" t="str">
        <f t="shared" si="155"/>
        <v/>
      </c>
      <c r="AJ1144" s="7" t="str">
        <f t="shared" si="156"/>
        <v/>
      </c>
      <c r="AK1144" s="7" t="str">
        <f t="shared" si="157"/>
        <v/>
      </c>
      <c r="AL1144" s="7" t="str">
        <f t="shared" si="158"/>
        <v/>
      </c>
      <c r="AM1144" s="7" t="str">
        <f t="shared" si="159"/>
        <v/>
      </c>
      <c r="AN1144" s="8" t="str">
        <f>IF(C1144="","",COUNTIF($C$2:C1144,C1144))</f>
        <v/>
      </c>
      <c r="AO1144" s="8" t="str">
        <f t="shared" si="160"/>
        <v/>
      </c>
      <c r="AP1144" s="8" t="str">
        <f>IF(C1144="","",IF(AND(OR([1]Consulta!$C$29="",A1144=[1]Consulta!$C$29),OR([1]Consulta!$E$29="",B1144=[1]Consulta!$E$29),OR([1]Consulta!$G$29="",D1144=[1]Consulta!$G$29,R1144=[1]Consulta!$G$29)),ROW()-1,""))</f>
        <v/>
      </c>
    </row>
    <row r="1145" spans="1:42" ht="15" customHeight="1" x14ac:dyDescent="0.25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 t="str">
        <f t="shared" si="153"/>
        <v/>
      </c>
      <c r="AG1145" s="7" t="str">
        <f t="shared" si="161"/>
        <v/>
      </c>
      <c r="AH1145" s="7" t="str">
        <f t="shared" si="154"/>
        <v/>
      </c>
      <c r="AI1145" s="7" t="str">
        <f t="shared" si="155"/>
        <v/>
      </c>
      <c r="AJ1145" s="7" t="str">
        <f t="shared" si="156"/>
        <v/>
      </c>
      <c r="AK1145" s="7" t="str">
        <f t="shared" si="157"/>
        <v/>
      </c>
      <c r="AL1145" s="7" t="str">
        <f t="shared" si="158"/>
        <v/>
      </c>
      <c r="AM1145" s="7" t="str">
        <f t="shared" si="159"/>
        <v/>
      </c>
      <c r="AN1145" s="8" t="str">
        <f>IF(C1145="","",COUNTIF($C$2:C1145,C1145))</f>
        <v/>
      </c>
      <c r="AO1145" s="8" t="str">
        <f t="shared" si="160"/>
        <v/>
      </c>
      <c r="AP1145" s="8" t="str">
        <f>IF(C1145="","",IF(AND(OR([1]Consulta!$C$29="",A1145=[1]Consulta!$C$29),OR([1]Consulta!$E$29="",B1145=[1]Consulta!$E$29),OR([1]Consulta!$G$29="",D1145=[1]Consulta!$G$29,R1145=[1]Consulta!$G$29)),ROW()-1,""))</f>
        <v/>
      </c>
    </row>
    <row r="1146" spans="1:42" ht="15" customHeight="1" x14ac:dyDescent="0.25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 t="str">
        <f t="shared" si="153"/>
        <v/>
      </c>
      <c r="AG1146" s="7" t="str">
        <f t="shared" si="161"/>
        <v/>
      </c>
      <c r="AH1146" s="7" t="str">
        <f t="shared" si="154"/>
        <v/>
      </c>
      <c r="AI1146" s="7" t="str">
        <f t="shared" si="155"/>
        <v/>
      </c>
      <c r="AJ1146" s="7" t="str">
        <f t="shared" si="156"/>
        <v/>
      </c>
      <c r="AK1146" s="7" t="str">
        <f t="shared" si="157"/>
        <v/>
      </c>
      <c r="AL1146" s="7" t="str">
        <f t="shared" si="158"/>
        <v/>
      </c>
      <c r="AM1146" s="7" t="str">
        <f t="shared" si="159"/>
        <v/>
      </c>
      <c r="AN1146" s="8" t="str">
        <f>IF(C1146="","",COUNTIF($C$2:C1146,C1146))</f>
        <v/>
      </c>
      <c r="AO1146" s="8" t="str">
        <f t="shared" si="160"/>
        <v/>
      </c>
      <c r="AP1146" s="8" t="str">
        <f>IF(C1146="","",IF(AND(OR([1]Consulta!$C$29="",A1146=[1]Consulta!$C$29),OR([1]Consulta!$E$29="",B1146=[1]Consulta!$E$29),OR([1]Consulta!$G$29="",D1146=[1]Consulta!$G$29,R1146=[1]Consulta!$G$29)),ROW()-1,""))</f>
        <v/>
      </c>
    </row>
    <row r="1147" spans="1:42" ht="15" customHeight="1" x14ac:dyDescent="0.25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 t="str">
        <f t="shared" si="153"/>
        <v/>
      </c>
      <c r="AG1147" s="7" t="str">
        <f t="shared" si="161"/>
        <v/>
      </c>
      <c r="AH1147" s="7" t="str">
        <f t="shared" si="154"/>
        <v/>
      </c>
      <c r="AI1147" s="7" t="str">
        <f t="shared" si="155"/>
        <v/>
      </c>
      <c r="AJ1147" s="7" t="str">
        <f t="shared" si="156"/>
        <v/>
      </c>
      <c r="AK1147" s="7" t="str">
        <f t="shared" si="157"/>
        <v/>
      </c>
      <c r="AL1147" s="7" t="str">
        <f t="shared" si="158"/>
        <v/>
      </c>
      <c r="AM1147" s="7" t="str">
        <f t="shared" si="159"/>
        <v/>
      </c>
      <c r="AN1147" s="8" t="str">
        <f>IF(C1147="","",COUNTIF($C$2:C1147,C1147))</f>
        <v/>
      </c>
      <c r="AO1147" s="8" t="str">
        <f t="shared" si="160"/>
        <v/>
      </c>
      <c r="AP1147" s="8" t="str">
        <f>IF(C1147="","",IF(AND(OR([1]Consulta!$C$29="",A1147=[1]Consulta!$C$29),OR([1]Consulta!$E$29="",B1147=[1]Consulta!$E$29),OR([1]Consulta!$G$29="",D1147=[1]Consulta!$G$29,R1147=[1]Consulta!$G$29)),ROW()-1,""))</f>
        <v/>
      </c>
    </row>
    <row r="1148" spans="1:42" ht="15" customHeight="1" x14ac:dyDescent="0.25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 t="str">
        <f t="shared" si="153"/>
        <v/>
      </c>
      <c r="AG1148" s="7" t="str">
        <f t="shared" si="161"/>
        <v/>
      </c>
      <c r="AH1148" s="7" t="str">
        <f t="shared" si="154"/>
        <v/>
      </c>
      <c r="AI1148" s="7" t="str">
        <f t="shared" si="155"/>
        <v/>
      </c>
      <c r="AJ1148" s="7" t="str">
        <f t="shared" si="156"/>
        <v/>
      </c>
      <c r="AK1148" s="7" t="str">
        <f t="shared" si="157"/>
        <v/>
      </c>
      <c r="AL1148" s="7" t="str">
        <f t="shared" si="158"/>
        <v/>
      </c>
      <c r="AM1148" s="7" t="str">
        <f t="shared" si="159"/>
        <v/>
      </c>
      <c r="AN1148" s="8" t="str">
        <f>IF(C1148="","",COUNTIF($C$2:C1148,C1148))</f>
        <v/>
      </c>
      <c r="AO1148" s="8" t="str">
        <f t="shared" si="160"/>
        <v/>
      </c>
      <c r="AP1148" s="8" t="str">
        <f>IF(C1148="","",IF(AND(OR([1]Consulta!$C$29="",A1148=[1]Consulta!$C$29),OR([1]Consulta!$E$29="",B1148=[1]Consulta!$E$29),OR([1]Consulta!$G$29="",D1148=[1]Consulta!$G$29,R1148=[1]Consulta!$G$29)),ROW()-1,""))</f>
        <v/>
      </c>
    </row>
    <row r="1149" spans="1:42" ht="15" customHeight="1" x14ac:dyDescent="0.25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 t="str">
        <f t="shared" si="153"/>
        <v/>
      </c>
      <c r="AG1149" s="7" t="str">
        <f t="shared" si="161"/>
        <v/>
      </c>
      <c r="AH1149" s="7" t="str">
        <f t="shared" si="154"/>
        <v/>
      </c>
      <c r="AI1149" s="7" t="str">
        <f t="shared" si="155"/>
        <v/>
      </c>
      <c r="AJ1149" s="7" t="str">
        <f t="shared" si="156"/>
        <v/>
      </c>
      <c r="AK1149" s="7" t="str">
        <f t="shared" si="157"/>
        <v/>
      </c>
      <c r="AL1149" s="7" t="str">
        <f t="shared" si="158"/>
        <v/>
      </c>
      <c r="AM1149" s="7" t="str">
        <f t="shared" si="159"/>
        <v/>
      </c>
      <c r="AN1149" s="8" t="str">
        <f>IF(C1149="","",COUNTIF($C$2:C1149,C1149))</f>
        <v/>
      </c>
      <c r="AO1149" s="8" t="str">
        <f t="shared" si="160"/>
        <v/>
      </c>
      <c r="AP1149" s="8" t="str">
        <f>IF(C1149="","",IF(AND(OR([1]Consulta!$C$29="",A1149=[1]Consulta!$C$29),OR([1]Consulta!$E$29="",B1149=[1]Consulta!$E$29),OR([1]Consulta!$G$29="",D1149=[1]Consulta!$G$29,R1149=[1]Consulta!$G$29)),ROW()-1,""))</f>
        <v/>
      </c>
    </row>
    <row r="1150" spans="1:42" ht="15" customHeight="1" x14ac:dyDescent="0.25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 t="str">
        <f t="shared" si="153"/>
        <v/>
      </c>
      <c r="AG1150" s="7" t="str">
        <f t="shared" si="161"/>
        <v/>
      </c>
      <c r="AH1150" s="7" t="str">
        <f t="shared" si="154"/>
        <v/>
      </c>
      <c r="AI1150" s="7" t="str">
        <f t="shared" si="155"/>
        <v/>
      </c>
      <c r="AJ1150" s="7" t="str">
        <f t="shared" si="156"/>
        <v/>
      </c>
      <c r="AK1150" s="7" t="str">
        <f t="shared" si="157"/>
        <v/>
      </c>
      <c r="AL1150" s="7" t="str">
        <f t="shared" si="158"/>
        <v/>
      </c>
      <c r="AM1150" s="7" t="str">
        <f t="shared" si="159"/>
        <v/>
      </c>
      <c r="AN1150" s="8" t="str">
        <f>IF(C1150="","",COUNTIF($C$2:C1150,C1150))</f>
        <v/>
      </c>
      <c r="AO1150" s="8" t="str">
        <f t="shared" si="160"/>
        <v/>
      </c>
      <c r="AP1150" s="8" t="str">
        <f>IF(C1150="","",IF(AND(OR([1]Consulta!$C$29="",A1150=[1]Consulta!$C$29),OR([1]Consulta!$E$29="",B1150=[1]Consulta!$E$29),OR([1]Consulta!$G$29="",D1150=[1]Consulta!$G$29,R1150=[1]Consulta!$G$29)),ROW()-1,""))</f>
        <v/>
      </c>
    </row>
    <row r="1151" spans="1:42" ht="15" customHeight="1" x14ac:dyDescent="0.25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 t="str">
        <f t="shared" si="153"/>
        <v/>
      </c>
      <c r="AG1151" s="7" t="str">
        <f t="shared" si="161"/>
        <v/>
      </c>
      <c r="AH1151" s="7" t="str">
        <f t="shared" si="154"/>
        <v/>
      </c>
      <c r="AI1151" s="7" t="str">
        <f t="shared" si="155"/>
        <v/>
      </c>
      <c r="AJ1151" s="7" t="str">
        <f t="shared" si="156"/>
        <v/>
      </c>
      <c r="AK1151" s="7" t="str">
        <f t="shared" si="157"/>
        <v/>
      </c>
      <c r="AL1151" s="7" t="str">
        <f t="shared" si="158"/>
        <v/>
      </c>
      <c r="AM1151" s="7" t="str">
        <f t="shared" si="159"/>
        <v/>
      </c>
      <c r="AN1151" s="8" t="str">
        <f>IF(C1151="","",COUNTIF($C$2:C1151,C1151))</f>
        <v/>
      </c>
      <c r="AO1151" s="8" t="str">
        <f t="shared" si="160"/>
        <v/>
      </c>
      <c r="AP1151" s="8" t="str">
        <f>IF(C1151="","",IF(AND(OR([1]Consulta!$C$29="",A1151=[1]Consulta!$C$29),OR([1]Consulta!$E$29="",B1151=[1]Consulta!$E$29),OR([1]Consulta!$G$29="",D1151=[1]Consulta!$G$29,R1151=[1]Consulta!$G$29)),ROW()-1,""))</f>
        <v/>
      </c>
    </row>
    <row r="1152" spans="1:42" ht="15" customHeight="1" x14ac:dyDescent="0.25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 t="str">
        <f t="shared" si="153"/>
        <v/>
      </c>
      <c r="AG1152" s="7" t="str">
        <f t="shared" si="161"/>
        <v/>
      </c>
      <c r="AH1152" s="7" t="str">
        <f t="shared" si="154"/>
        <v/>
      </c>
      <c r="AI1152" s="7" t="str">
        <f t="shared" si="155"/>
        <v/>
      </c>
      <c r="AJ1152" s="7" t="str">
        <f t="shared" si="156"/>
        <v/>
      </c>
      <c r="AK1152" s="7" t="str">
        <f t="shared" si="157"/>
        <v/>
      </c>
      <c r="AL1152" s="7" t="str">
        <f t="shared" si="158"/>
        <v/>
      </c>
      <c r="AM1152" s="7" t="str">
        <f t="shared" si="159"/>
        <v/>
      </c>
      <c r="AN1152" s="8" t="str">
        <f>IF(C1152="","",COUNTIF($C$2:C1152,C1152))</f>
        <v/>
      </c>
      <c r="AO1152" s="8" t="str">
        <f t="shared" si="160"/>
        <v/>
      </c>
      <c r="AP1152" s="8" t="str">
        <f>IF(C1152="","",IF(AND(OR([1]Consulta!$C$29="",A1152=[1]Consulta!$C$29),OR([1]Consulta!$E$29="",B1152=[1]Consulta!$E$29),OR([1]Consulta!$G$29="",D1152=[1]Consulta!$G$29,R1152=[1]Consulta!$G$29)),ROW()-1,""))</f>
        <v/>
      </c>
    </row>
    <row r="1153" spans="1:42" ht="15" customHeight="1" x14ac:dyDescent="0.25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 t="str">
        <f t="shared" si="153"/>
        <v/>
      </c>
      <c r="AG1153" s="7" t="str">
        <f t="shared" si="161"/>
        <v/>
      </c>
      <c r="AH1153" s="7" t="str">
        <f t="shared" si="154"/>
        <v/>
      </c>
      <c r="AI1153" s="7" t="str">
        <f t="shared" si="155"/>
        <v/>
      </c>
      <c r="AJ1153" s="7" t="str">
        <f t="shared" si="156"/>
        <v/>
      </c>
      <c r="AK1153" s="7" t="str">
        <f t="shared" si="157"/>
        <v/>
      </c>
      <c r="AL1153" s="7" t="str">
        <f t="shared" si="158"/>
        <v/>
      </c>
      <c r="AM1153" s="7" t="str">
        <f t="shared" si="159"/>
        <v/>
      </c>
      <c r="AN1153" s="8" t="str">
        <f>IF(C1153="","",COUNTIF($C$2:C1153,C1153))</f>
        <v/>
      </c>
      <c r="AO1153" s="8" t="str">
        <f t="shared" si="160"/>
        <v/>
      </c>
      <c r="AP1153" s="8" t="str">
        <f>IF(C1153="","",IF(AND(OR([1]Consulta!$C$29="",A1153=[1]Consulta!$C$29),OR([1]Consulta!$E$29="",B1153=[1]Consulta!$E$29),OR([1]Consulta!$G$29="",D1153=[1]Consulta!$G$29,R1153=[1]Consulta!$G$29)),ROW()-1,""))</f>
        <v/>
      </c>
    </row>
    <row r="1154" spans="1:42" ht="15" customHeight="1" x14ac:dyDescent="0.25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 t="str">
        <f t="shared" ref="AF1154:AF1217" si="162">IF(C1154="","",IF(AND(ISNUMBER(K1154),ISNUMBER(L1154)),K1154-L1154,""))</f>
        <v/>
      </c>
      <c r="AG1154" s="7" t="str">
        <f t="shared" si="161"/>
        <v/>
      </c>
      <c r="AH1154" s="7" t="str">
        <f t="shared" ref="AH1154:AH1217" si="163">IF(C1154="","",IF(AND(ISNUMBER(Y1154),ISNUMBER(Z1154)),Y1154-Z1154,""))</f>
        <v/>
      </c>
      <c r="AI1154" s="7" t="str">
        <f t="shared" ref="AI1154:AI1217" si="164">IF(C1154="","",IF(AH1154="","N/A",IF(AH1154&lt;0,"ALARMA","OK")))</f>
        <v/>
      </c>
      <c r="AJ1154" s="7" t="str">
        <f t="shared" ref="AJ1154:AJ1217" si="165">IF(C1154="","",IF(ISNUMBER(M1154),IF(M1154&gt;0,"CON ERRORES","OK"),"N/A"))</f>
        <v/>
      </c>
      <c r="AK1154" s="7" t="str">
        <f t="shared" ref="AK1154:AK1217" si="166">IF(C1154="","",IF(ISNUMBER(AA1154),IF(AA1154&gt;0,"CON ERRORES","OK"),"N/A"))</f>
        <v/>
      </c>
      <c r="AL1154" s="7" t="str">
        <f t="shared" ref="AL1154:AL1217" si="167">IF(C1154="","",IF(OR(AG1154="ALARMA",AI1154="ALARMA",AJ1154="CON ERRORES",AK1154="CON ERRORES"),"REVISAR","OK"))</f>
        <v/>
      </c>
      <c r="AM1154" s="7" t="str">
        <f t="shared" ref="AM1154:AM1217" si="168">IF(C1154="","",IF(ISNUMBER(Q1154),Q1154,IF(ISNUMBER(AE1154),AE1154,"Ver detalle")))</f>
        <v/>
      </c>
      <c r="AN1154" s="8" t="str">
        <f>IF(C1154="","",COUNTIF($C$2:C1154,C1154))</f>
        <v/>
      </c>
      <c r="AO1154" s="8" t="str">
        <f t="shared" ref="AO1154:AO1217" si="169">IF(C1154="","",C1154&amp;"|"&amp;AN1154)</f>
        <v/>
      </c>
      <c r="AP1154" s="8" t="str">
        <f>IF(C1154="","",IF(AND(OR([1]Consulta!$C$29="",A1154=[1]Consulta!$C$29),OR([1]Consulta!$E$29="",B1154=[1]Consulta!$E$29),OR([1]Consulta!$G$29="",D1154=[1]Consulta!$G$29,R1154=[1]Consulta!$G$29)),ROW()-1,""))</f>
        <v/>
      </c>
    </row>
    <row r="1155" spans="1:42" ht="15" customHeight="1" x14ac:dyDescent="0.25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 t="str">
        <f t="shared" si="162"/>
        <v/>
      </c>
      <c r="AG1155" s="7" t="str">
        <f t="shared" ref="AG1155:AG1218" si="170">IF(C1155="","",IF(AF1155="","N/A",IF(AF1155&lt;0,"ALARMA","OK")))</f>
        <v/>
      </c>
      <c r="AH1155" s="7" t="str">
        <f t="shared" si="163"/>
        <v/>
      </c>
      <c r="AI1155" s="7" t="str">
        <f t="shared" si="164"/>
        <v/>
      </c>
      <c r="AJ1155" s="7" t="str">
        <f t="shared" si="165"/>
        <v/>
      </c>
      <c r="AK1155" s="7" t="str">
        <f t="shared" si="166"/>
        <v/>
      </c>
      <c r="AL1155" s="7" t="str">
        <f t="shared" si="167"/>
        <v/>
      </c>
      <c r="AM1155" s="7" t="str">
        <f t="shared" si="168"/>
        <v/>
      </c>
      <c r="AN1155" s="8" t="str">
        <f>IF(C1155="","",COUNTIF($C$2:C1155,C1155))</f>
        <v/>
      </c>
      <c r="AO1155" s="8" t="str">
        <f t="shared" si="169"/>
        <v/>
      </c>
      <c r="AP1155" s="8" t="str">
        <f>IF(C1155="","",IF(AND(OR([1]Consulta!$C$29="",A1155=[1]Consulta!$C$29),OR([1]Consulta!$E$29="",B1155=[1]Consulta!$E$29),OR([1]Consulta!$G$29="",D1155=[1]Consulta!$G$29,R1155=[1]Consulta!$G$29)),ROW()-1,""))</f>
        <v/>
      </c>
    </row>
    <row r="1156" spans="1:42" ht="15" customHeight="1" x14ac:dyDescent="0.25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 t="str">
        <f t="shared" si="162"/>
        <v/>
      </c>
      <c r="AG1156" s="7" t="str">
        <f t="shared" si="170"/>
        <v/>
      </c>
      <c r="AH1156" s="7" t="str">
        <f t="shared" si="163"/>
        <v/>
      </c>
      <c r="AI1156" s="7" t="str">
        <f t="shared" si="164"/>
        <v/>
      </c>
      <c r="AJ1156" s="7" t="str">
        <f t="shared" si="165"/>
        <v/>
      </c>
      <c r="AK1156" s="7" t="str">
        <f t="shared" si="166"/>
        <v/>
      </c>
      <c r="AL1156" s="7" t="str">
        <f t="shared" si="167"/>
        <v/>
      </c>
      <c r="AM1156" s="7" t="str">
        <f t="shared" si="168"/>
        <v/>
      </c>
      <c r="AN1156" s="8" t="str">
        <f>IF(C1156="","",COUNTIF($C$2:C1156,C1156))</f>
        <v/>
      </c>
      <c r="AO1156" s="8" t="str">
        <f t="shared" si="169"/>
        <v/>
      </c>
      <c r="AP1156" s="8" t="str">
        <f>IF(C1156="","",IF(AND(OR([1]Consulta!$C$29="",A1156=[1]Consulta!$C$29),OR([1]Consulta!$E$29="",B1156=[1]Consulta!$E$29),OR([1]Consulta!$G$29="",D1156=[1]Consulta!$G$29,R1156=[1]Consulta!$G$29)),ROW()-1,""))</f>
        <v/>
      </c>
    </row>
    <row r="1157" spans="1:42" ht="15" customHeight="1" x14ac:dyDescent="0.25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 t="str">
        <f t="shared" si="162"/>
        <v/>
      </c>
      <c r="AG1157" s="7" t="str">
        <f t="shared" si="170"/>
        <v/>
      </c>
      <c r="AH1157" s="7" t="str">
        <f t="shared" si="163"/>
        <v/>
      </c>
      <c r="AI1157" s="7" t="str">
        <f t="shared" si="164"/>
        <v/>
      </c>
      <c r="AJ1157" s="7" t="str">
        <f t="shared" si="165"/>
        <v/>
      </c>
      <c r="AK1157" s="7" t="str">
        <f t="shared" si="166"/>
        <v/>
      </c>
      <c r="AL1157" s="7" t="str">
        <f t="shared" si="167"/>
        <v/>
      </c>
      <c r="AM1157" s="7" t="str">
        <f t="shared" si="168"/>
        <v/>
      </c>
      <c r="AN1157" s="8" t="str">
        <f>IF(C1157="","",COUNTIF($C$2:C1157,C1157))</f>
        <v/>
      </c>
      <c r="AO1157" s="8" t="str">
        <f t="shared" si="169"/>
        <v/>
      </c>
      <c r="AP1157" s="8" t="str">
        <f>IF(C1157="","",IF(AND(OR([1]Consulta!$C$29="",A1157=[1]Consulta!$C$29),OR([1]Consulta!$E$29="",B1157=[1]Consulta!$E$29),OR([1]Consulta!$G$29="",D1157=[1]Consulta!$G$29,R1157=[1]Consulta!$G$29)),ROW()-1,""))</f>
        <v/>
      </c>
    </row>
    <row r="1158" spans="1:42" ht="15" customHeight="1" x14ac:dyDescent="0.25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 t="str">
        <f t="shared" si="162"/>
        <v/>
      </c>
      <c r="AG1158" s="7" t="str">
        <f t="shared" si="170"/>
        <v/>
      </c>
      <c r="AH1158" s="7" t="str">
        <f t="shared" si="163"/>
        <v/>
      </c>
      <c r="AI1158" s="7" t="str">
        <f t="shared" si="164"/>
        <v/>
      </c>
      <c r="AJ1158" s="7" t="str">
        <f t="shared" si="165"/>
        <v/>
      </c>
      <c r="AK1158" s="7" t="str">
        <f t="shared" si="166"/>
        <v/>
      </c>
      <c r="AL1158" s="7" t="str">
        <f t="shared" si="167"/>
        <v/>
      </c>
      <c r="AM1158" s="7" t="str">
        <f t="shared" si="168"/>
        <v/>
      </c>
      <c r="AN1158" s="8" t="str">
        <f>IF(C1158="","",COUNTIF($C$2:C1158,C1158))</f>
        <v/>
      </c>
      <c r="AO1158" s="8" t="str">
        <f t="shared" si="169"/>
        <v/>
      </c>
      <c r="AP1158" s="8" t="str">
        <f>IF(C1158="","",IF(AND(OR([1]Consulta!$C$29="",A1158=[1]Consulta!$C$29),OR([1]Consulta!$E$29="",B1158=[1]Consulta!$E$29),OR([1]Consulta!$G$29="",D1158=[1]Consulta!$G$29,R1158=[1]Consulta!$G$29)),ROW()-1,""))</f>
        <v/>
      </c>
    </row>
    <row r="1159" spans="1:42" ht="15" customHeight="1" x14ac:dyDescent="0.25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 t="str">
        <f t="shared" si="162"/>
        <v/>
      </c>
      <c r="AG1159" s="7" t="str">
        <f t="shared" si="170"/>
        <v/>
      </c>
      <c r="AH1159" s="7" t="str">
        <f t="shared" si="163"/>
        <v/>
      </c>
      <c r="AI1159" s="7" t="str">
        <f t="shared" si="164"/>
        <v/>
      </c>
      <c r="AJ1159" s="7" t="str">
        <f t="shared" si="165"/>
        <v/>
      </c>
      <c r="AK1159" s="7" t="str">
        <f t="shared" si="166"/>
        <v/>
      </c>
      <c r="AL1159" s="7" t="str">
        <f t="shared" si="167"/>
        <v/>
      </c>
      <c r="AM1159" s="7" t="str">
        <f t="shared" si="168"/>
        <v/>
      </c>
      <c r="AN1159" s="8" t="str">
        <f>IF(C1159="","",COUNTIF($C$2:C1159,C1159))</f>
        <v/>
      </c>
      <c r="AO1159" s="8" t="str">
        <f t="shared" si="169"/>
        <v/>
      </c>
      <c r="AP1159" s="8" t="str">
        <f>IF(C1159="","",IF(AND(OR([1]Consulta!$C$29="",A1159=[1]Consulta!$C$29),OR([1]Consulta!$E$29="",B1159=[1]Consulta!$E$29),OR([1]Consulta!$G$29="",D1159=[1]Consulta!$G$29,R1159=[1]Consulta!$G$29)),ROW()-1,""))</f>
        <v/>
      </c>
    </row>
    <row r="1160" spans="1:42" ht="15" customHeight="1" x14ac:dyDescent="0.25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 t="str">
        <f t="shared" si="162"/>
        <v/>
      </c>
      <c r="AG1160" s="7" t="str">
        <f t="shared" si="170"/>
        <v/>
      </c>
      <c r="AH1160" s="7" t="str">
        <f t="shared" si="163"/>
        <v/>
      </c>
      <c r="AI1160" s="7" t="str">
        <f t="shared" si="164"/>
        <v/>
      </c>
      <c r="AJ1160" s="7" t="str">
        <f t="shared" si="165"/>
        <v/>
      </c>
      <c r="AK1160" s="7" t="str">
        <f t="shared" si="166"/>
        <v/>
      </c>
      <c r="AL1160" s="7" t="str">
        <f t="shared" si="167"/>
        <v/>
      </c>
      <c r="AM1160" s="7" t="str">
        <f t="shared" si="168"/>
        <v/>
      </c>
      <c r="AN1160" s="8" t="str">
        <f>IF(C1160="","",COUNTIF($C$2:C1160,C1160))</f>
        <v/>
      </c>
      <c r="AO1160" s="8" t="str">
        <f t="shared" si="169"/>
        <v/>
      </c>
      <c r="AP1160" s="8" t="str">
        <f>IF(C1160="","",IF(AND(OR([1]Consulta!$C$29="",A1160=[1]Consulta!$C$29),OR([1]Consulta!$E$29="",B1160=[1]Consulta!$E$29),OR([1]Consulta!$G$29="",D1160=[1]Consulta!$G$29,R1160=[1]Consulta!$G$29)),ROW()-1,""))</f>
        <v/>
      </c>
    </row>
    <row r="1161" spans="1:42" ht="15" customHeight="1" x14ac:dyDescent="0.25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 t="str">
        <f t="shared" si="162"/>
        <v/>
      </c>
      <c r="AG1161" s="7" t="str">
        <f t="shared" si="170"/>
        <v/>
      </c>
      <c r="AH1161" s="7" t="str">
        <f t="shared" si="163"/>
        <v/>
      </c>
      <c r="AI1161" s="7" t="str">
        <f t="shared" si="164"/>
        <v/>
      </c>
      <c r="AJ1161" s="7" t="str">
        <f t="shared" si="165"/>
        <v/>
      </c>
      <c r="AK1161" s="7" t="str">
        <f t="shared" si="166"/>
        <v/>
      </c>
      <c r="AL1161" s="7" t="str">
        <f t="shared" si="167"/>
        <v/>
      </c>
      <c r="AM1161" s="7" t="str">
        <f t="shared" si="168"/>
        <v/>
      </c>
      <c r="AN1161" s="8" t="str">
        <f>IF(C1161="","",COUNTIF($C$2:C1161,C1161))</f>
        <v/>
      </c>
      <c r="AO1161" s="8" t="str">
        <f t="shared" si="169"/>
        <v/>
      </c>
      <c r="AP1161" s="8" t="str">
        <f>IF(C1161="","",IF(AND(OR([1]Consulta!$C$29="",A1161=[1]Consulta!$C$29),OR([1]Consulta!$E$29="",B1161=[1]Consulta!$E$29),OR([1]Consulta!$G$29="",D1161=[1]Consulta!$G$29,R1161=[1]Consulta!$G$29)),ROW()-1,""))</f>
        <v/>
      </c>
    </row>
    <row r="1162" spans="1:42" ht="15" customHeight="1" x14ac:dyDescent="0.25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 t="str">
        <f t="shared" si="162"/>
        <v/>
      </c>
      <c r="AG1162" s="7" t="str">
        <f t="shared" si="170"/>
        <v/>
      </c>
      <c r="AH1162" s="7" t="str">
        <f t="shared" si="163"/>
        <v/>
      </c>
      <c r="AI1162" s="7" t="str">
        <f t="shared" si="164"/>
        <v/>
      </c>
      <c r="AJ1162" s="7" t="str">
        <f t="shared" si="165"/>
        <v/>
      </c>
      <c r="AK1162" s="7" t="str">
        <f t="shared" si="166"/>
        <v/>
      </c>
      <c r="AL1162" s="7" t="str">
        <f t="shared" si="167"/>
        <v/>
      </c>
      <c r="AM1162" s="7" t="str">
        <f t="shared" si="168"/>
        <v/>
      </c>
      <c r="AN1162" s="8" t="str">
        <f>IF(C1162="","",COUNTIF($C$2:C1162,C1162))</f>
        <v/>
      </c>
      <c r="AO1162" s="8" t="str">
        <f t="shared" si="169"/>
        <v/>
      </c>
      <c r="AP1162" s="8" t="str">
        <f>IF(C1162="","",IF(AND(OR([1]Consulta!$C$29="",A1162=[1]Consulta!$C$29),OR([1]Consulta!$E$29="",B1162=[1]Consulta!$E$29),OR([1]Consulta!$G$29="",D1162=[1]Consulta!$G$29,R1162=[1]Consulta!$G$29)),ROW()-1,""))</f>
        <v/>
      </c>
    </row>
    <row r="1163" spans="1:42" ht="15" customHeight="1" x14ac:dyDescent="0.25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 t="str">
        <f t="shared" si="162"/>
        <v/>
      </c>
      <c r="AG1163" s="7" t="str">
        <f t="shared" si="170"/>
        <v/>
      </c>
      <c r="AH1163" s="7" t="str">
        <f t="shared" si="163"/>
        <v/>
      </c>
      <c r="AI1163" s="7" t="str">
        <f t="shared" si="164"/>
        <v/>
      </c>
      <c r="AJ1163" s="7" t="str">
        <f t="shared" si="165"/>
        <v/>
      </c>
      <c r="AK1163" s="7" t="str">
        <f t="shared" si="166"/>
        <v/>
      </c>
      <c r="AL1163" s="7" t="str">
        <f t="shared" si="167"/>
        <v/>
      </c>
      <c r="AM1163" s="7" t="str">
        <f t="shared" si="168"/>
        <v/>
      </c>
      <c r="AN1163" s="8" t="str">
        <f>IF(C1163="","",COUNTIF($C$2:C1163,C1163))</f>
        <v/>
      </c>
      <c r="AO1163" s="8" t="str">
        <f t="shared" si="169"/>
        <v/>
      </c>
      <c r="AP1163" s="8" t="str">
        <f>IF(C1163="","",IF(AND(OR([1]Consulta!$C$29="",A1163=[1]Consulta!$C$29),OR([1]Consulta!$E$29="",B1163=[1]Consulta!$E$29),OR([1]Consulta!$G$29="",D1163=[1]Consulta!$G$29,R1163=[1]Consulta!$G$29)),ROW()-1,""))</f>
        <v/>
      </c>
    </row>
    <row r="1164" spans="1:42" ht="15" customHeight="1" x14ac:dyDescent="0.25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 t="str">
        <f t="shared" si="162"/>
        <v/>
      </c>
      <c r="AG1164" s="7" t="str">
        <f t="shared" si="170"/>
        <v/>
      </c>
      <c r="AH1164" s="7" t="str">
        <f t="shared" si="163"/>
        <v/>
      </c>
      <c r="AI1164" s="7" t="str">
        <f t="shared" si="164"/>
        <v/>
      </c>
      <c r="AJ1164" s="7" t="str">
        <f t="shared" si="165"/>
        <v/>
      </c>
      <c r="AK1164" s="7" t="str">
        <f t="shared" si="166"/>
        <v/>
      </c>
      <c r="AL1164" s="7" t="str">
        <f t="shared" si="167"/>
        <v/>
      </c>
      <c r="AM1164" s="7" t="str">
        <f t="shared" si="168"/>
        <v/>
      </c>
      <c r="AN1164" s="8" t="str">
        <f>IF(C1164="","",COUNTIF($C$2:C1164,C1164))</f>
        <v/>
      </c>
      <c r="AO1164" s="8" t="str">
        <f t="shared" si="169"/>
        <v/>
      </c>
      <c r="AP1164" s="8" t="str">
        <f>IF(C1164="","",IF(AND(OR([1]Consulta!$C$29="",A1164=[1]Consulta!$C$29),OR([1]Consulta!$E$29="",B1164=[1]Consulta!$E$29),OR([1]Consulta!$G$29="",D1164=[1]Consulta!$G$29,R1164=[1]Consulta!$G$29)),ROW()-1,""))</f>
        <v/>
      </c>
    </row>
    <row r="1165" spans="1:42" ht="15" customHeight="1" x14ac:dyDescent="0.25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 t="str">
        <f t="shared" si="162"/>
        <v/>
      </c>
      <c r="AG1165" s="7" t="str">
        <f t="shared" si="170"/>
        <v/>
      </c>
      <c r="AH1165" s="7" t="str">
        <f t="shared" si="163"/>
        <v/>
      </c>
      <c r="AI1165" s="7" t="str">
        <f t="shared" si="164"/>
        <v/>
      </c>
      <c r="AJ1165" s="7" t="str">
        <f t="shared" si="165"/>
        <v/>
      </c>
      <c r="AK1165" s="7" t="str">
        <f t="shared" si="166"/>
        <v/>
      </c>
      <c r="AL1165" s="7" t="str">
        <f t="shared" si="167"/>
        <v/>
      </c>
      <c r="AM1165" s="7" t="str">
        <f t="shared" si="168"/>
        <v/>
      </c>
      <c r="AN1165" s="8" t="str">
        <f>IF(C1165="","",COUNTIF($C$2:C1165,C1165))</f>
        <v/>
      </c>
      <c r="AO1165" s="8" t="str">
        <f t="shared" si="169"/>
        <v/>
      </c>
      <c r="AP1165" s="8" t="str">
        <f>IF(C1165="","",IF(AND(OR([1]Consulta!$C$29="",A1165=[1]Consulta!$C$29),OR([1]Consulta!$E$29="",B1165=[1]Consulta!$E$29),OR([1]Consulta!$G$29="",D1165=[1]Consulta!$G$29,R1165=[1]Consulta!$G$29)),ROW()-1,""))</f>
        <v/>
      </c>
    </row>
    <row r="1166" spans="1:42" ht="15" customHeight="1" x14ac:dyDescent="0.25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 t="str">
        <f t="shared" si="162"/>
        <v/>
      </c>
      <c r="AG1166" s="7" t="str">
        <f t="shared" si="170"/>
        <v/>
      </c>
      <c r="AH1166" s="7" t="str">
        <f t="shared" si="163"/>
        <v/>
      </c>
      <c r="AI1166" s="7" t="str">
        <f t="shared" si="164"/>
        <v/>
      </c>
      <c r="AJ1166" s="7" t="str">
        <f t="shared" si="165"/>
        <v/>
      </c>
      <c r="AK1166" s="7" t="str">
        <f t="shared" si="166"/>
        <v/>
      </c>
      <c r="AL1166" s="7" t="str">
        <f t="shared" si="167"/>
        <v/>
      </c>
      <c r="AM1166" s="7" t="str">
        <f t="shared" si="168"/>
        <v/>
      </c>
      <c r="AN1166" s="8" t="str">
        <f>IF(C1166="","",COUNTIF($C$2:C1166,C1166))</f>
        <v/>
      </c>
      <c r="AO1166" s="8" t="str">
        <f t="shared" si="169"/>
        <v/>
      </c>
      <c r="AP1166" s="8" t="str">
        <f>IF(C1166="","",IF(AND(OR([1]Consulta!$C$29="",A1166=[1]Consulta!$C$29),OR([1]Consulta!$E$29="",B1166=[1]Consulta!$E$29),OR([1]Consulta!$G$29="",D1166=[1]Consulta!$G$29,R1166=[1]Consulta!$G$29)),ROW()-1,""))</f>
        <v/>
      </c>
    </row>
    <row r="1167" spans="1:42" ht="15" customHeight="1" x14ac:dyDescent="0.25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 t="str">
        <f t="shared" si="162"/>
        <v/>
      </c>
      <c r="AG1167" s="7" t="str">
        <f t="shared" si="170"/>
        <v/>
      </c>
      <c r="AH1167" s="7" t="str">
        <f t="shared" si="163"/>
        <v/>
      </c>
      <c r="AI1167" s="7" t="str">
        <f t="shared" si="164"/>
        <v/>
      </c>
      <c r="AJ1167" s="7" t="str">
        <f t="shared" si="165"/>
        <v/>
      </c>
      <c r="AK1167" s="7" t="str">
        <f t="shared" si="166"/>
        <v/>
      </c>
      <c r="AL1167" s="7" t="str">
        <f t="shared" si="167"/>
        <v/>
      </c>
      <c r="AM1167" s="7" t="str">
        <f t="shared" si="168"/>
        <v/>
      </c>
      <c r="AN1167" s="8" t="str">
        <f>IF(C1167="","",COUNTIF($C$2:C1167,C1167))</f>
        <v/>
      </c>
      <c r="AO1167" s="8" t="str">
        <f t="shared" si="169"/>
        <v/>
      </c>
      <c r="AP1167" s="8" t="str">
        <f>IF(C1167="","",IF(AND(OR([1]Consulta!$C$29="",A1167=[1]Consulta!$C$29),OR([1]Consulta!$E$29="",B1167=[1]Consulta!$E$29),OR([1]Consulta!$G$29="",D1167=[1]Consulta!$G$29,R1167=[1]Consulta!$G$29)),ROW()-1,""))</f>
        <v/>
      </c>
    </row>
    <row r="1168" spans="1:42" ht="15" customHeight="1" x14ac:dyDescent="0.25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 t="str">
        <f t="shared" si="162"/>
        <v/>
      </c>
      <c r="AG1168" s="7" t="str">
        <f t="shared" si="170"/>
        <v/>
      </c>
      <c r="AH1168" s="7" t="str">
        <f t="shared" si="163"/>
        <v/>
      </c>
      <c r="AI1168" s="7" t="str">
        <f t="shared" si="164"/>
        <v/>
      </c>
      <c r="AJ1168" s="7" t="str">
        <f t="shared" si="165"/>
        <v/>
      </c>
      <c r="AK1168" s="7" t="str">
        <f t="shared" si="166"/>
        <v/>
      </c>
      <c r="AL1168" s="7" t="str">
        <f t="shared" si="167"/>
        <v/>
      </c>
      <c r="AM1168" s="7" t="str">
        <f t="shared" si="168"/>
        <v/>
      </c>
      <c r="AN1168" s="8" t="str">
        <f>IF(C1168="","",COUNTIF($C$2:C1168,C1168))</f>
        <v/>
      </c>
      <c r="AO1168" s="8" t="str">
        <f t="shared" si="169"/>
        <v/>
      </c>
      <c r="AP1168" s="8" t="str">
        <f>IF(C1168="","",IF(AND(OR([1]Consulta!$C$29="",A1168=[1]Consulta!$C$29),OR([1]Consulta!$E$29="",B1168=[1]Consulta!$E$29),OR([1]Consulta!$G$29="",D1168=[1]Consulta!$G$29,R1168=[1]Consulta!$G$29)),ROW()-1,""))</f>
        <v/>
      </c>
    </row>
    <row r="1169" spans="1:42" ht="15" customHeight="1" x14ac:dyDescent="0.25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 t="str">
        <f t="shared" si="162"/>
        <v/>
      </c>
      <c r="AG1169" s="7" t="str">
        <f t="shared" si="170"/>
        <v/>
      </c>
      <c r="AH1169" s="7" t="str">
        <f t="shared" si="163"/>
        <v/>
      </c>
      <c r="AI1169" s="7" t="str">
        <f t="shared" si="164"/>
        <v/>
      </c>
      <c r="AJ1169" s="7" t="str">
        <f t="shared" si="165"/>
        <v/>
      </c>
      <c r="AK1169" s="7" t="str">
        <f t="shared" si="166"/>
        <v/>
      </c>
      <c r="AL1169" s="7" t="str">
        <f t="shared" si="167"/>
        <v/>
      </c>
      <c r="AM1169" s="7" t="str">
        <f t="shared" si="168"/>
        <v/>
      </c>
      <c r="AN1169" s="8" t="str">
        <f>IF(C1169="","",COUNTIF($C$2:C1169,C1169))</f>
        <v/>
      </c>
      <c r="AO1169" s="8" t="str">
        <f t="shared" si="169"/>
        <v/>
      </c>
      <c r="AP1169" s="8" t="str">
        <f>IF(C1169="","",IF(AND(OR([1]Consulta!$C$29="",A1169=[1]Consulta!$C$29),OR([1]Consulta!$E$29="",B1169=[1]Consulta!$E$29),OR([1]Consulta!$G$29="",D1169=[1]Consulta!$G$29,R1169=[1]Consulta!$G$29)),ROW()-1,""))</f>
        <v/>
      </c>
    </row>
    <row r="1170" spans="1:42" ht="15" customHeight="1" x14ac:dyDescent="0.25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 t="str">
        <f t="shared" si="162"/>
        <v/>
      </c>
      <c r="AG1170" s="7" t="str">
        <f t="shared" si="170"/>
        <v/>
      </c>
      <c r="AH1170" s="7" t="str">
        <f t="shared" si="163"/>
        <v/>
      </c>
      <c r="AI1170" s="7" t="str">
        <f t="shared" si="164"/>
        <v/>
      </c>
      <c r="AJ1170" s="7" t="str">
        <f t="shared" si="165"/>
        <v/>
      </c>
      <c r="AK1170" s="7" t="str">
        <f t="shared" si="166"/>
        <v/>
      </c>
      <c r="AL1170" s="7" t="str">
        <f t="shared" si="167"/>
        <v/>
      </c>
      <c r="AM1170" s="7" t="str">
        <f t="shared" si="168"/>
        <v/>
      </c>
      <c r="AN1170" s="8" t="str">
        <f>IF(C1170="","",COUNTIF($C$2:C1170,C1170))</f>
        <v/>
      </c>
      <c r="AO1170" s="8" t="str">
        <f t="shared" si="169"/>
        <v/>
      </c>
      <c r="AP1170" s="8" t="str">
        <f>IF(C1170="","",IF(AND(OR([1]Consulta!$C$29="",A1170=[1]Consulta!$C$29),OR([1]Consulta!$E$29="",B1170=[1]Consulta!$E$29),OR([1]Consulta!$G$29="",D1170=[1]Consulta!$G$29,R1170=[1]Consulta!$G$29)),ROW()-1,""))</f>
        <v/>
      </c>
    </row>
    <row r="1171" spans="1:42" ht="15" customHeight="1" x14ac:dyDescent="0.25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 t="str">
        <f t="shared" si="162"/>
        <v/>
      </c>
      <c r="AG1171" s="7" t="str">
        <f t="shared" si="170"/>
        <v/>
      </c>
      <c r="AH1171" s="7" t="str">
        <f t="shared" si="163"/>
        <v/>
      </c>
      <c r="AI1171" s="7" t="str">
        <f t="shared" si="164"/>
        <v/>
      </c>
      <c r="AJ1171" s="7" t="str">
        <f t="shared" si="165"/>
        <v/>
      </c>
      <c r="AK1171" s="7" t="str">
        <f t="shared" si="166"/>
        <v/>
      </c>
      <c r="AL1171" s="7" t="str">
        <f t="shared" si="167"/>
        <v/>
      </c>
      <c r="AM1171" s="7" t="str">
        <f t="shared" si="168"/>
        <v/>
      </c>
      <c r="AN1171" s="8" t="str">
        <f>IF(C1171="","",COUNTIF($C$2:C1171,C1171))</f>
        <v/>
      </c>
      <c r="AO1171" s="8" t="str">
        <f t="shared" si="169"/>
        <v/>
      </c>
      <c r="AP1171" s="8" t="str">
        <f>IF(C1171="","",IF(AND(OR([1]Consulta!$C$29="",A1171=[1]Consulta!$C$29),OR([1]Consulta!$E$29="",B1171=[1]Consulta!$E$29),OR([1]Consulta!$G$29="",D1171=[1]Consulta!$G$29,R1171=[1]Consulta!$G$29)),ROW()-1,""))</f>
        <v/>
      </c>
    </row>
    <row r="1172" spans="1:42" ht="15" customHeight="1" x14ac:dyDescent="0.25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 t="str">
        <f t="shared" si="162"/>
        <v/>
      </c>
      <c r="AG1172" s="7" t="str">
        <f t="shared" si="170"/>
        <v/>
      </c>
      <c r="AH1172" s="7" t="str">
        <f t="shared" si="163"/>
        <v/>
      </c>
      <c r="AI1172" s="7" t="str">
        <f t="shared" si="164"/>
        <v/>
      </c>
      <c r="AJ1172" s="7" t="str">
        <f t="shared" si="165"/>
        <v/>
      </c>
      <c r="AK1172" s="7" t="str">
        <f t="shared" si="166"/>
        <v/>
      </c>
      <c r="AL1172" s="7" t="str">
        <f t="shared" si="167"/>
        <v/>
      </c>
      <c r="AM1172" s="7" t="str">
        <f t="shared" si="168"/>
        <v/>
      </c>
      <c r="AN1172" s="8" t="str">
        <f>IF(C1172="","",COUNTIF($C$2:C1172,C1172))</f>
        <v/>
      </c>
      <c r="AO1172" s="8" t="str">
        <f t="shared" si="169"/>
        <v/>
      </c>
      <c r="AP1172" s="8" t="str">
        <f>IF(C1172="","",IF(AND(OR([1]Consulta!$C$29="",A1172=[1]Consulta!$C$29),OR([1]Consulta!$E$29="",B1172=[1]Consulta!$E$29),OR([1]Consulta!$G$29="",D1172=[1]Consulta!$G$29,R1172=[1]Consulta!$G$29)),ROW()-1,""))</f>
        <v/>
      </c>
    </row>
    <row r="1173" spans="1:42" ht="15" customHeight="1" x14ac:dyDescent="0.25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 t="str">
        <f t="shared" si="162"/>
        <v/>
      </c>
      <c r="AG1173" s="7" t="str">
        <f t="shared" si="170"/>
        <v/>
      </c>
      <c r="AH1173" s="7" t="str">
        <f t="shared" si="163"/>
        <v/>
      </c>
      <c r="AI1173" s="7" t="str">
        <f t="shared" si="164"/>
        <v/>
      </c>
      <c r="AJ1173" s="7" t="str">
        <f t="shared" si="165"/>
        <v/>
      </c>
      <c r="AK1173" s="7" t="str">
        <f t="shared" si="166"/>
        <v/>
      </c>
      <c r="AL1173" s="7" t="str">
        <f t="shared" si="167"/>
        <v/>
      </c>
      <c r="AM1173" s="7" t="str">
        <f t="shared" si="168"/>
        <v/>
      </c>
      <c r="AN1173" s="8" t="str">
        <f>IF(C1173="","",COUNTIF($C$2:C1173,C1173))</f>
        <v/>
      </c>
      <c r="AO1173" s="8" t="str">
        <f t="shared" si="169"/>
        <v/>
      </c>
      <c r="AP1173" s="8" t="str">
        <f>IF(C1173="","",IF(AND(OR([1]Consulta!$C$29="",A1173=[1]Consulta!$C$29),OR([1]Consulta!$E$29="",B1173=[1]Consulta!$E$29),OR([1]Consulta!$G$29="",D1173=[1]Consulta!$G$29,R1173=[1]Consulta!$G$29)),ROW()-1,""))</f>
        <v/>
      </c>
    </row>
    <row r="1174" spans="1:42" ht="15" customHeight="1" x14ac:dyDescent="0.25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 t="str">
        <f t="shared" si="162"/>
        <v/>
      </c>
      <c r="AG1174" s="7" t="str">
        <f t="shared" si="170"/>
        <v/>
      </c>
      <c r="AH1174" s="7" t="str">
        <f t="shared" si="163"/>
        <v/>
      </c>
      <c r="AI1174" s="7" t="str">
        <f t="shared" si="164"/>
        <v/>
      </c>
      <c r="AJ1174" s="7" t="str">
        <f t="shared" si="165"/>
        <v/>
      </c>
      <c r="AK1174" s="7" t="str">
        <f t="shared" si="166"/>
        <v/>
      </c>
      <c r="AL1174" s="7" t="str">
        <f t="shared" si="167"/>
        <v/>
      </c>
      <c r="AM1174" s="7" t="str">
        <f t="shared" si="168"/>
        <v/>
      </c>
      <c r="AN1174" s="8" t="str">
        <f>IF(C1174="","",COUNTIF($C$2:C1174,C1174))</f>
        <v/>
      </c>
      <c r="AO1174" s="8" t="str">
        <f t="shared" si="169"/>
        <v/>
      </c>
      <c r="AP1174" s="8" t="str">
        <f>IF(C1174="","",IF(AND(OR([1]Consulta!$C$29="",A1174=[1]Consulta!$C$29),OR([1]Consulta!$E$29="",B1174=[1]Consulta!$E$29),OR([1]Consulta!$G$29="",D1174=[1]Consulta!$G$29,R1174=[1]Consulta!$G$29)),ROW()-1,""))</f>
        <v/>
      </c>
    </row>
    <row r="1175" spans="1:42" ht="15" customHeight="1" x14ac:dyDescent="0.25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 t="str">
        <f t="shared" si="162"/>
        <v/>
      </c>
      <c r="AG1175" s="7" t="str">
        <f t="shared" si="170"/>
        <v/>
      </c>
      <c r="AH1175" s="7" t="str">
        <f t="shared" si="163"/>
        <v/>
      </c>
      <c r="AI1175" s="7" t="str">
        <f t="shared" si="164"/>
        <v/>
      </c>
      <c r="AJ1175" s="7" t="str">
        <f t="shared" si="165"/>
        <v/>
      </c>
      <c r="AK1175" s="7" t="str">
        <f t="shared" si="166"/>
        <v/>
      </c>
      <c r="AL1175" s="7" t="str">
        <f t="shared" si="167"/>
        <v/>
      </c>
      <c r="AM1175" s="7" t="str">
        <f t="shared" si="168"/>
        <v/>
      </c>
      <c r="AN1175" s="8" t="str">
        <f>IF(C1175="","",COUNTIF($C$2:C1175,C1175))</f>
        <v/>
      </c>
      <c r="AO1175" s="8" t="str">
        <f t="shared" si="169"/>
        <v/>
      </c>
      <c r="AP1175" s="8" t="str">
        <f>IF(C1175="","",IF(AND(OR([1]Consulta!$C$29="",A1175=[1]Consulta!$C$29),OR([1]Consulta!$E$29="",B1175=[1]Consulta!$E$29),OR([1]Consulta!$G$29="",D1175=[1]Consulta!$G$29,R1175=[1]Consulta!$G$29)),ROW()-1,""))</f>
        <v/>
      </c>
    </row>
    <row r="1176" spans="1:42" ht="15" customHeight="1" x14ac:dyDescent="0.25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 t="str">
        <f t="shared" si="162"/>
        <v/>
      </c>
      <c r="AG1176" s="7" t="str">
        <f t="shared" si="170"/>
        <v/>
      </c>
      <c r="AH1176" s="7" t="str">
        <f t="shared" si="163"/>
        <v/>
      </c>
      <c r="AI1176" s="7" t="str">
        <f t="shared" si="164"/>
        <v/>
      </c>
      <c r="AJ1176" s="7" t="str">
        <f t="shared" si="165"/>
        <v/>
      </c>
      <c r="AK1176" s="7" t="str">
        <f t="shared" si="166"/>
        <v/>
      </c>
      <c r="AL1176" s="7" t="str">
        <f t="shared" si="167"/>
        <v/>
      </c>
      <c r="AM1176" s="7" t="str">
        <f t="shared" si="168"/>
        <v/>
      </c>
      <c r="AN1176" s="8" t="str">
        <f>IF(C1176="","",COUNTIF($C$2:C1176,C1176))</f>
        <v/>
      </c>
      <c r="AO1176" s="8" t="str">
        <f t="shared" si="169"/>
        <v/>
      </c>
      <c r="AP1176" s="8" t="str">
        <f>IF(C1176="","",IF(AND(OR([1]Consulta!$C$29="",A1176=[1]Consulta!$C$29),OR([1]Consulta!$E$29="",B1176=[1]Consulta!$E$29),OR([1]Consulta!$G$29="",D1176=[1]Consulta!$G$29,R1176=[1]Consulta!$G$29)),ROW()-1,""))</f>
        <v/>
      </c>
    </row>
    <row r="1177" spans="1:42" ht="15" customHeight="1" x14ac:dyDescent="0.25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 t="str">
        <f t="shared" si="162"/>
        <v/>
      </c>
      <c r="AG1177" s="7" t="str">
        <f t="shared" si="170"/>
        <v/>
      </c>
      <c r="AH1177" s="7" t="str">
        <f t="shared" si="163"/>
        <v/>
      </c>
      <c r="AI1177" s="7" t="str">
        <f t="shared" si="164"/>
        <v/>
      </c>
      <c r="AJ1177" s="7" t="str">
        <f t="shared" si="165"/>
        <v/>
      </c>
      <c r="AK1177" s="7" t="str">
        <f t="shared" si="166"/>
        <v/>
      </c>
      <c r="AL1177" s="7" t="str">
        <f t="shared" si="167"/>
        <v/>
      </c>
      <c r="AM1177" s="7" t="str">
        <f t="shared" si="168"/>
        <v/>
      </c>
      <c r="AN1177" s="8" t="str">
        <f>IF(C1177="","",COUNTIF($C$2:C1177,C1177))</f>
        <v/>
      </c>
      <c r="AO1177" s="8" t="str">
        <f t="shared" si="169"/>
        <v/>
      </c>
      <c r="AP1177" s="8" t="str">
        <f>IF(C1177="","",IF(AND(OR([1]Consulta!$C$29="",A1177=[1]Consulta!$C$29),OR([1]Consulta!$E$29="",B1177=[1]Consulta!$E$29),OR([1]Consulta!$G$29="",D1177=[1]Consulta!$G$29,R1177=[1]Consulta!$G$29)),ROW()-1,""))</f>
        <v/>
      </c>
    </row>
    <row r="1178" spans="1:42" ht="15" customHeight="1" x14ac:dyDescent="0.25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 t="str">
        <f t="shared" si="162"/>
        <v/>
      </c>
      <c r="AG1178" s="7" t="str">
        <f t="shared" si="170"/>
        <v/>
      </c>
      <c r="AH1178" s="7" t="str">
        <f t="shared" si="163"/>
        <v/>
      </c>
      <c r="AI1178" s="7" t="str">
        <f t="shared" si="164"/>
        <v/>
      </c>
      <c r="AJ1178" s="7" t="str">
        <f t="shared" si="165"/>
        <v/>
      </c>
      <c r="AK1178" s="7" t="str">
        <f t="shared" si="166"/>
        <v/>
      </c>
      <c r="AL1178" s="7" t="str">
        <f t="shared" si="167"/>
        <v/>
      </c>
      <c r="AM1178" s="7" t="str">
        <f t="shared" si="168"/>
        <v/>
      </c>
      <c r="AN1178" s="8" t="str">
        <f>IF(C1178="","",COUNTIF($C$2:C1178,C1178))</f>
        <v/>
      </c>
      <c r="AO1178" s="8" t="str">
        <f t="shared" si="169"/>
        <v/>
      </c>
      <c r="AP1178" s="8" t="str">
        <f>IF(C1178="","",IF(AND(OR([1]Consulta!$C$29="",A1178=[1]Consulta!$C$29),OR([1]Consulta!$E$29="",B1178=[1]Consulta!$E$29),OR([1]Consulta!$G$29="",D1178=[1]Consulta!$G$29,R1178=[1]Consulta!$G$29)),ROW()-1,""))</f>
        <v/>
      </c>
    </row>
    <row r="1179" spans="1:42" ht="15" customHeight="1" x14ac:dyDescent="0.25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 t="str">
        <f t="shared" si="162"/>
        <v/>
      </c>
      <c r="AG1179" s="7" t="str">
        <f t="shared" si="170"/>
        <v/>
      </c>
      <c r="AH1179" s="7" t="str">
        <f t="shared" si="163"/>
        <v/>
      </c>
      <c r="AI1179" s="7" t="str">
        <f t="shared" si="164"/>
        <v/>
      </c>
      <c r="AJ1179" s="7" t="str">
        <f t="shared" si="165"/>
        <v/>
      </c>
      <c r="AK1179" s="7" t="str">
        <f t="shared" si="166"/>
        <v/>
      </c>
      <c r="AL1179" s="7" t="str">
        <f t="shared" si="167"/>
        <v/>
      </c>
      <c r="AM1179" s="7" t="str">
        <f t="shared" si="168"/>
        <v/>
      </c>
      <c r="AN1179" s="8" t="str">
        <f>IF(C1179="","",COUNTIF($C$2:C1179,C1179))</f>
        <v/>
      </c>
      <c r="AO1179" s="8" t="str">
        <f t="shared" si="169"/>
        <v/>
      </c>
      <c r="AP1179" s="8" t="str">
        <f>IF(C1179="","",IF(AND(OR([1]Consulta!$C$29="",A1179=[1]Consulta!$C$29),OR([1]Consulta!$E$29="",B1179=[1]Consulta!$E$29),OR([1]Consulta!$G$29="",D1179=[1]Consulta!$G$29,R1179=[1]Consulta!$G$29)),ROW()-1,""))</f>
        <v/>
      </c>
    </row>
    <row r="1180" spans="1:42" ht="15" customHeight="1" x14ac:dyDescent="0.25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 t="str">
        <f t="shared" si="162"/>
        <v/>
      </c>
      <c r="AG1180" s="7" t="str">
        <f t="shared" si="170"/>
        <v/>
      </c>
      <c r="AH1180" s="7" t="str">
        <f t="shared" si="163"/>
        <v/>
      </c>
      <c r="AI1180" s="7" t="str">
        <f t="shared" si="164"/>
        <v/>
      </c>
      <c r="AJ1180" s="7" t="str">
        <f t="shared" si="165"/>
        <v/>
      </c>
      <c r="AK1180" s="7" t="str">
        <f t="shared" si="166"/>
        <v/>
      </c>
      <c r="AL1180" s="7" t="str">
        <f t="shared" si="167"/>
        <v/>
      </c>
      <c r="AM1180" s="7" t="str">
        <f t="shared" si="168"/>
        <v/>
      </c>
      <c r="AN1180" s="8" t="str">
        <f>IF(C1180="","",COUNTIF($C$2:C1180,C1180))</f>
        <v/>
      </c>
      <c r="AO1180" s="8" t="str">
        <f t="shared" si="169"/>
        <v/>
      </c>
      <c r="AP1180" s="8" t="str">
        <f>IF(C1180="","",IF(AND(OR([1]Consulta!$C$29="",A1180=[1]Consulta!$C$29),OR([1]Consulta!$E$29="",B1180=[1]Consulta!$E$29),OR([1]Consulta!$G$29="",D1180=[1]Consulta!$G$29,R1180=[1]Consulta!$G$29)),ROW()-1,""))</f>
        <v/>
      </c>
    </row>
    <row r="1181" spans="1:42" ht="15" customHeight="1" x14ac:dyDescent="0.25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 t="str">
        <f t="shared" si="162"/>
        <v/>
      </c>
      <c r="AG1181" s="7" t="str">
        <f t="shared" si="170"/>
        <v/>
      </c>
      <c r="AH1181" s="7" t="str">
        <f t="shared" si="163"/>
        <v/>
      </c>
      <c r="AI1181" s="7" t="str">
        <f t="shared" si="164"/>
        <v/>
      </c>
      <c r="AJ1181" s="7" t="str">
        <f t="shared" si="165"/>
        <v/>
      </c>
      <c r="AK1181" s="7" t="str">
        <f t="shared" si="166"/>
        <v/>
      </c>
      <c r="AL1181" s="7" t="str">
        <f t="shared" si="167"/>
        <v/>
      </c>
      <c r="AM1181" s="7" t="str">
        <f t="shared" si="168"/>
        <v/>
      </c>
      <c r="AN1181" s="8" t="str">
        <f>IF(C1181="","",COUNTIF($C$2:C1181,C1181))</f>
        <v/>
      </c>
      <c r="AO1181" s="8" t="str">
        <f t="shared" si="169"/>
        <v/>
      </c>
      <c r="AP1181" s="8" t="str">
        <f>IF(C1181="","",IF(AND(OR([1]Consulta!$C$29="",A1181=[1]Consulta!$C$29),OR([1]Consulta!$E$29="",B1181=[1]Consulta!$E$29),OR([1]Consulta!$G$29="",D1181=[1]Consulta!$G$29,R1181=[1]Consulta!$G$29)),ROW()-1,""))</f>
        <v/>
      </c>
    </row>
    <row r="1182" spans="1:42" ht="15" customHeight="1" x14ac:dyDescent="0.25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 t="str">
        <f t="shared" si="162"/>
        <v/>
      </c>
      <c r="AG1182" s="7" t="str">
        <f t="shared" si="170"/>
        <v/>
      </c>
      <c r="AH1182" s="7" t="str">
        <f t="shared" si="163"/>
        <v/>
      </c>
      <c r="AI1182" s="7" t="str">
        <f t="shared" si="164"/>
        <v/>
      </c>
      <c r="AJ1182" s="7" t="str">
        <f t="shared" si="165"/>
        <v/>
      </c>
      <c r="AK1182" s="7" t="str">
        <f t="shared" si="166"/>
        <v/>
      </c>
      <c r="AL1182" s="7" t="str">
        <f t="shared" si="167"/>
        <v/>
      </c>
      <c r="AM1182" s="7" t="str">
        <f t="shared" si="168"/>
        <v/>
      </c>
      <c r="AN1182" s="8" t="str">
        <f>IF(C1182="","",COUNTIF($C$2:C1182,C1182))</f>
        <v/>
      </c>
      <c r="AO1182" s="8" t="str">
        <f t="shared" si="169"/>
        <v/>
      </c>
      <c r="AP1182" s="8" t="str">
        <f>IF(C1182="","",IF(AND(OR([1]Consulta!$C$29="",A1182=[1]Consulta!$C$29),OR([1]Consulta!$E$29="",B1182=[1]Consulta!$E$29),OR([1]Consulta!$G$29="",D1182=[1]Consulta!$G$29,R1182=[1]Consulta!$G$29)),ROW()-1,""))</f>
        <v/>
      </c>
    </row>
    <row r="1183" spans="1:42" ht="15" customHeight="1" x14ac:dyDescent="0.25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 t="str">
        <f t="shared" si="162"/>
        <v/>
      </c>
      <c r="AG1183" s="7" t="str">
        <f t="shared" si="170"/>
        <v/>
      </c>
      <c r="AH1183" s="7" t="str">
        <f t="shared" si="163"/>
        <v/>
      </c>
      <c r="AI1183" s="7" t="str">
        <f t="shared" si="164"/>
        <v/>
      </c>
      <c r="AJ1183" s="7" t="str">
        <f t="shared" si="165"/>
        <v/>
      </c>
      <c r="AK1183" s="7" t="str">
        <f t="shared" si="166"/>
        <v/>
      </c>
      <c r="AL1183" s="7" t="str">
        <f t="shared" si="167"/>
        <v/>
      </c>
      <c r="AM1183" s="7" t="str">
        <f t="shared" si="168"/>
        <v/>
      </c>
      <c r="AN1183" s="8" t="str">
        <f>IF(C1183="","",COUNTIF($C$2:C1183,C1183))</f>
        <v/>
      </c>
      <c r="AO1183" s="8" t="str">
        <f t="shared" si="169"/>
        <v/>
      </c>
      <c r="AP1183" s="8" t="str">
        <f>IF(C1183="","",IF(AND(OR([1]Consulta!$C$29="",A1183=[1]Consulta!$C$29),OR([1]Consulta!$E$29="",B1183=[1]Consulta!$E$29),OR([1]Consulta!$G$29="",D1183=[1]Consulta!$G$29,R1183=[1]Consulta!$G$29)),ROW()-1,""))</f>
        <v/>
      </c>
    </row>
    <row r="1184" spans="1:42" ht="15" customHeight="1" x14ac:dyDescent="0.25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 t="str">
        <f t="shared" si="162"/>
        <v/>
      </c>
      <c r="AG1184" s="7" t="str">
        <f t="shared" si="170"/>
        <v/>
      </c>
      <c r="AH1184" s="7" t="str">
        <f t="shared" si="163"/>
        <v/>
      </c>
      <c r="AI1184" s="7" t="str">
        <f t="shared" si="164"/>
        <v/>
      </c>
      <c r="AJ1184" s="7" t="str">
        <f t="shared" si="165"/>
        <v/>
      </c>
      <c r="AK1184" s="7" t="str">
        <f t="shared" si="166"/>
        <v/>
      </c>
      <c r="AL1184" s="7" t="str">
        <f t="shared" si="167"/>
        <v/>
      </c>
      <c r="AM1184" s="7" t="str">
        <f t="shared" si="168"/>
        <v/>
      </c>
      <c r="AN1184" s="8" t="str">
        <f>IF(C1184="","",COUNTIF($C$2:C1184,C1184))</f>
        <v/>
      </c>
      <c r="AO1184" s="8" t="str">
        <f t="shared" si="169"/>
        <v/>
      </c>
      <c r="AP1184" s="8" t="str">
        <f>IF(C1184="","",IF(AND(OR([1]Consulta!$C$29="",A1184=[1]Consulta!$C$29),OR([1]Consulta!$E$29="",B1184=[1]Consulta!$E$29),OR([1]Consulta!$G$29="",D1184=[1]Consulta!$G$29,R1184=[1]Consulta!$G$29)),ROW()-1,""))</f>
        <v/>
      </c>
    </row>
    <row r="1185" spans="1:42" ht="15" customHeight="1" x14ac:dyDescent="0.25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 t="str">
        <f t="shared" si="162"/>
        <v/>
      </c>
      <c r="AG1185" s="7" t="str">
        <f t="shared" si="170"/>
        <v/>
      </c>
      <c r="AH1185" s="7" t="str">
        <f t="shared" si="163"/>
        <v/>
      </c>
      <c r="AI1185" s="7" t="str">
        <f t="shared" si="164"/>
        <v/>
      </c>
      <c r="AJ1185" s="7" t="str">
        <f t="shared" si="165"/>
        <v/>
      </c>
      <c r="AK1185" s="7" t="str">
        <f t="shared" si="166"/>
        <v/>
      </c>
      <c r="AL1185" s="7" t="str">
        <f t="shared" si="167"/>
        <v/>
      </c>
      <c r="AM1185" s="7" t="str">
        <f t="shared" si="168"/>
        <v/>
      </c>
      <c r="AN1185" s="8" t="str">
        <f>IF(C1185="","",COUNTIF($C$2:C1185,C1185))</f>
        <v/>
      </c>
      <c r="AO1185" s="8" t="str">
        <f t="shared" si="169"/>
        <v/>
      </c>
      <c r="AP1185" s="8" t="str">
        <f>IF(C1185="","",IF(AND(OR([1]Consulta!$C$29="",A1185=[1]Consulta!$C$29),OR([1]Consulta!$E$29="",B1185=[1]Consulta!$E$29),OR([1]Consulta!$G$29="",D1185=[1]Consulta!$G$29,R1185=[1]Consulta!$G$29)),ROW()-1,""))</f>
        <v/>
      </c>
    </row>
    <row r="1186" spans="1:42" ht="15" customHeight="1" x14ac:dyDescent="0.25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 t="str">
        <f t="shared" si="162"/>
        <v/>
      </c>
      <c r="AG1186" s="7" t="str">
        <f t="shared" si="170"/>
        <v/>
      </c>
      <c r="AH1186" s="7" t="str">
        <f t="shared" si="163"/>
        <v/>
      </c>
      <c r="AI1186" s="7" t="str">
        <f t="shared" si="164"/>
        <v/>
      </c>
      <c r="AJ1186" s="7" t="str">
        <f t="shared" si="165"/>
        <v/>
      </c>
      <c r="AK1186" s="7" t="str">
        <f t="shared" si="166"/>
        <v/>
      </c>
      <c r="AL1186" s="7" t="str">
        <f t="shared" si="167"/>
        <v/>
      </c>
      <c r="AM1186" s="7" t="str">
        <f t="shared" si="168"/>
        <v/>
      </c>
      <c r="AN1186" s="8" t="str">
        <f>IF(C1186="","",COUNTIF($C$2:C1186,C1186))</f>
        <v/>
      </c>
      <c r="AO1186" s="8" t="str">
        <f t="shared" si="169"/>
        <v/>
      </c>
      <c r="AP1186" s="8" t="str">
        <f>IF(C1186="","",IF(AND(OR([1]Consulta!$C$29="",A1186=[1]Consulta!$C$29),OR([1]Consulta!$E$29="",B1186=[1]Consulta!$E$29),OR([1]Consulta!$G$29="",D1186=[1]Consulta!$G$29,R1186=[1]Consulta!$G$29)),ROW()-1,""))</f>
        <v/>
      </c>
    </row>
    <row r="1187" spans="1:42" ht="15" customHeight="1" x14ac:dyDescent="0.25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 t="str">
        <f t="shared" si="162"/>
        <v/>
      </c>
      <c r="AG1187" s="7" t="str">
        <f t="shared" si="170"/>
        <v/>
      </c>
      <c r="AH1187" s="7" t="str">
        <f t="shared" si="163"/>
        <v/>
      </c>
      <c r="AI1187" s="7" t="str">
        <f t="shared" si="164"/>
        <v/>
      </c>
      <c r="AJ1187" s="7" t="str">
        <f t="shared" si="165"/>
        <v/>
      </c>
      <c r="AK1187" s="7" t="str">
        <f t="shared" si="166"/>
        <v/>
      </c>
      <c r="AL1187" s="7" t="str">
        <f t="shared" si="167"/>
        <v/>
      </c>
      <c r="AM1187" s="7" t="str">
        <f t="shared" si="168"/>
        <v/>
      </c>
      <c r="AN1187" s="8" t="str">
        <f>IF(C1187="","",COUNTIF($C$2:C1187,C1187))</f>
        <v/>
      </c>
      <c r="AO1187" s="8" t="str">
        <f t="shared" si="169"/>
        <v/>
      </c>
      <c r="AP1187" s="8" t="str">
        <f>IF(C1187="","",IF(AND(OR([1]Consulta!$C$29="",A1187=[1]Consulta!$C$29),OR([1]Consulta!$E$29="",B1187=[1]Consulta!$E$29),OR([1]Consulta!$G$29="",D1187=[1]Consulta!$G$29,R1187=[1]Consulta!$G$29)),ROW()-1,""))</f>
        <v/>
      </c>
    </row>
    <row r="1188" spans="1:42" ht="15" customHeight="1" x14ac:dyDescent="0.25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 t="str">
        <f t="shared" si="162"/>
        <v/>
      </c>
      <c r="AG1188" s="7" t="str">
        <f t="shared" si="170"/>
        <v/>
      </c>
      <c r="AH1188" s="7" t="str">
        <f t="shared" si="163"/>
        <v/>
      </c>
      <c r="AI1188" s="7" t="str">
        <f t="shared" si="164"/>
        <v/>
      </c>
      <c r="AJ1188" s="7" t="str">
        <f t="shared" si="165"/>
        <v/>
      </c>
      <c r="AK1188" s="7" t="str">
        <f t="shared" si="166"/>
        <v/>
      </c>
      <c r="AL1188" s="7" t="str">
        <f t="shared" si="167"/>
        <v/>
      </c>
      <c r="AM1188" s="7" t="str">
        <f t="shared" si="168"/>
        <v/>
      </c>
      <c r="AN1188" s="8" t="str">
        <f>IF(C1188="","",COUNTIF($C$2:C1188,C1188))</f>
        <v/>
      </c>
      <c r="AO1188" s="8" t="str">
        <f t="shared" si="169"/>
        <v/>
      </c>
      <c r="AP1188" s="8" t="str">
        <f>IF(C1188="","",IF(AND(OR([1]Consulta!$C$29="",A1188=[1]Consulta!$C$29),OR([1]Consulta!$E$29="",B1188=[1]Consulta!$E$29),OR([1]Consulta!$G$29="",D1188=[1]Consulta!$G$29,R1188=[1]Consulta!$G$29)),ROW()-1,""))</f>
        <v/>
      </c>
    </row>
    <row r="1189" spans="1:42" ht="15" customHeight="1" x14ac:dyDescent="0.25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 t="str">
        <f t="shared" si="162"/>
        <v/>
      </c>
      <c r="AG1189" s="7" t="str">
        <f t="shared" si="170"/>
        <v/>
      </c>
      <c r="AH1189" s="7" t="str">
        <f t="shared" si="163"/>
        <v/>
      </c>
      <c r="AI1189" s="7" t="str">
        <f t="shared" si="164"/>
        <v/>
      </c>
      <c r="AJ1189" s="7" t="str">
        <f t="shared" si="165"/>
        <v/>
      </c>
      <c r="AK1189" s="7" t="str">
        <f t="shared" si="166"/>
        <v/>
      </c>
      <c r="AL1189" s="7" t="str">
        <f t="shared" si="167"/>
        <v/>
      </c>
      <c r="AM1189" s="7" t="str">
        <f t="shared" si="168"/>
        <v/>
      </c>
      <c r="AN1189" s="8" t="str">
        <f>IF(C1189="","",COUNTIF($C$2:C1189,C1189))</f>
        <v/>
      </c>
      <c r="AO1189" s="8" t="str">
        <f t="shared" si="169"/>
        <v/>
      </c>
      <c r="AP1189" s="8" t="str">
        <f>IF(C1189="","",IF(AND(OR([1]Consulta!$C$29="",A1189=[1]Consulta!$C$29),OR([1]Consulta!$E$29="",B1189=[1]Consulta!$E$29),OR([1]Consulta!$G$29="",D1189=[1]Consulta!$G$29,R1189=[1]Consulta!$G$29)),ROW()-1,""))</f>
        <v/>
      </c>
    </row>
    <row r="1190" spans="1:42" ht="15" customHeight="1" x14ac:dyDescent="0.25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 t="str">
        <f t="shared" si="162"/>
        <v/>
      </c>
      <c r="AG1190" s="7" t="str">
        <f t="shared" si="170"/>
        <v/>
      </c>
      <c r="AH1190" s="7" t="str">
        <f t="shared" si="163"/>
        <v/>
      </c>
      <c r="AI1190" s="7" t="str">
        <f t="shared" si="164"/>
        <v/>
      </c>
      <c r="AJ1190" s="7" t="str">
        <f t="shared" si="165"/>
        <v/>
      </c>
      <c r="AK1190" s="7" t="str">
        <f t="shared" si="166"/>
        <v/>
      </c>
      <c r="AL1190" s="7" t="str">
        <f t="shared" si="167"/>
        <v/>
      </c>
      <c r="AM1190" s="7" t="str">
        <f t="shared" si="168"/>
        <v/>
      </c>
      <c r="AN1190" s="8" t="str">
        <f>IF(C1190="","",COUNTIF($C$2:C1190,C1190))</f>
        <v/>
      </c>
      <c r="AO1190" s="8" t="str">
        <f t="shared" si="169"/>
        <v/>
      </c>
      <c r="AP1190" s="8" t="str">
        <f>IF(C1190="","",IF(AND(OR([1]Consulta!$C$29="",A1190=[1]Consulta!$C$29),OR([1]Consulta!$E$29="",B1190=[1]Consulta!$E$29),OR([1]Consulta!$G$29="",D1190=[1]Consulta!$G$29,R1190=[1]Consulta!$G$29)),ROW()-1,""))</f>
        <v/>
      </c>
    </row>
    <row r="1191" spans="1:42" ht="15" customHeight="1" x14ac:dyDescent="0.25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 t="str">
        <f t="shared" si="162"/>
        <v/>
      </c>
      <c r="AG1191" s="7" t="str">
        <f t="shared" si="170"/>
        <v/>
      </c>
      <c r="AH1191" s="7" t="str">
        <f t="shared" si="163"/>
        <v/>
      </c>
      <c r="AI1191" s="7" t="str">
        <f t="shared" si="164"/>
        <v/>
      </c>
      <c r="AJ1191" s="7" t="str">
        <f t="shared" si="165"/>
        <v/>
      </c>
      <c r="AK1191" s="7" t="str">
        <f t="shared" si="166"/>
        <v/>
      </c>
      <c r="AL1191" s="7" t="str">
        <f t="shared" si="167"/>
        <v/>
      </c>
      <c r="AM1191" s="7" t="str">
        <f t="shared" si="168"/>
        <v/>
      </c>
      <c r="AN1191" s="8" t="str">
        <f>IF(C1191="","",COUNTIF($C$2:C1191,C1191))</f>
        <v/>
      </c>
      <c r="AO1191" s="8" t="str">
        <f t="shared" si="169"/>
        <v/>
      </c>
      <c r="AP1191" s="8" t="str">
        <f>IF(C1191="","",IF(AND(OR([1]Consulta!$C$29="",A1191=[1]Consulta!$C$29),OR([1]Consulta!$E$29="",B1191=[1]Consulta!$E$29),OR([1]Consulta!$G$29="",D1191=[1]Consulta!$G$29,R1191=[1]Consulta!$G$29)),ROW()-1,""))</f>
        <v/>
      </c>
    </row>
    <row r="1192" spans="1:42" ht="15" customHeight="1" x14ac:dyDescent="0.25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 t="str">
        <f t="shared" si="162"/>
        <v/>
      </c>
      <c r="AG1192" s="7" t="str">
        <f t="shared" si="170"/>
        <v/>
      </c>
      <c r="AH1192" s="7" t="str">
        <f t="shared" si="163"/>
        <v/>
      </c>
      <c r="AI1192" s="7" t="str">
        <f t="shared" si="164"/>
        <v/>
      </c>
      <c r="AJ1192" s="7" t="str">
        <f t="shared" si="165"/>
        <v/>
      </c>
      <c r="AK1192" s="7" t="str">
        <f t="shared" si="166"/>
        <v/>
      </c>
      <c r="AL1192" s="7" t="str">
        <f t="shared" si="167"/>
        <v/>
      </c>
      <c r="AM1192" s="7" t="str">
        <f t="shared" si="168"/>
        <v/>
      </c>
      <c r="AN1192" s="8" t="str">
        <f>IF(C1192="","",COUNTIF($C$2:C1192,C1192))</f>
        <v/>
      </c>
      <c r="AO1192" s="8" t="str">
        <f t="shared" si="169"/>
        <v/>
      </c>
      <c r="AP1192" s="8" t="str">
        <f>IF(C1192="","",IF(AND(OR([1]Consulta!$C$29="",A1192=[1]Consulta!$C$29),OR([1]Consulta!$E$29="",B1192=[1]Consulta!$E$29),OR([1]Consulta!$G$29="",D1192=[1]Consulta!$G$29,R1192=[1]Consulta!$G$29)),ROW()-1,""))</f>
        <v/>
      </c>
    </row>
    <row r="1193" spans="1:42" ht="15" customHeight="1" x14ac:dyDescent="0.25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 t="str">
        <f t="shared" si="162"/>
        <v/>
      </c>
      <c r="AG1193" s="7" t="str">
        <f t="shared" si="170"/>
        <v/>
      </c>
      <c r="AH1193" s="7" t="str">
        <f t="shared" si="163"/>
        <v/>
      </c>
      <c r="AI1193" s="7" t="str">
        <f t="shared" si="164"/>
        <v/>
      </c>
      <c r="AJ1193" s="7" t="str">
        <f t="shared" si="165"/>
        <v/>
      </c>
      <c r="AK1193" s="7" t="str">
        <f t="shared" si="166"/>
        <v/>
      </c>
      <c r="AL1193" s="7" t="str">
        <f t="shared" si="167"/>
        <v/>
      </c>
      <c r="AM1193" s="7" t="str">
        <f t="shared" si="168"/>
        <v/>
      </c>
      <c r="AN1193" s="8" t="str">
        <f>IF(C1193="","",COUNTIF($C$2:C1193,C1193))</f>
        <v/>
      </c>
      <c r="AO1193" s="8" t="str">
        <f t="shared" si="169"/>
        <v/>
      </c>
      <c r="AP1193" s="8" t="str">
        <f>IF(C1193="","",IF(AND(OR([1]Consulta!$C$29="",A1193=[1]Consulta!$C$29),OR([1]Consulta!$E$29="",B1193=[1]Consulta!$E$29),OR([1]Consulta!$G$29="",D1193=[1]Consulta!$G$29,R1193=[1]Consulta!$G$29)),ROW()-1,""))</f>
        <v/>
      </c>
    </row>
    <row r="1194" spans="1:42" ht="15" customHeight="1" x14ac:dyDescent="0.25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 t="str">
        <f t="shared" si="162"/>
        <v/>
      </c>
      <c r="AG1194" s="7" t="str">
        <f t="shared" si="170"/>
        <v/>
      </c>
      <c r="AH1194" s="7" t="str">
        <f t="shared" si="163"/>
        <v/>
      </c>
      <c r="AI1194" s="7" t="str">
        <f t="shared" si="164"/>
        <v/>
      </c>
      <c r="AJ1194" s="7" t="str">
        <f t="shared" si="165"/>
        <v/>
      </c>
      <c r="AK1194" s="7" t="str">
        <f t="shared" si="166"/>
        <v/>
      </c>
      <c r="AL1194" s="7" t="str">
        <f t="shared" si="167"/>
        <v/>
      </c>
      <c r="AM1194" s="7" t="str">
        <f t="shared" si="168"/>
        <v/>
      </c>
      <c r="AN1194" s="8" t="str">
        <f>IF(C1194="","",COUNTIF($C$2:C1194,C1194))</f>
        <v/>
      </c>
      <c r="AO1194" s="8" t="str">
        <f t="shared" si="169"/>
        <v/>
      </c>
      <c r="AP1194" s="8" t="str">
        <f>IF(C1194="","",IF(AND(OR([1]Consulta!$C$29="",A1194=[1]Consulta!$C$29),OR([1]Consulta!$E$29="",B1194=[1]Consulta!$E$29),OR([1]Consulta!$G$29="",D1194=[1]Consulta!$G$29,R1194=[1]Consulta!$G$29)),ROW()-1,""))</f>
        <v/>
      </c>
    </row>
    <row r="1195" spans="1:42" ht="15" customHeight="1" x14ac:dyDescent="0.25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 t="str">
        <f t="shared" si="162"/>
        <v/>
      </c>
      <c r="AG1195" s="7" t="str">
        <f t="shared" si="170"/>
        <v/>
      </c>
      <c r="AH1195" s="7" t="str">
        <f t="shared" si="163"/>
        <v/>
      </c>
      <c r="AI1195" s="7" t="str">
        <f t="shared" si="164"/>
        <v/>
      </c>
      <c r="AJ1195" s="7" t="str">
        <f t="shared" si="165"/>
        <v/>
      </c>
      <c r="AK1195" s="7" t="str">
        <f t="shared" si="166"/>
        <v/>
      </c>
      <c r="AL1195" s="7" t="str">
        <f t="shared" si="167"/>
        <v/>
      </c>
      <c r="AM1195" s="7" t="str">
        <f t="shared" si="168"/>
        <v/>
      </c>
      <c r="AN1195" s="8" t="str">
        <f>IF(C1195="","",COUNTIF($C$2:C1195,C1195))</f>
        <v/>
      </c>
      <c r="AO1195" s="8" t="str">
        <f t="shared" si="169"/>
        <v/>
      </c>
      <c r="AP1195" s="8" t="str">
        <f>IF(C1195="","",IF(AND(OR([1]Consulta!$C$29="",A1195=[1]Consulta!$C$29),OR([1]Consulta!$E$29="",B1195=[1]Consulta!$E$29),OR([1]Consulta!$G$29="",D1195=[1]Consulta!$G$29,R1195=[1]Consulta!$G$29)),ROW()-1,""))</f>
        <v/>
      </c>
    </row>
    <row r="1196" spans="1:42" ht="15" customHeight="1" x14ac:dyDescent="0.25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 t="str">
        <f t="shared" si="162"/>
        <v/>
      </c>
      <c r="AG1196" s="7" t="str">
        <f t="shared" si="170"/>
        <v/>
      </c>
      <c r="AH1196" s="7" t="str">
        <f t="shared" si="163"/>
        <v/>
      </c>
      <c r="AI1196" s="7" t="str">
        <f t="shared" si="164"/>
        <v/>
      </c>
      <c r="AJ1196" s="7" t="str">
        <f t="shared" si="165"/>
        <v/>
      </c>
      <c r="AK1196" s="7" t="str">
        <f t="shared" si="166"/>
        <v/>
      </c>
      <c r="AL1196" s="7" t="str">
        <f t="shared" si="167"/>
        <v/>
      </c>
      <c r="AM1196" s="7" t="str">
        <f t="shared" si="168"/>
        <v/>
      </c>
      <c r="AN1196" s="8" t="str">
        <f>IF(C1196="","",COUNTIF($C$2:C1196,C1196))</f>
        <v/>
      </c>
      <c r="AO1196" s="8" t="str">
        <f t="shared" si="169"/>
        <v/>
      </c>
      <c r="AP1196" s="8" t="str">
        <f>IF(C1196="","",IF(AND(OR([1]Consulta!$C$29="",A1196=[1]Consulta!$C$29),OR([1]Consulta!$E$29="",B1196=[1]Consulta!$E$29),OR([1]Consulta!$G$29="",D1196=[1]Consulta!$G$29,R1196=[1]Consulta!$G$29)),ROW()-1,""))</f>
        <v/>
      </c>
    </row>
    <row r="1197" spans="1:42" ht="15" customHeight="1" x14ac:dyDescent="0.25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 t="str">
        <f t="shared" si="162"/>
        <v/>
      </c>
      <c r="AG1197" s="7" t="str">
        <f t="shared" si="170"/>
        <v/>
      </c>
      <c r="AH1197" s="7" t="str">
        <f t="shared" si="163"/>
        <v/>
      </c>
      <c r="AI1197" s="7" t="str">
        <f t="shared" si="164"/>
        <v/>
      </c>
      <c r="AJ1197" s="7" t="str">
        <f t="shared" si="165"/>
        <v/>
      </c>
      <c r="AK1197" s="7" t="str">
        <f t="shared" si="166"/>
        <v/>
      </c>
      <c r="AL1197" s="7" t="str">
        <f t="shared" si="167"/>
        <v/>
      </c>
      <c r="AM1197" s="7" t="str">
        <f t="shared" si="168"/>
        <v/>
      </c>
      <c r="AN1197" s="8" t="str">
        <f>IF(C1197="","",COUNTIF($C$2:C1197,C1197))</f>
        <v/>
      </c>
      <c r="AO1197" s="8" t="str">
        <f t="shared" si="169"/>
        <v/>
      </c>
      <c r="AP1197" s="8" t="str">
        <f>IF(C1197="","",IF(AND(OR([1]Consulta!$C$29="",A1197=[1]Consulta!$C$29),OR([1]Consulta!$E$29="",B1197=[1]Consulta!$E$29),OR([1]Consulta!$G$29="",D1197=[1]Consulta!$G$29,R1197=[1]Consulta!$G$29)),ROW()-1,""))</f>
        <v/>
      </c>
    </row>
    <row r="1198" spans="1:42" ht="15" customHeight="1" x14ac:dyDescent="0.25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 t="str">
        <f t="shared" si="162"/>
        <v/>
      </c>
      <c r="AG1198" s="7" t="str">
        <f t="shared" si="170"/>
        <v/>
      </c>
      <c r="AH1198" s="7" t="str">
        <f t="shared" si="163"/>
        <v/>
      </c>
      <c r="AI1198" s="7" t="str">
        <f t="shared" si="164"/>
        <v/>
      </c>
      <c r="AJ1198" s="7" t="str">
        <f t="shared" si="165"/>
        <v/>
      </c>
      <c r="AK1198" s="7" t="str">
        <f t="shared" si="166"/>
        <v/>
      </c>
      <c r="AL1198" s="7" t="str">
        <f t="shared" si="167"/>
        <v/>
      </c>
      <c r="AM1198" s="7" t="str">
        <f t="shared" si="168"/>
        <v/>
      </c>
      <c r="AN1198" s="8" t="str">
        <f>IF(C1198="","",COUNTIF($C$2:C1198,C1198))</f>
        <v/>
      </c>
      <c r="AO1198" s="8" t="str">
        <f t="shared" si="169"/>
        <v/>
      </c>
      <c r="AP1198" s="8" t="str">
        <f>IF(C1198="","",IF(AND(OR([1]Consulta!$C$29="",A1198=[1]Consulta!$C$29),OR([1]Consulta!$E$29="",B1198=[1]Consulta!$E$29),OR([1]Consulta!$G$29="",D1198=[1]Consulta!$G$29,R1198=[1]Consulta!$G$29)),ROW()-1,""))</f>
        <v/>
      </c>
    </row>
    <row r="1199" spans="1:42" ht="15" customHeight="1" x14ac:dyDescent="0.25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 t="str">
        <f t="shared" si="162"/>
        <v/>
      </c>
      <c r="AG1199" s="7" t="str">
        <f t="shared" si="170"/>
        <v/>
      </c>
      <c r="AH1199" s="7" t="str">
        <f t="shared" si="163"/>
        <v/>
      </c>
      <c r="AI1199" s="7" t="str">
        <f t="shared" si="164"/>
        <v/>
      </c>
      <c r="AJ1199" s="7" t="str">
        <f t="shared" si="165"/>
        <v/>
      </c>
      <c r="AK1199" s="7" t="str">
        <f t="shared" si="166"/>
        <v/>
      </c>
      <c r="AL1199" s="7" t="str">
        <f t="shared" si="167"/>
        <v/>
      </c>
      <c r="AM1199" s="7" t="str">
        <f t="shared" si="168"/>
        <v/>
      </c>
      <c r="AN1199" s="8" t="str">
        <f>IF(C1199="","",COUNTIF($C$2:C1199,C1199))</f>
        <v/>
      </c>
      <c r="AO1199" s="8" t="str">
        <f t="shared" si="169"/>
        <v/>
      </c>
      <c r="AP1199" s="8" t="str">
        <f>IF(C1199="","",IF(AND(OR([1]Consulta!$C$29="",A1199=[1]Consulta!$C$29),OR([1]Consulta!$E$29="",B1199=[1]Consulta!$E$29),OR([1]Consulta!$G$29="",D1199=[1]Consulta!$G$29,R1199=[1]Consulta!$G$29)),ROW()-1,""))</f>
        <v/>
      </c>
    </row>
    <row r="1200" spans="1:42" ht="15" customHeight="1" x14ac:dyDescent="0.25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 t="str">
        <f t="shared" si="162"/>
        <v/>
      </c>
      <c r="AG1200" s="7" t="str">
        <f t="shared" si="170"/>
        <v/>
      </c>
      <c r="AH1200" s="7" t="str">
        <f t="shared" si="163"/>
        <v/>
      </c>
      <c r="AI1200" s="7" t="str">
        <f t="shared" si="164"/>
        <v/>
      </c>
      <c r="AJ1200" s="7" t="str">
        <f t="shared" si="165"/>
        <v/>
      </c>
      <c r="AK1200" s="7" t="str">
        <f t="shared" si="166"/>
        <v/>
      </c>
      <c r="AL1200" s="7" t="str">
        <f t="shared" si="167"/>
        <v/>
      </c>
      <c r="AM1200" s="7" t="str">
        <f t="shared" si="168"/>
        <v/>
      </c>
      <c r="AN1200" s="8" t="str">
        <f>IF(C1200="","",COUNTIF($C$2:C1200,C1200))</f>
        <v/>
      </c>
      <c r="AO1200" s="8" t="str">
        <f t="shared" si="169"/>
        <v/>
      </c>
      <c r="AP1200" s="8" t="str">
        <f>IF(C1200="","",IF(AND(OR([1]Consulta!$C$29="",A1200=[1]Consulta!$C$29),OR([1]Consulta!$E$29="",B1200=[1]Consulta!$E$29),OR([1]Consulta!$G$29="",D1200=[1]Consulta!$G$29,R1200=[1]Consulta!$G$29)),ROW()-1,""))</f>
        <v/>
      </c>
    </row>
    <row r="1201" spans="1:42" ht="15" customHeight="1" x14ac:dyDescent="0.25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 t="str">
        <f t="shared" si="162"/>
        <v/>
      </c>
      <c r="AG1201" s="7" t="str">
        <f t="shared" si="170"/>
        <v/>
      </c>
      <c r="AH1201" s="7" t="str">
        <f t="shared" si="163"/>
        <v/>
      </c>
      <c r="AI1201" s="7" t="str">
        <f t="shared" si="164"/>
        <v/>
      </c>
      <c r="AJ1201" s="7" t="str">
        <f t="shared" si="165"/>
        <v/>
      </c>
      <c r="AK1201" s="7" t="str">
        <f t="shared" si="166"/>
        <v/>
      </c>
      <c r="AL1201" s="7" t="str">
        <f t="shared" si="167"/>
        <v/>
      </c>
      <c r="AM1201" s="7" t="str">
        <f t="shared" si="168"/>
        <v/>
      </c>
      <c r="AN1201" s="8" t="str">
        <f>IF(C1201="","",COUNTIF($C$2:C1201,C1201))</f>
        <v/>
      </c>
      <c r="AO1201" s="8" t="str">
        <f t="shared" si="169"/>
        <v/>
      </c>
      <c r="AP1201" s="8" t="str">
        <f>IF(C1201="","",IF(AND(OR([1]Consulta!$C$29="",A1201=[1]Consulta!$C$29),OR([1]Consulta!$E$29="",B1201=[1]Consulta!$E$29),OR([1]Consulta!$G$29="",D1201=[1]Consulta!$G$29,R1201=[1]Consulta!$G$29)),ROW()-1,""))</f>
        <v/>
      </c>
    </row>
    <row r="1202" spans="1:42" ht="15" customHeight="1" x14ac:dyDescent="0.25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 t="str">
        <f t="shared" si="162"/>
        <v/>
      </c>
      <c r="AG1202" s="7" t="str">
        <f t="shared" si="170"/>
        <v/>
      </c>
      <c r="AH1202" s="7" t="str">
        <f t="shared" si="163"/>
        <v/>
      </c>
      <c r="AI1202" s="7" t="str">
        <f t="shared" si="164"/>
        <v/>
      </c>
      <c r="AJ1202" s="7" t="str">
        <f t="shared" si="165"/>
        <v/>
      </c>
      <c r="AK1202" s="7" t="str">
        <f t="shared" si="166"/>
        <v/>
      </c>
      <c r="AL1202" s="7" t="str">
        <f t="shared" si="167"/>
        <v/>
      </c>
      <c r="AM1202" s="7" t="str">
        <f t="shared" si="168"/>
        <v/>
      </c>
      <c r="AN1202" s="8" t="str">
        <f>IF(C1202="","",COUNTIF($C$2:C1202,C1202))</f>
        <v/>
      </c>
      <c r="AO1202" s="8" t="str">
        <f t="shared" si="169"/>
        <v/>
      </c>
      <c r="AP1202" s="8" t="str">
        <f>IF(C1202="","",IF(AND(OR([1]Consulta!$C$29="",A1202=[1]Consulta!$C$29),OR([1]Consulta!$E$29="",B1202=[1]Consulta!$E$29),OR([1]Consulta!$G$29="",D1202=[1]Consulta!$G$29,R1202=[1]Consulta!$G$29)),ROW()-1,""))</f>
        <v/>
      </c>
    </row>
    <row r="1203" spans="1:42" ht="15" customHeight="1" x14ac:dyDescent="0.25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 t="str">
        <f t="shared" si="162"/>
        <v/>
      </c>
      <c r="AG1203" s="7" t="str">
        <f t="shared" si="170"/>
        <v/>
      </c>
      <c r="AH1203" s="7" t="str">
        <f t="shared" si="163"/>
        <v/>
      </c>
      <c r="AI1203" s="7" t="str">
        <f t="shared" si="164"/>
        <v/>
      </c>
      <c r="AJ1203" s="7" t="str">
        <f t="shared" si="165"/>
        <v/>
      </c>
      <c r="AK1203" s="7" t="str">
        <f t="shared" si="166"/>
        <v/>
      </c>
      <c r="AL1203" s="7" t="str">
        <f t="shared" si="167"/>
        <v/>
      </c>
      <c r="AM1203" s="7" t="str">
        <f t="shared" si="168"/>
        <v/>
      </c>
      <c r="AN1203" s="8" t="str">
        <f>IF(C1203="","",COUNTIF($C$2:C1203,C1203))</f>
        <v/>
      </c>
      <c r="AO1203" s="8" t="str">
        <f t="shared" si="169"/>
        <v/>
      </c>
      <c r="AP1203" s="8" t="str">
        <f>IF(C1203="","",IF(AND(OR([1]Consulta!$C$29="",A1203=[1]Consulta!$C$29),OR([1]Consulta!$E$29="",B1203=[1]Consulta!$E$29),OR([1]Consulta!$G$29="",D1203=[1]Consulta!$G$29,R1203=[1]Consulta!$G$29)),ROW()-1,""))</f>
        <v/>
      </c>
    </row>
    <row r="1204" spans="1:42" ht="15" customHeight="1" x14ac:dyDescent="0.25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 t="str">
        <f t="shared" si="162"/>
        <v/>
      </c>
      <c r="AG1204" s="7" t="str">
        <f t="shared" si="170"/>
        <v/>
      </c>
      <c r="AH1204" s="7" t="str">
        <f t="shared" si="163"/>
        <v/>
      </c>
      <c r="AI1204" s="7" t="str">
        <f t="shared" si="164"/>
        <v/>
      </c>
      <c r="AJ1204" s="7" t="str">
        <f t="shared" si="165"/>
        <v/>
      </c>
      <c r="AK1204" s="7" t="str">
        <f t="shared" si="166"/>
        <v/>
      </c>
      <c r="AL1204" s="7" t="str">
        <f t="shared" si="167"/>
        <v/>
      </c>
      <c r="AM1204" s="7" t="str">
        <f t="shared" si="168"/>
        <v/>
      </c>
      <c r="AN1204" s="8" t="str">
        <f>IF(C1204="","",COUNTIF($C$2:C1204,C1204))</f>
        <v/>
      </c>
      <c r="AO1204" s="8" t="str">
        <f t="shared" si="169"/>
        <v/>
      </c>
      <c r="AP1204" s="8" t="str">
        <f>IF(C1204="","",IF(AND(OR([1]Consulta!$C$29="",A1204=[1]Consulta!$C$29),OR([1]Consulta!$E$29="",B1204=[1]Consulta!$E$29),OR([1]Consulta!$G$29="",D1204=[1]Consulta!$G$29,R1204=[1]Consulta!$G$29)),ROW()-1,""))</f>
        <v/>
      </c>
    </row>
    <row r="1205" spans="1:42" ht="15" customHeight="1" x14ac:dyDescent="0.25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 t="str">
        <f t="shared" si="162"/>
        <v/>
      </c>
      <c r="AG1205" s="7" t="str">
        <f t="shared" si="170"/>
        <v/>
      </c>
      <c r="AH1205" s="7" t="str">
        <f t="shared" si="163"/>
        <v/>
      </c>
      <c r="AI1205" s="7" t="str">
        <f t="shared" si="164"/>
        <v/>
      </c>
      <c r="AJ1205" s="7" t="str">
        <f t="shared" si="165"/>
        <v/>
      </c>
      <c r="AK1205" s="7" t="str">
        <f t="shared" si="166"/>
        <v/>
      </c>
      <c r="AL1205" s="7" t="str">
        <f t="shared" si="167"/>
        <v/>
      </c>
      <c r="AM1205" s="7" t="str">
        <f t="shared" si="168"/>
        <v/>
      </c>
      <c r="AN1205" s="8" t="str">
        <f>IF(C1205="","",COUNTIF($C$2:C1205,C1205))</f>
        <v/>
      </c>
      <c r="AO1205" s="8" t="str">
        <f t="shared" si="169"/>
        <v/>
      </c>
      <c r="AP1205" s="8" t="str">
        <f>IF(C1205="","",IF(AND(OR([1]Consulta!$C$29="",A1205=[1]Consulta!$C$29),OR([1]Consulta!$E$29="",B1205=[1]Consulta!$E$29),OR([1]Consulta!$G$29="",D1205=[1]Consulta!$G$29,R1205=[1]Consulta!$G$29)),ROW()-1,""))</f>
        <v/>
      </c>
    </row>
    <row r="1206" spans="1:42" ht="15" customHeight="1" x14ac:dyDescent="0.25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 t="str">
        <f t="shared" si="162"/>
        <v/>
      </c>
      <c r="AG1206" s="7" t="str">
        <f t="shared" si="170"/>
        <v/>
      </c>
      <c r="AH1206" s="7" t="str">
        <f t="shared" si="163"/>
        <v/>
      </c>
      <c r="AI1206" s="7" t="str">
        <f t="shared" si="164"/>
        <v/>
      </c>
      <c r="AJ1206" s="7" t="str">
        <f t="shared" si="165"/>
        <v/>
      </c>
      <c r="AK1206" s="7" t="str">
        <f t="shared" si="166"/>
        <v/>
      </c>
      <c r="AL1206" s="7" t="str">
        <f t="shared" si="167"/>
        <v/>
      </c>
      <c r="AM1206" s="7" t="str">
        <f t="shared" si="168"/>
        <v/>
      </c>
      <c r="AN1206" s="8" t="str">
        <f>IF(C1206="","",COUNTIF($C$2:C1206,C1206))</f>
        <v/>
      </c>
      <c r="AO1206" s="8" t="str">
        <f t="shared" si="169"/>
        <v/>
      </c>
      <c r="AP1206" s="8" t="str">
        <f>IF(C1206="","",IF(AND(OR([1]Consulta!$C$29="",A1206=[1]Consulta!$C$29),OR([1]Consulta!$E$29="",B1206=[1]Consulta!$E$29),OR([1]Consulta!$G$29="",D1206=[1]Consulta!$G$29,R1206=[1]Consulta!$G$29)),ROW()-1,""))</f>
        <v/>
      </c>
    </row>
    <row r="1207" spans="1:42" ht="15" customHeight="1" x14ac:dyDescent="0.25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 t="str">
        <f t="shared" si="162"/>
        <v/>
      </c>
      <c r="AG1207" s="7" t="str">
        <f t="shared" si="170"/>
        <v/>
      </c>
      <c r="AH1207" s="7" t="str">
        <f t="shared" si="163"/>
        <v/>
      </c>
      <c r="AI1207" s="7" t="str">
        <f t="shared" si="164"/>
        <v/>
      </c>
      <c r="AJ1207" s="7" t="str">
        <f t="shared" si="165"/>
        <v/>
      </c>
      <c r="AK1207" s="7" t="str">
        <f t="shared" si="166"/>
        <v/>
      </c>
      <c r="AL1207" s="7" t="str">
        <f t="shared" si="167"/>
        <v/>
      </c>
      <c r="AM1207" s="7" t="str">
        <f t="shared" si="168"/>
        <v/>
      </c>
      <c r="AN1207" s="8" t="str">
        <f>IF(C1207="","",COUNTIF($C$2:C1207,C1207))</f>
        <v/>
      </c>
      <c r="AO1207" s="8" t="str">
        <f t="shared" si="169"/>
        <v/>
      </c>
      <c r="AP1207" s="8" t="str">
        <f>IF(C1207="","",IF(AND(OR([1]Consulta!$C$29="",A1207=[1]Consulta!$C$29),OR([1]Consulta!$E$29="",B1207=[1]Consulta!$E$29),OR([1]Consulta!$G$29="",D1207=[1]Consulta!$G$29,R1207=[1]Consulta!$G$29)),ROW()-1,""))</f>
        <v/>
      </c>
    </row>
    <row r="1208" spans="1:42" ht="15" customHeight="1" x14ac:dyDescent="0.25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 t="str">
        <f t="shared" si="162"/>
        <v/>
      </c>
      <c r="AG1208" s="7" t="str">
        <f t="shared" si="170"/>
        <v/>
      </c>
      <c r="AH1208" s="7" t="str">
        <f t="shared" si="163"/>
        <v/>
      </c>
      <c r="AI1208" s="7" t="str">
        <f t="shared" si="164"/>
        <v/>
      </c>
      <c r="AJ1208" s="7" t="str">
        <f t="shared" si="165"/>
        <v/>
      </c>
      <c r="AK1208" s="7" t="str">
        <f t="shared" si="166"/>
        <v/>
      </c>
      <c r="AL1208" s="7" t="str">
        <f t="shared" si="167"/>
        <v/>
      </c>
      <c r="AM1208" s="7" t="str">
        <f t="shared" si="168"/>
        <v/>
      </c>
      <c r="AN1208" s="8" t="str">
        <f>IF(C1208="","",COUNTIF($C$2:C1208,C1208))</f>
        <v/>
      </c>
      <c r="AO1208" s="8" t="str">
        <f t="shared" si="169"/>
        <v/>
      </c>
      <c r="AP1208" s="8" t="str">
        <f>IF(C1208="","",IF(AND(OR([1]Consulta!$C$29="",A1208=[1]Consulta!$C$29),OR([1]Consulta!$E$29="",B1208=[1]Consulta!$E$29),OR([1]Consulta!$G$29="",D1208=[1]Consulta!$G$29,R1208=[1]Consulta!$G$29)),ROW()-1,""))</f>
        <v/>
      </c>
    </row>
    <row r="1209" spans="1:42" ht="15" customHeight="1" x14ac:dyDescent="0.25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 t="str">
        <f t="shared" si="162"/>
        <v/>
      </c>
      <c r="AG1209" s="7" t="str">
        <f t="shared" si="170"/>
        <v/>
      </c>
      <c r="AH1209" s="7" t="str">
        <f t="shared" si="163"/>
        <v/>
      </c>
      <c r="AI1209" s="7" t="str">
        <f t="shared" si="164"/>
        <v/>
      </c>
      <c r="AJ1209" s="7" t="str">
        <f t="shared" si="165"/>
        <v/>
      </c>
      <c r="AK1209" s="7" t="str">
        <f t="shared" si="166"/>
        <v/>
      </c>
      <c r="AL1209" s="7" t="str">
        <f t="shared" si="167"/>
        <v/>
      </c>
      <c r="AM1209" s="7" t="str">
        <f t="shared" si="168"/>
        <v/>
      </c>
      <c r="AN1209" s="8" t="str">
        <f>IF(C1209="","",COUNTIF($C$2:C1209,C1209))</f>
        <v/>
      </c>
      <c r="AO1209" s="8" t="str">
        <f t="shared" si="169"/>
        <v/>
      </c>
      <c r="AP1209" s="8" t="str">
        <f>IF(C1209="","",IF(AND(OR([1]Consulta!$C$29="",A1209=[1]Consulta!$C$29),OR([1]Consulta!$E$29="",B1209=[1]Consulta!$E$29),OR([1]Consulta!$G$29="",D1209=[1]Consulta!$G$29,R1209=[1]Consulta!$G$29)),ROW()-1,""))</f>
        <v/>
      </c>
    </row>
    <row r="1210" spans="1:42" ht="15" customHeight="1" x14ac:dyDescent="0.25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 t="str">
        <f t="shared" si="162"/>
        <v/>
      </c>
      <c r="AG1210" s="7" t="str">
        <f t="shared" si="170"/>
        <v/>
      </c>
      <c r="AH1210" s="7" t="str">
        <f t="shared" si="163"/>
        <v/>
      </c>
      <c r="AI1210" s="7" t="str">
        <f t="shared" si="164"/>
        <v/>
      </c>
      <c r="AJ1210" s="7" t="str">
        <f t="shared" si="165"/>
        <v/>
      </c>
      <c r="AK1210" s="7" t="str">
        <f t="shared" si="166"/>
        <v/>
      </c>
      <c r="AL1210" s="7" t="str">
        <f t="shared" si="167"/>
        <v/>
      </c>
      <c r="AM1210" s="7" t="str">
        <f t="shared" si="168"/>
        <v/>
      </c>
      <c r="AN1210" s="8" t="str">
        <f>IF(C1210="","",COUNTIF($C$2:C1210,C1210))</f>
        <v/>
      </c>
      <c r="AO1210" s="8" t="str">
        <f t="shared" si="169"/>
        <v/>
      </c>
      <c r="AP1210" s="8" t="str">
        <f>IF(C1210="","",IF(AND(OR([1]Consulta!$C$29="",A1210=[1]Consulta!$C$29),OR([1]Consulta!$E$29="",B1210=[1]Consulta!$E$29),OR([1]Consulta!$G$29="",D1210=[1]Consulta!$G$29,R1210=[1]Consulta!$G$29)),ROW()-1,""))</f>
        <v/>
      </c>
    </row>
    <row r="1211" spans="1:42" ht="15" customHeight="1" x14ac:dyDescent="0.25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 t="str">
        <f t="shared" si="162"/>
        <v/>
      </c>
      <c r="AG1211" s="7" t="str">
        <f t="shared" si="170"/>
        <v/>
      </c>
      <c r="AH1211" s="7" t="str">
        <f t="shared" si="163"/>
        <v/>
      </c>
      <c r="AI1211" s="7" t="str">
        <f t="shared" si="164"/>
        <v/>
      </c>
      <c r="AJ1211" s="7" t="str">
        <f t="shared" si="165"/>
        <v/>
      </c>
      <c r="AK1211" s="7" t="str">
        <f t="shared" si="166"/>
        <v/>
      </c>
      <c r="AL1211" s="7" t="str">
        <f t="shared" si="167"/>
        <v/>
      </c>
      <c r="AM1211" s="7" t="str">
        <f t="shared" si="168"/>
        <v/>
      </c>
      <c r="AN1211" s="8" t="str">
        <f>IF(C1211="","",COUNTIF($C$2:C1211,C1211))</f>
        <v/>
      </c>
      <c r="AO1211" s="8" t="str">
        <f t="shared" si="169"/>
        <v/>
      </c>
      <c r="AP1211" s="8" t="str">
        <f>IF(C1211="","",IF(AND(OR([1]Consulta!$C$29="",A1211=[1]Consulta!$C$29),OR([1]Consulta!$E$29="",B1211=[1]Consulta!$E$29),OR([1]Consulta!$G$29="",D1211=[1]Consulta!$G$29,R1211=[1]Consulta!$G$29)),ROW()-1,""))</f>
        <v/>
      </c>
    </row>
    <row r="1212" spans="1:42" ht="15" customHeight="1" x14ac:dyDescent="0.25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 t="str">
        <f t="shared" si="162"/>
        <v/>
      </c>
      <c r="AG1212" s="7" t="str">
        <f t="shared" si="170"/>
        <v/>
      </c>
      <c r="AH1212" s="7" t="str">
        <f t="shared" si="163"/>
        <v/>
      </c>
      <c r="AI1212" s="7" t="str">
        <f t="shared" si="164"/>
        <v/>
      </c>
      <c r="AJ1212" s="7" t="str">
        <f t="shared" si="165"/>
        <v/>
      </c>
      <c r="AK1212" s="7" t="str">
        <f t="shared" si="166"/>
        <v/>
      </c>
      <c r="AL1212" s="7" t="str">
        <f t="shared" si="167"/>
        <v/>
      </c>
      <c r="AM1212" s="7" t="str">
        <f t="shared" si="168"/>
        <v/>
      </c>
      <c r="AN1212" s="8" t="str">
        <f>IF(C1212="","",COUNTIF($C$2:C1212,C1212))</f>
        <v/>
      </c>
      <c r="AO1212" s="8" t="str">
        <f t="shared" si="169"/>
        <v/>
      </c>
      <c r="AP1212" s="8" t="str">
        <f>IF(C1212="","",IF(AND(OR([1]Consulta!$C$29="",A1212=[1]Consulta!$C$29),OR([1]Consulta!$E$29="",B1212=[1]Consulta!$E$29),OR([1]Consulta!$G$29="",D1212=[1]Consulta!$G$29,R1212=[1]Consulta!$G$29)),ROW()-1,""))</f>
        <v/>
      </c>
    </row>
    <row r="1213" spans="1:42" ht="15" customHeight="1" x14ac:dyDescent="0.25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 t="str">
        <f t="shared" si="162"/>
        <v/>
      </c>
      <c r="AG1213" s="7" t="str">
        <f t="shared" si="170"/>
        <v/>
      </c>
      <c r="AH1213" s="7" t="str">
        <f t="shared" si="163"/>
        <v/>
      </c>
      <c r="AI1213" s="7" t="str">
        <f t="shared" si="164"/>
        <v/>
      </c>
      <c r="AJ1213" s="7" t="str">
        <f t="shared" si="165"/>
        <v/>
      </c>
      <c r="AK1213" s="7" t="str">
        <f t="shared" si="166"/>
        <v/>
      </c>
      <c r="AL1213" s="7" t="str">
        <f t="shared" si="167"/>
        <v/>
      </c>
      <c r="AM1213" s="7" t="str">
        <f t="shared" si="168"/>
        <v/>
      </c>
      <c r="AN1213" s="8" t="str">
        <f>IF(C1213="","",COUNTIF($C$2:C1213,C1213))</f>
        <v/>
      </c>
      <c r="AO1213" s="8" t="str">
        <f t="shared" si="169"/>
        <v/>
      </c>
      <c r="AP1213" s="8" t="str">
        <f>IF(C1213="","",IF(AND(OR([1]Consulta!$C$29="",A1213=[1]Consulta!$C$29),OR([1]Consulta!$E$29="",B1213=[1]Consulta!$E$29),OR([1]Consulta!$G$29="",D1213=[1]Consulta!$G$29,R1213=[1]Consulta!$G$29)),ROW()-1,""))</f>
        <v/>
      </c>
    </row>
    <row r="1214" spans="1:42" ht="15" customHeight="1" x14ac:dyDescent="0.25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 t="str">
        <f t="shared" si="162"/>
        <v/>
      </c>
      <c r="AG1214" s="7" t="str">
        <f t="shared" si="170"/>
        <v/>
      </c>
      <c r="AH1214" s="7" t="str">
        <f t="shared" si="163"/>
        <v/>
      </c>
      <c r="AI1214" s="7" t="str">
        <f t="shared" si="164"/>
        <v/>
      </c>
      <c r="AJ1214" s="7" t="str">
        <f t="shared" si="165"/>
        <v/>
      </c>
      <c r="AK1214" s="7" t="str">
        <f t="shared" si="166"/>
        <v/>
      </c>
      <c r="AL1214" s="7" t="str">
        <f t="shared" si="167"/>
        <v/>
      </c>
      <c r="AM1214" s="7" t="str">
        <f t="shared" si="168"/>
        <v/>
      </c>
      <c r="AN1214" s="8" t="str">
        <f>IF(C1214="","",COUNTIF($C$2:C1214,C1214))</f>
        <v/>
      </c>
      <c r="AO1214" s="8" t="str">
        <f t="shared" si="169"/>
        <v/>
      </c>
      <c r="AP1214" s="8" t="str">
        <f>IF(C1214="","",IF(AND(OR([1]Consulta!$C$29="",A1214=[1]Consulta!$C$29),OR([1]Consulta!$E$29="",B1214=[1]Consulta!$E$29),OR([1]Consulta!$G$29="",D1214=[1]Consulta!$G$29,R1214=[1]Consulta!$G$29)),ROW()-1,""))</f>
        <v/>
      </c>
    </row>
    <row r="1215" spans="1:42" ht="15" customHeight="1" x14ac:dyDescent="0.25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 t="str">
        <f t="shared" si="162"/>
        <v/>
      </c>
      <c r="AG1215" s="7" t="str">
        <f t="shared" si="170"/>
        <v/>
      </c>
      <c r="AH1215" s="7" t="str">
        <f t="shared" si="163"/>
        <v/>
      </c>
      <c r="AI1215" s="7" t="str">
        <f t="shared" si="164"/>
        <v/>
      </c>
      <c r="AJ1215" s="7" t="str">
        <f t="shared" si="165"/>
        <v/>
      </c>
      <c r="AK1215" s="7" t="str">
        <f t="shared" si="166"/>
        <v/>
      </c>
      <c r="AL1215" s="7" t="str">
        <f t="shared" si="167"/>
        <v/>
      </c>
      <c r="AM1215" s="7" t="str">
        <f t="shared" si="168"/>
        <v/>
      </c>
      <c r="AN1215" s="8" t="str">
        <f>IF(C1215="","",COUNTIF($C$2:C1215,C1215))</f>
        <v/>
      </c>
      <c r="AO1215" s="8" t="str">
        <f t="shared" si="169"/>
        <v/>
      </c>
      <c r="AP1215" s="8" t="str">
        <f>IF(C1215="","",IF(AND(OR([1]Consulta!$C$29="",A1215=[1]Consulta!$C$29),OR([1]Consulta!$E$29="",B1215=[1]Consulta!$E$29),OR([1]Consulta!$G$29="",D1215=[1]Consulta!$G$29,R1215=[1]Consulta!$G$29)),ROW()-1,""))</f>
        <v/>
      </c>
    </row>
    <row r="1216" spans="1:42" ht="15" customHeight="1" x14ac:dyDescent="0.25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 t="str">
        <f t="shared" si="162"/>
        <v/>
      </c>
      <c r="AG1216" s="7" t="str">
        <f t="shared" si="170"/>
        <v/>
      </c>
      <c r="AH1216" s="7" t="str">
        <f t="shared" si="163"/>
        <v/>
      </c>
      <c r="AI1216" s="7" t="str">
        <f t="shared" si="164"/>
        <v/>
      </c>
      <c r="AJ1216" s="7" t="str">
        <f t="shared" si="165"/>
        <v/>
      </c>
      <c r="AK1216" s="7" t="str">
        <f t="shared" si="166"/>
        <v/>
      </c>
      <c r="AL1216" s="7" t="str">
        <f t="shared" si="167"/>
        <v/>
      </c>
      <c r="AM1216" s="7" t="str">
        <f t="shared" si="168"/>
        <v/>
      </c>
      <c r="AN1216" s="8" t="str">
        <f>IF(C1216="","",COUNTIF($C$2:C1216,C1216))</f>
        <v/>
      </c>
      <c r="AO1216" s="8" t="str">
        <f t="shared" si="169"/>
        <v/>
      </c>
      <c r="AP1216" s="8" t="str">
        <f>IF(C1216="","",IF(AND(OR([1]Consulta!$C$29="",A1216=[1]Consulta!$C$29),OR([1]Consulta!$E$29="",B1216=[1]Consulta!$E$29),OR([1]Consulta!$G$29="",D1216=[1]Consulta!$G$29,R1216=[1]Consulta!$G$29)),ROW()-1,""))</f>
        <v/>
      </c>
    </row>
    <row r="1217" spans="1:42" ht="15" customHeight="1" x14ac:dyDescent="0.25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 t="str">
        <f t="shared" si="162"/>
        <v/>
      </c>
      <c r="AG1217" s="7" t="str">
        <f t="shared" si="170"/>
        <v/>
      </c>
      <c r="AH1217" s="7" t="str">
        <f t="shared" si="163"/>
        <v/>
      </c>
      <c r="AI1217" s="7" t="str">
        <f t="shared" si="164"/>
        <v/>
      </c>
      <c r="AJ1217" s="7" t="str">
        <f t="shared" si="165"/>
        <v/>
      </c>
      <c r="AK1217" s="7" t="str">
        <f t="shared" si="166"/>
        <v/>
      </c>
      <c r="AL1217" s="7" t="str">
        <f t="shared" si="167"/>
        <v/>
      </c>
      <c r="AM1217" s="7" t="str">
        <f t="shared" si="168"/>
        <v/>
      </c>
      <c r="AN1217" s="8" t="str">
        <f>IF(C1217="","",COUNTIF($C$2:C1217,C1217))</f>
        <v/>
      </c>
      <c r="AO1217" s="8" t="str">
        <f t="shared" si="169"/>
        <v/>
      </c>
      <c r="AP1217" s="8" t="str">
        <f>IF(C1217="","",IF(AND(OR([1]Consulta!$C$29="",A1217=[1]Consulta!$C$29),OR([1]Consulta!$E$29="",B1217=[1]Consulta!$E$29),OR([1]Consulta!$G$29="",D1217=[1]Consulta!$G$29,R1217=[1]Consulta!$G$29)),ROW()-1,""))</f>
        <v/>
      </c>
    </row>
    <row r="1218" spans="1:42" ht="15" customHeight="1" x14ac:dyDescent="0.25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 t="str">
        <f t="shared" ref="AF1218:AF1281" si="171">IF(C1218="","",IF(AND(ISNUMBER(K1218),ISNUMBER(L1218)),K1218-L1218,""))</f>
        <v/>
      </c>
      <c r="AG1218" s="7" t="str">
        <f t="shared" si="170"/>
        <v/>
      </c>
      <c r="AH1218" s="7" t="str">
        <f t="shared" ref="AH1218:AH1281" si="172">IF(C1218="","",IF(AND(ISNUMBER(Y1218),ISNUMBER(Z1218)),Y1218-Z1218,""))</f>
        <v/>
      </c>
      <c r="AI1218" s="7" t="str">
        <f t="shared" ref="AI1218:AI1281" si="173">IF(C1218="","",IF(AH1218="","N/A",IF(AH1218&lt;0,"ALARMA","OK")))</f>
        <v/>
      </c>
      <c r="AJ1218" s="7" t="str">
        <f t="shared" ref="AJ1218:AJ1281" si="174">IF(C1218="","",IF(ISNUMBER(M1218),IF(M1218&gt;0,"CON ERRORES","OK"),"N/A"))</f>
        <v/>
      </c>
      <c r="AK1218" s="7" t="str">
        <f t="shared" ref="AK1218:AK1281" si="175">IF(C1218="","",IF(ISNUMBER(AA1218),IF(AA1218&gt;0,"CON ERRORES","OK"),"N/A"))</f>
        <v/>
      </c>
      <c r="AL1218" s="7" t="str">
        <f t="shared" ref="AL1218:AL1281" si="176">IF(C1218="","",IF(OR(AG1218="ALARMA",AI1218="ALARMA",AJ1218="CON ERRORES",AK1218="CON ERRORES"),"REVISAR","OK"))</f>
        <v/>
      </c>
      <c r="AM1218" s="7" t="str">
        <f t="shared" ref="AM1218:AM1281" si="177">IF(C1218="","",IF(ISNUMBER(Q1218),Q1218,IF(ISNUMBER(AE1218),AE1218,"Ver detalle")))</f>
        <v/>
      </c>
      <c r="AN1218" s="8" t="str">
        <f>IF(C1218="","",COUNTIF($C$2:C1218,C1218))</f>
        <v/>
      </c>
      <c r="AO1218" s="8" t="str">
        <f t="shared" ref="AO1218:AO1281" si="178">IF(C1218="","",C1218&amp;"|"&amp;AN1218)</f>
        <v/>
      </c>
      <c r="AP1218" s="8" t="str">
        <f>IF(C1218="","",IF(AND(OR([1]Consulta!$C$29="",A1218=[1]Consulta!$C$29),OR([1]Consulta!$E$29="",B1218=[1]Consulta!$E$29),OR([1]Consulta!$G$29="",D1218=[1]Consulta!$G$29,R1218=[1]Consulta!$G$29)),ROW()-1,""))</f>
        <v/>
      </c>
    </row>
    <row r="1219" spans="1:42" ht="15" customHeight="1" x14ac:dyDescent="0.25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 t="str">
        <f t="shared" si="171"/>
        <v/>
      </c>
      <c r="AG1219" s="7" t="str">
        <f t="shared" ref="AG1219:AG1282" si="179">IF(C1219="","",IF(AF1219="","N/A",IF(AF1219&lt;0,"ALARMA","OK")))</f>
        <v/>
      </c>
      <c r="AH1219" s="7" t="str">
        <f t="shared" si="172"/>
        <v/>
      </c>
      <c r="AI1219" s="7" t="str">
        <f t="shared" si="173"/>
        <v/>
      </c>
      <c r="AJ1219" s="7" t="str">
        <f t="shared" si="174"/>
        <v/>
      </c>
      <c r="AK1219" s="7" t="str">
        <f t="shared" si="175"/>
        <v/>
      </c>
      <c r="AL1219" s="7" t="str">
        <f t="shared" si="176"/>
        <v/>
      </c>
      <c r="AM1219" s="7" t="str">
        <f t="shared" si="177"/>
        <v/>
      </c>
      <c r="AN1219" s="8" t="str">
        <f>IF(C1219="","",COUNTIF($C$2:C1219,C1219))</f>
        <v/>
      </c>
      <c r="AO1219" s="8" t="str">
        <f t="shared" si="178"/>
        <v/>
      </c>
      <c r="AP1219" s="8" t="str">
        <f>IF(C1219="","",IF(AND(OR([1]Consulta!$C$29="",A1219=[1]Consulta!$C$29),OR([1]Consulta!$E$29="",B1219=[1]Consulta!$E$29),OR([1]Consulta!$G$29="",D1219=[1]Consulta!$G$29,R1219=[1]Consulta!$G$29)),ROW()-1,""))</f>
        <v/>
      </c>
    </row>
    <row r="1220" spans="1:42" ht="15" customHeight="1" x14ac:dyDescent="0.25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 t="str">
        <f t="shared" si="171"/>
        <v/>
      </c>
      <c r="AG1220" s="7" t="str">
        <f t="shared" si="179"/>
        <v/>
      </c>
      <c r="AH1220" s="7" t="str">
        <f t="shared" si="172"/>
        <v/>
      </c>
      <c r="AI1220" s="7" t="str">
        <f t="shared" si="173"/>
        <v/>
      </c>
      <c r="AJ1220" s="7" t="str">
        <f t="shared" si="174"/>
        <v/>
      </c>
      <c r="AK1220" s="7" t="str">
        <f t="shared" si="175"/>
        <v/>
      </c>
      <c r="AL1220" s="7" t="str">
        <f t="shared" si="176"/>
        <v/>
      </c>
      <c r="AM1220" s="7" t="str">
        <f t="shared" si="177"/>
        <v/>
      </c>
      <c r="AN1220" s="8" t="str">
        <f>IF(C1220="","",COUNTIF($C$2:C1220,C1220))</f>
        <v/>
      </c>
      <c r="AO1220" s="8" t="str">
        <f t="shared" si="178"/>
        <v/>
      </c>
      <c r="AP1220" s="8" t="str">
        <f>IF(C1220="","",IF(AND(OR([1]Consulta!$C$29="",A1220=[1]Consulta!$C$29),OR([1]Consulta!$E$29="",B1220=[1]Consulta!$E$29),OR([1]Consulta!$G$29="",D1220=[1]Consulta!$G$29,R1220=[1]Consulta!$G$29)),ROW()-1,""))</f>
        <v/>
      </c>
    </row>
    <row r="1221" spans="1:42" ht="15" customHeight="1" x14ac:dyDescent="0.25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 t="str">
        <f t="shared" si="171"/>
        <v/>
      </c>
      <c r="AG1221" s="7" t="str">
        <f t="shared" si="179"/>
        <v/>
      </c>
      <c r="AH1221" s="7" t="str">
        <f t="shared" si="172"/>
        <v/>
      </c>
      <c r="AI1221" s="7" t="str">
        <f t="shared" si="173"/>
        <v/>
      </c>
      <c r="AJ1221" s="7" t="str">
        <f t="shared" si="174"/>
        <v/>
      </c>
      <c r="AK1221" s="7" t="str">
        <f t="shared" si="175"/>
        <v/>
      </c>
      <c r="AL1221" s="7" t="str">
        <f t="shared" si="176"/>
        <v/>
      </c>
      <c r="AM1221" s="7" t="str">
        <f t="shared" si="177"/>
        <v/>
      </c>
      <c r="AN1221" s="8" t="str">
        <f>IF(C1221="","",COUNTIF($C$2:C1221,C1221))</f>
        <v/>
      </c>
      <c r="AO1221" s="8" t="str">
        <f t="shared" si="178"/>
        <v/>
      </c>
      <c r="AP1221" s="8" t="str">
        <f>IF(C1221="","",IF(AND(OR([1]Consulta!$C$29="",A1221=[1]Consulta!$C$29),OR([1]Consulta!$E$29="",B1221=[1]Consulta!$E$29),OR([1]Consulta!$G$29="",D1221=[1]Consulta!$G$29,R1221=[1]Consulta!$G$29)),ROW()-1,""))</f>
        <v/>
      </c>
    </row>
    <row r="1222" spans="1:42" ht="15" customHeight="1" x14ac:dyDescent="0.25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 t="str">
        <f t="shared" si="171"/>
        <v/>
      </c>
      <c r="AG1222" s="7" t="str">
        <f t="shared" si="179"/>
        <v/>
      </c>
      <c r="AH1222" s="7" t="str">
        <f t="shared" si="172"/>
        <v/>
      </c>
      <c r="AI1222" s="7" t="str">
        <f t="shared" si="173"/>
        <v/>
      </c>
      <c r="AJ1222" s="7" t="str">
        <f t="shared" si="174"/>
        <v/>
      </c>
      <c r="AK1222" s="7" t="str">
        <f t="shared" si="175"/>
        <v/>
      </c>
      <c r="AL1222" s="7" t="str">
        <f t="shared" si="176"/>
        <v/>
      </c>
      <c r="AM1222" s="7" t="str">
        <f t="shared" si="177"/>
        <v/>
      </c>
      <c r="AN1222" s="8" t="str">
        <f>IF(C1222="","",COUNTIF($C$2:C1222,C1222))</f>
        <v/>
      </c>
      <c r="AO1222" s="8" t="str">
        <f t="shared" si="178"/>
        <v/>
      </c>
      <c r="AP1222" s="8" t="str">
        <f>IF(C1222="","",IF(AND(OR([1]Consulta!$C$29="",A1222=[1]Consulta!$C$29),OR([1]Consulta!$E$29="",B1222=[1]Consulta!$E$29),OR([1]Consulta!$G$29="",D1222=[1]Consulta!$G$29,R1222=[1]Consulta!$G$29)),ROW()-1,""))</f>
        <v/>
      </c>
    </row>
    <row r="1223" spans="1:42" ht="15" customHeight="1" x14ac:dyDescent="0.25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 t="str">
        <f t="shared" si="171"/>
        <v/>
      </c>
      <c r="AG1223" s="7" t="str">
        <f t="shared" si="179"/>
        <v/>
      </c>
      <c r="AH1223" s="7" t="str">
        <f t="shared" si="172"/>
        <v/>
      </c>
      <c r="AI1223" s="7" t="str">
        <f t="shared" si="173"/>
        <v/>
      </c>
      <c r="AJ1223" s="7" t="str">
        <f t="shared" si="174"/>
        <v/>
      </c>
      <c r="AK1223" s="7" t="str">
        <f t="shared" si="175"/>
        <v/>
      </c>
      <c r="AL1223" s="7" t="str">
        <f t="shared" si="176"/>
        <v/>
      </c>
      <c r="AM1223" s="7" t="str">
        <f t="shared" si="177"/>
        <v/>
      </c>
      <c r="AN1223" s="8" t="str">
        <f>IF(C1223="","",COUNTIF($C$2:C1223,C1223))</f>
        <v/>
      </c>
      <c r="AO1223" s="8" t="str">
        <f t="shared" si="178"/>
        <v/>
      </c>
      <c r="AP1223" s="8" t="str">
        <f>IF(C1223="","",IF(AND(OR([1]Consulta!$C$29="",A1223=[1]Consulta!$C$29),OR([1]Consulta!$E$29="",B1223=[1]Consulta!$E$29),OR([1]Consulta!$G$29="",D1223=[1]Consulta!$G$29,R1223=[1]Consulta!$G$29)),ROW()-1,""))</f>
        <v/>
      </c>
    </row>
    <row r="1224" spans="1:42" ht="15" customHeight="1" x14ac:dyDescent="0.25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 t="str">
        <f t="shared" si="171"/>
        <v/>
      </c>
      <c r="AG1224" s="7" t="str">
        <f t="shared" si="179"/>
        <v/>
      </c>
      <c r="AH1224" s="7" t="str">
        <f t="shared" si="172"/>
        <v/>
      </c>
      <c r="AI1224" s="7" t="str">
        <f t="shared" si="173"/>
        <v/>
      </c>
      <c r="AJ1224" s="7" t="str">
        <f t="shared" si="174"/>
        <v/>
      </c>
      <c r="AK1224" s="7" t="str">
        <f t="shared" si="175"/>
        <v/>
      </c>
      <c r="AL1224" s="7" t="str">
        <f t="shared" si="176"/>
        <v/>
      </c>
      <c r="AM1224" s="7" t="str">
        <f t="shared" si="177"/>
        <v/>
      </c>
      <c r="AN1224" s="8" t="str">
        <f>IF(C1224="","",COUNTIF($C$2:C1224,C1224))</f>
        <v/>
      </c>
      <c r="AO1224" s="8" t="str">
        <f t="shared" si="178"/>
        <v/>
      </c>
      <c r="AP1224" s="8" t="str">
        <f>IF(C1224="","",IF(AND(OR([1]Consulta!$C$29="",A1224=[1]Consulta!$C$29),OR([1]Consulta!$E$29="",B1224=[1]Consulta!$E$29),OR([1]Consulta!$G$29="",D1224=[1]Consulta!$G$29,R1224=[1]Consulta!$G$29)),ROW()-1,""))</f>
        <v/>
      </c>
    </row>
    <row r="1225" spans="1:42" ht="15" customHeight="1" x14ac:dyDescent="0.25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 t="str">
        <f t="shared" si="171"/>
        <v/>
      </c>
      <c r="AG1225" s="7" t="str">
        <f t="shared" si="179"/>
        <v/>
      </c>
      <c r="AH1225" s="7" t="str">
        <f t="shared" si="172"/>
        <v/>
      </c>
      <c r="AI1225" s="7" t="str">
        <f t="shared" si="173"/>
        <v/>
      </c>
      <c r="AJ1225" s="7" t="str">
        <f t="shared" si="174"/>
        <v/>
      </c>
      <c r="AK1225" s="7" t="str">
        <f t="shared" si="175"/>
        <v/>
      </c>
      <c r="AL1225" s="7" t="str">
        <f t="shared" si="176"/>
        <v/>
      </c>
      <c r="AM1225" s="7" t="str">
        <f t="shared" si="177"/>
        <v/>
      </c>
      <c r="AN1225" s="8" t="str">
        <f>IF(C1225="","",COUNTIF($C$2:C1225,C1225))</f>
        <v/>
      </c>
      <c r="AO1225" s="8" t="str">
        <f t="shared" si="178"/>
        <v/>
      </c>
      <c r="AP1225" s="8" t="str">
        <f>IF(C1225="","",IF(AND(OR([1]Consulta!$C$29="",A1225=[1]Consulta!$C$29),OR([1]Consulta!$E$29="",B1225=[1]Consulta!$E$29),OR([1]Consulta!$G$29="",D1225=[1]Consulta!$G$29,R1225=[1]Consulta!$G$29)),ROW()-1,""))</f>
        <v/>
      </c>
    </row>
    <row r="1226" spans="1:42" ht="15" customHeight="1" x14ac:dyDescent="0.25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 t="str">
        <f t="shared" si="171"/>
        <v/>
      </c>
      <c r="AG1226" s="7" t="str">
        <f t="shared" si="179"/>
        <v/>
      </c>
      <c r="AH1226" s="7" t="str">
        <f t="shared" si="172"/>
        <v/>
      </c>
      <c r="AI1226" s="7" t="str">
        <f t="shared" si="173"/>
        <v/>
      </c>
      <c r="AJ1226" s="7" t="str">
        <f t="shared" si="174"/>
        <v/>
      </c>
      <c r="AK1226" s="7" t="str">
        <f t="shared" si="175"/>
        <v/>
      </c>
      <c r="AL1226" s="7" t="str">
        <f t="shared" si="176"/>
        <v/>
      </c>
      <c r="AM1226" s="7" t="str">
        <f t="shared" si="177"/>
        <v/>
      </c>
      <c r="AN1226" s="8" t="str">
        <f>IF(C1226="","",COUNTIF($C$2:C1226,C1226))</f>
        <v/>
      </c>
      <c r="AO1226" s="8" t="str">
        <f t="shared" si="178"/>
        <v/>
      </c>
      <c r="AP1226" s="8" t="str">
        <f>IF(C1226="","",IF(AND(OR([1]Consulta!$C$29="",A1226=[1]Consulta!$C$29),OR([1]Consulta!$E$29="",B1226=[1]Consulta!$E$29),OR([1]Consulta!$G$29="",D1226=[1]Consulta!$G$29,R1226=[1]Consulta!$G$29)),ROW()-1,""))</f>
        <v/>
      </c>
    </row>
    <row r="1227" spans="1:42" ht="15" customHeight="1" x14ac:dyDescent="0.25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 t="str">
        <f t="shared" si="171"/>
        <v/>
      </c>
      <c r="AG1227" s="7" t="str">
        <f t="shared" si="179"/>
        <v/>
      </c>
      <c r="AH1227" s="7" t="str">
        <f t="shared" si="172"/>
        <v/>
      </c>
      <c r="AI1227" s="7" t="str">
        <f t="shared" si="173"/>
        <v/>
      </c>
      <c r="AJ1227" s="7" t="str">
        <f t="shared" si="174"/>
        <v/>
      </c>
      <c r="AK1227" s="7" t="str">
        <f t="shared" si="175"/>
        <v/>
      </c>
      <c r="AL1227" s="7" t="str">
        <f t="shared" si="176"/>
        <v/>
      </c>
      <c r="AM1227" s="7" t="str">
        <f t="shared" si="177"/>
        <v/>
      </c>
      <c r="AN1227" s="8" t="str">
        <f>IF(C1227="","",COUNTIF($C$2:C1227,C1227))</f>
        <v/>
      </c>
      <c r="AO1227" s="8" t="str">
        <f t="shared" si="178"/>
        <v/>
      </c>
      <c r="AP1227" s="8" t="str">
        <f>IF(C1227="","",IF(AND(OR([1]Consulta!$C$29="",A1227=[1]Consulta!$C$29),OR([1]Consulta!$E$29="",B1227=[1]Consulta!$E$29),OR([1]Consulta!$G$29="",D1227=[1]Consulta!$G$29,R1227=[1]Consulta!$G$29)),ROW()-1,""))</f>
        <v/>
      </c>
    </row>
    <row r="1228" spans="1:42" ht="15" customHeight="1" x14ac:dyDescent="0.25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 t="str">
        <f t="shared" si="171"/>
        <v/>
      </c>
      <c r="AG1228" s="7" t="str">
        <f t="shared" si="179"/>
        <v/>
      </c>
      <c r="AH1228" s="7" t="str">
        <f t="shared" si="172"/>
        <v/>
      </c>
      <c r="AI1228" s="7" t="str">
        <f t="shared" si="173"/>
        <v/>
      </c>
      <c r="AJ1228" s="7" t="str">
        <f t="shared" si="174"/>
        <v/>
      </c>
      <c r="AK1228" s="7" t="str">
        <f t="shared" si="175"/>
        <v/>
      </c>
      <c r="AL1228" s="7" t="str">
        <f t="shared" si="176"/>
        <v/>
      </c>
      <c r="AM1228" s="7" t="str">
        <f t="shared" si="177"/>
        <v/>
      </c>
      <c r="AN1228" s="8" t="str">
        <f>IF(C1228="","",COUNTIF($C$2:C1228,C1228))</f>
        <v/>
      </c>
      <c r="AO1228" s="8" t="str">
        <f t="shared" si="178"/>
        <v/>
      </c>
      <c r="AP1228" s="8" t="str">
        <f>IF(C1228="","",IF(AND(OR([1]Consulta!$C$29="",A1228=[1]Consulta!$C$29),OR([1]Consulta!$E$29="",B1228=[1]Consulta!$E$29),OR([1]Consulta!$G$29="",D1228=[1]Consulta!$G$29,R1228=[1]Consulta!$G$29)),ROW()-1,""))</f>
        <v/>
      </c>
    </row>
    <row r="1229" spans="1:42" ht="15" customHeight="1" x14ac:dyDescent="0.25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 t="str">
        <f t="shared" si="171"/>
        <v/>
      </c>
      <c r="AG1229" s="7" t="str">
        <f t="shared" si="179"/>
        <v/>
      </c>
      <c r="AH1229" s="7" t="str">
        <f t="shared" si="172"/>
        <v/>
      </c>
      <c r="AI1229" s="7" t="str">
        <f t="shared" si="173"/>
        <v/>
      </c>
      <c r="AJ1229" s="7" t="str">
        <f t="shared" si="174"/>
        <v/>
      </c>
      <c r="AK1229" s="7" t="str">
        <f t="shared" si="175"/>
        <v/>
      </c>
      <c r="AL1229" s="7" t="str">
        <f t="shared" si="176"/>
        <v/>
      </c>
      <c r="AM1229" s="7" t="str">
        <f t="shared" si="177"/>
        <v/>
      </c>
      <c r="AN1229" s="8" t="str">
        <f>IF(C1229="","",COUNTIF($C$2:C1229,C1229))</f>
        <v/>
      </c>
      <c r="AO1229" s="8" t="str">
        <f t="shared" si="178"/>
        <v/>
      </c>
      <c r="AP1229" s="8" t="str">
        <f>IF(C1229="","",IF(AND(OR([1]Consulta!$C$29="",A1229=[1]Consulta!$C$29),OR([1]Consulta!$E$29="",B1229=[1]Consulta!$E$29),OR([1]Consulta!$G$29="",D1229=[1]Consulta!$G$29,R1229=[1]Consulta!$G$29)),ROW()-1,""))</f>
        <v/>
      </c>
    </row>
    <row r="1230" spans="1:42" ht="15" customHeight="1" x14ac:dyDescent="0.25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 t="str">
        <f t="shared" si="171"/>
        <v/>
      </c>
      <c r="AG1230" s="7" t="str">
        <f t="shared" si="179"/>
        <v/>
      </c>
      <c r="AH1230" s="7" t="str">
        <f t="shared" si="172"/>
        <v/>
      </c>
      <c r="AI1230" s="7" t="str">
        <f t="shared" si="173"/>
        <v/>
      </c>
      <c r="AJ1230" s="7" t="str">
        <f t="shared" si="174"/>
        <v/>
      </c>
      <c r="AK1230" s="7" t="str">
        <f t="shared" si="175"/>
        <v/>
      </c>
      <c r="AL1230" s="7" t="str">
        <f t="shared" si="176"/>
        <v/>
      </c>
      <c r="AM1230" s="7" t="str">
        <f t="shared" si="177"/>
        <v/>
      </c>
      <c r="AN1230" s="8" t="str">
        <f>IF(C1230="","",COUNTIF($C$2:C1230,C1230))</f>
        <v/>
      </c>
      <c r="AO1230" s="8" t="str">
        <f t="shared" si="178"/>
        <v/>
      </c>
      <c r="AP1230" s="8" t="str">
        <f>IF(C1230="","",IF(AND(OR([1]Consulta!$C$29="",A1230=[1]Consulta!$C$29),OR([1]Consulta!$E$29="",B1230=[1]Consulta!$E$29),OR([1]Consulta!$G$29="",D1230=[1]Consulta!$G$29,R1230=[1]Consulta!$G$29)),ROW()-1,""))</f>
        <v/>
      </c>
    </row>
    <row r="1231" spans="1:42" ht="15" customHeight="1" x14ac:dyDescent="0.25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 t="str">
        <f t="shared" si="171"/>
        <v/>
      </c>
      <c r="AG1231" s="7" t="str">
        <f t="shared" si="179"/>
        <v/>
      </c>
      <c r="AH1231" s="7" t="str">
        <f t="shared" si="172"/>
        <v/>
      </c>
      <c r="AI1231" s="7" t="str">
        <f t="shared" si="173"/>
        <v/>
      </c>
      <c r="AJ1231" s="7" t="str">
        <f t="shared" si="174"/>
        <v/>
      </c>
      <c r="AK1231" s="7" t="str">
        <f t="shared" si="175"/>
        <v/>
      </c>
      <c r="AL1231" s="7" t="str">
        <f t="shared" si="176"/>
        <v/>
      </c>
      <c r="AM1231" s="7" t="str">
        <f t="shared" si="177"/>
        <v/>
      </c>
      <c r="AN1231" s="8" t="str">
        <f>IF(C1231="","",COUNTIF($C$2:C1231,C1231))</f>
        <v/>
      </c>
      <c r="AO1231" s="8" t="str">
        <f t="shared" si="178"/>
        <v/>
      </c>
      <c r="AP1231" s="8" t="str">
        <f>IF(C1231="","",IF(AND(OR([1]Consulta!$C$29="",A1231=[1]Consulta!$C$29),OR([1]Consulta!$E$29="",B1231=[1]Consulta!$E$29),OR([1]Consulta!$G$29="",D1231=[1]Consulta!$G$29,R1231=[1]Consulta!$G$29)),ROW()-1,""))</f>
        <v/>
      </c>
    </row>
    <row r="1232" spans="1:42" ht="15" customHeight="1" x14ac:dyDescent="0.25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 t="str">
        <f t="shared" si="171"/>
        <v/>
      </c>
      <c r="AG1232" s="7" t="str">
        <f t="shared" si="179"/>
        <v/>
      </c>
      <c r="AH1232" s="7" t="str">
        <f t="shared" si="172"/>
        <v/>
      </c>
      <c r="AI1232" s="7" t="str">
        <f t="shared" si="173"/>
        <v/>
      </c>
      <c r="AJ1232" s="7" t="str">
        <f t="shared" si="174"/>
        <v/>
      </c>
      <c r="AK1232" s="7" t="str">
        <f t="shared" si="175"/>
        <v/>
      </c>
      <c r="AL1232" s="7" t="str">
        <f t="shared" si="176"/>
        <v/>
      </c>
      <c r="AM1232" s="7" t="str">
        <f t="shared" si="177"/>
        <v/>
      </c>
      <c r="AN1232" s="8" t="str">
        <f>IF(C1232="","",COUNTIF($C$2:C1232,C1232))</f>
        <v/>
      </c>
      <c r="AO1232" s="8" t="str">
        <f t="shared" si="178"/>
        <v/>
      </c>
      <c r="AP1232" s="8" t="str">
        <f>IF(C1232="","",IF(AND(OR([1]Consulta!$C$29="",A1232=[1]Consulta!$C$29),OR([1]Consulta!$E$29="",B1232=[1]Consulta!$E$29),OR([1]Consulta!$G$29="",D1232=[1]Consulta!$G$29,R1232=[1]Consulta!$G$29)),ROW()-1,""))</f>
        <v/>
      </c>
    </row>
    <row r="1233" spans="1:42" ht="15" customHeight="1" x14ac:dyDescent="0.25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 t="str">
        <f t="shared" si="171"/>
        <v/>
      </c>
      <c r="AG1233" s="7" t="str">
        <f t="shared" si="179"/>
        <v/>
      </c>
      <c r="AH1233" s="7" t="str">
        <f t="shared" si="172"/>
        <v/>
      </c>
      <c r="AI1233" s="7" t="str">
        <f t="shared" si="173"/>
        <v/>
      </c>
      <c r="AJ1233" s="7" t="str">
        <f t="shared" si="174"/>
        <v/>
      </c>
      <c r="AK1233" s="7" t="str">
        <f t="shared" si="175"/>
        <v/>
      </c>
      <c r="AL1233" s="7" t="str">
        <f t="shared" si="176"/>
        <v/>
      </c>
      <c r="AM1233" s="7" t="str">
        <f t="shared" si="177"/>
        <v/>
      </c>
      <c r="AN1233" s="8" t="str">
        <f>IF(C1233="","",COUNTIF($C$2:C1233,C1233))</f>
        <v/>
      </c>
      <c r="AO1233" s="8" t="str">
        <f t="shared" si="178"/>
        <v/>
      </c>
      <c r="AP1233" s="8" t="str">
        <f>IF(C1233="","",IF(AND(OR([1]Consulta!$C$29="",A1233=[1]Consulta!$C$29),OR([1]Consulta!$E$29="",B1233=[1]Consulta!$E$29),OR([1]Consulta!$G$29="",D1233=[1]Consulta!$G$29,R1233=[1]Consulta!$G$29)),ROW()-1,""))</f>
        <v/>
      </c>
    </row>
    <row r="1234" spans="1:42" ht="15" customHeight="1" x14ac:dyDescent="0.25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 t="str">
        <f t="shared" si="171"/>
        <v/>
      </c>
      <c r="AG1234" s="7" t="str">
        <f t="shared" si="179"/>
        <v/>
      </c>
      <c r="AH1234" s="7" t="str">
        <f t="shared" si="172"/>
        <v/>
      </c>
      <c r="AI1234" s="7" t="str">
        <f t="shared" si="173"/>
        <v/>
      </c>
      <c r="AJ1234" s="7" t="str">
        <f t="shared" si="174"/>
        <v/>
      </c>
      <c r="AK1234" s="7" t="str">
        <f t="shared" si="175"/>
        <v/>
      </c>
      <c r="AL1234" s="7" t="str">
        <f t="shared" si="176"/>
        <v/>
      </c>
      <c r="AM1234" s="7" t="str">
        <f t="shared" si="177"/>
        <v/>
      </c>
      <c r="AN1234" s="8" t="str">
        <f>IF(C1234="","",COUNTIF($C$2:C1234,C1234))</f>
        <v/>
      </c>
      <c r="AO1234" s="8" t="str">
        <f t="shared" si="178"/>
        <v/>
      </c>
      <c r="AP1234" s="8" t="str">
        <f>IF(C1234="","",IF(AND(OR([1]Consulta!$C$29="",A1234=[1]Consulta!$C$29),OR([1]Consulta!$E$29="",B1234=[1]Consulta!$E$29),OR([1]Consulta!$G$29="",D1234=[1]Consulta!$G$29,R1234=[1]Consulta!$G$29)),ROW()-1,""))</f>
        <v/>
      </c>
    </row>
    <row r="1235" spans="1:42" ht="15" customHeight="1" x14ac:dyDescent="0.25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 t="str">
        <f t="shared" si="171"/>
        <v/>
      </c>
      <c r="AG1235" s="7" t="str">
        <f t="shared" si="179"/>
        <v/>
      </c>
      <c r="AH1235" s="7" t="str">
        <f t="shared" si="172"/>
        <v/>
      </c>
      <c r="AI1235" s="7" t="str">
        <f t="shared" si="173"/>
        <v/>
      </c>
      <c r="AJ1235" s="7" t="str">
        <f t="shared" si="174"/>
        <v/>
      </c>
      <c r="AK1235" s="7" t="str">
        <f t="shared" si="175"/>
        <v/>
      </c>
      <c r="AL1235" s="7" t="str">
        <f t="shared" si="176"/>
        <v/>
      </c>
      <c r="AM1235" s="7" t="str">
        <f t="shared" si="177"/>
        <v/>
      </c>
      <c r="AN1235" s="8" t="str">
        <f>IF(C1235="","",COUNTIF($C$2:C1235,C1235))</f>
        <v/>
      </c>
      <c r="AO1235" s="8" t="str">
        <f t="shared" si="178"/>
        <v/>
      </c>
      <c r="AP1235" s="8" t="str">
        <f>IF(C1235="","",IF(AND(OR([1]Consulta!$C$29="",A1235=[1]Consulta!$C$29),OR([1]Consulta!$E$29="",B1235=[1]Consulta!$E$29),OR([1]Consulta!$G$29="",D1235=[1]Consulta!$G$29,R1235=[1]Consulta!$G$29)),ROW()-1,""))</f>
        <v/>
      </c>
    </row>
    <row r="1236" spans="1:42" ht="15" customHeight="1" x14ac:dyDescent="0.25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 t="str">
        <f t="shared" si="171"/>
        <v/>
      </c>
      <c r="AG1236" s="7" t="str">
        <f t="shared" si="179"/>
        <v/>
      </c>
      <c r="AH1236" s="7" t="str">
        <f t="shared" si="172"/>
        <v/>
      </c>
      <c r="AI1236" s="7" t="str">
        <f t="shared" si="173"/>
        <v/>
      </c>
      <c r="AJ1236" s="7" t="str">
        <f t="shared" si="174"/>
        <v/>
      </c>
      <c r="AK1236" s="7" t="str">
        <f t="shared" si="175"/>
        <v/>
      </c>
      <c r="AL1236" s="7" t="str">
        <f t="shared" si="176"/>
        <v/>
      </c>
      <c r="AM1236" s="7" t="str">
        <f t="shared" si="177"/>
        <v/>
      </c>
      <c r="AN1236" s="8" t="str">
        <f>IF(C1236="","",COUNTIF($C$2:C1236,C1236))</f>
        <v/>
      </c>
      <c r="AO1236" s="8" t="str">
        <f t="shared" si="178"/>
        <v/>
      </c>
      <c r="AP1236" s="8" t="str">
        <f>IF(C1236="","",IF(AND(OR([1]Consulta!$C$29="",A1236=[1]Consulta!$C$29),OR([1]Consulta!$E$29="",B1236=[1]Consulta!$E$29),OR([1]Consulta!$G$29="",D1236=[1]Consulta!$G$29,R1236=[1]Consulta!$G$29)),ROW()-1,""))</f>
        <v/>
      </c>
    </row>
    <row r="1237" spans="1:42" ht="15" customHeight="1" x14ac:dyDescent="0.25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 t="str">
        <f t="shared" si="171"/>
        <v/>
      </c>
      <c r="AG1237" s="7" t="str">
        <f t="shared" si="179"/>
        <v/>
      </c>
      <c r="AH1237" s="7" t="str">
        <f t="shared" si="172"/>
        <v/>
      </c>
      <c r="AI1237" s="7" t="str">
        <f t="shared" si="173"/>
        <v/>
      </c>
      <c r="AJ1237" s="7" t="str">
        <f t="shared" si="174"/>
        <v/>
      </c>
      <c r="AK1237" s="7" t="str">
        <f t="shared" si="175"/>
        <v/>
      </c>
      <c r="AL1237" s="7" t="str">
        <f t="shared" si="176"/>
        <v/>
      </c>
      <c r="AM1237" s="7" t="str">
        <f t="shared" si="177"/>
        <v/>
      </c>
      <c r="AN1237" s="8" t="str">
        <f>IF(C1237="","",COUNTIF($C$2:C1237,C1237))</f>
        <v/>
      </c>
      <c r="AO1237" s="8" t="str">
        <f t="shared" si="178"/>
        <v/>
      </c>
      <c r="AP1237" s="8" t="str">
        <f>IF(C1237="","",IF(AND(OR([1]Consulta!$C$29="",A1237=[1]Consulta!$C$29),OR([1]Consulta!$E$29="",B1237=[1]Consulta!$E$29),OR([1]Consulta!$G$29="",D1237=[1]Consulta!$G$29,R1237=[1]Consulta!$G$29)),ROW()-1,""))</f>
        <v/>
      </c>
    </row>
    <row r="1238" spans="1:42" ht="15" customHeight="1" x14ac:dyDescent="0.25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 t="str">
        <f t="shared" si="171"/>
        <v/>
      </c>
      <c r="AG1238" s="7" t="str">
        <f t="shared" si="179"/>
        <v/>
      </c>
      <c r="AH1238" s="7" t="str">
        <f t="shared" si="172"/>
        <v/>
      </c>
      <c r="AI1238" s="7" t="str">
        <f t="shared" si="173"/>
        <v/>
      </c>
      <c r="AJ1238" s="7" t="str">
        <f t="shared" si="174"/>
        <v/>
      </c>
      <c r="AK1238" s="7" t="str">
        <f t="shared" si="175"/>
        <v/>
      </c>
      <c r="AL1238" s="7" t="str">
        <f t="shared" si="176"/>
        <v/>
      </c>
      <c r="AM1238" s="7" t="str">
        <f t="shared" si="177"/>
        <v/>
      </c>
      <c r="AN1238" s="8" t="str">
        <f>IF(C1238="","",COUNTIF($C$2:C1238,C1238))</f>
        <v/>
      </c>
      <c r="AO1238" s="8" t="str">
        <f t="shared" si="178"/>
        <v/>
      </c>
      <c r="AP1238" s="8" t="str">
        <f>IF(C1238="","",IF(AND(OR([1]Consulta!$C$29="",A1238=[1]Consulta!$C$29),OR([1]Consulta!$E$29="",B1238=[1]Consulta!$E$29),OR([1]Consulta!$G$29="",D1238=[1]Consulta!$G$29,R1238=[1]Consulta!$G$29)),ROW()-1,""))</f>
        <v/>
      </c>
    </row>
    <row r="1239" spans="1:42" ht="15" customHeight="1" x14ac:dyDescent="0.25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 t="str">
        <f t="shared" si="171"/>
        <v/>
      </c>
      <c r="AG1239" s="7" t="str">
        <f t="shared" si="179"/>
        <v/>
      </c>
      <c r="AH1239" s="7" t="str">
        <f t="shared" si="172"/>
        <v/>
      </c>
      <c r="AI1239" s="7" t="str">
        <f t="shared" si="173"/>
        <v/>
      </c>
      <c r="AJ1239" s="7" t="str">
        <f t="shared" si="174"/>
        <v/>
      </c>
      <c r="AK1239" s="7" t="str">
        <f t="shared" si="175"/>
        <v/>
      </c>
      <c r="AL1239" s="7" t="str">
        <f t="shared" si="176"/>
        <v/>
      </c>
      <c r="AM1239" s="7" t="str">
        <f t="shared" si="177"/>
        <v/>
      </c>
      <c r="AN1239" s="8" t="str">
        <f>IF(C1239="","",COUNTIF($C$2:C1239,C1239))</f>
        <v/>
      </c>
      <c r="AO1239" s="8" t="str">
        <f t="shared" si="178"/>
        <v/>
      </c>
      <c r="AP1239" s="8" t="str">
        <f>IF(C1239="","",IF(AND(OR([1]Consulta!$C$29="",A1239=[1]Consulta!$C$29),OR([1]Consulta!$E$29="",B1239=[1]Consulta!$E$29),OR([1]Consulta!$G$29="",D1239=[1]Consulta!$G$29,R1239=[1]Consulta!$G$29)),ROW()-1,""))</f>
        <v/>
      </c>
    </row>
    <row r="1240" spans="1:42" ht="15" customHeight="1" x14ac:dyDescent="0.25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 t="str">
        <f t="shared" si="171"/>
        <v/>
      </c>
      <c r="AG1240" s="7" t="str">
        <f t="shared" si="179"/>
        <v/>
      </c>
      <c r="AH1240" s="7" t="str">
        <f t="shared" si="172"/>
        <v/>
      </c>
      <c r="AI1240" s="7" t="str">
        <f t="shared" si="173"/>
        <v/>
      </c>
      <c r="AJ1240" s="7" t="str">
        <f t="shared" si="174"/>
        <v/>
      </c>
      <c r="AK1240" s="7" t="str">
        <f t="shared" si="175"/>
        <v/>
      </c>
      <c r="AL1240" s="7" t="str">
        <f t="shared" si="176"/>
        <v/>
      </c>
      <c r="AM1240" s="7" t="str">
        <f t="shared" si="177"/>
        <v/>
      </c>
      <c r="AN1240" s="8" t="str">
        <f>IF(C1240="","",COUNTIF($C$2:C1240,C1240))</f>
        <v/>
      </c>
      <c r="AO1240" s="8" t="str">
        <f t="shared" si="178"/>
        <v/>
      </c>
      <c r="AP1240" s="8" t="str">
        <f>IF(C1240="","",IF(AND(OR([1]Consulta!$C$29="",A1240=[1]Consulta!$C$29),OR([1]Consulta!$E$29="",B1240=[1]Consulta!$E$29),OR([1]Consulta!$G$29="",D1240=[1]Consulta!$G$29,R1240=[1]Consulta!$G$29)),ROW()-1,""))</f>
        <v/>
      </c>
    </row>
    <row r="1241" spans="1:42" ht="15" customHeight="1" x14ac:dyDescent="0.25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 t="str">
        <f t="shared" si="171"/>
        <v/>
      </c>
      <c r="AG1241" s="7" t="str">
        <f t="shared" si="179"/>
        <v/>
      </c>
      <c r="AH1241" s="7" t="str">
        <f t="shared" si="172"/>
        <v/>
      </c>
      <c r="AI1241" s="7" t="str">
        <f t="shared" si="173"/>
        <v/>
      </c>
      <c r="AJ1241" s="7" t="str">
        <f t="shared" si="174"/>
        <v/>
      </c>
      <c r="AK1241" s="7" t="str">
        <f t="shared" si="175"/>
        <v/>
      </c>
      <c r="AL1241" s="7" t="str">
        <f t="shared" si="176"/>
        <v/>
      </c>
      <c r="AM1241" s="7" t="str">
        <f t="shared" si="177"/>
        <v/>
      </c>
      <c r="AN1241" s="8" t="str">
        <f>IF(C1241="","",COUNTIF($C$2:C1241,C1241))</f>
        <v/>
      </c>
      <c r="AO1241" s="8" t="str">
        <f t="shared" si="178"/>
        <v/>
      </c>
      <c r="AP1241" s="8" t="str">
        <f>IF(C1241="","",IF(AND(OR([1]Consulta!$C$29="",A1241=[1]Consulta!$C$29),OR([1]Consulta!$E$29="",B1241=[1]Consulta!$E$29),OR([1]Consulta!$G$29="",D1241=[1]Consulta!$G$29,R1241=[1]Consulta!$G$29)),ROW()-1,""))</f>
        <v/>
      </c>
    </row>
    <row r="1242" spans="1:42" ht="15" customHeight="1" x14ac:dyDescent="0.25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 t="str">
        <f t="shared" si="171"/>
        <v/>
      </c>
      <c r="AG1242" s="7" t="str">
        <f t="shared" si="179"/>
        <v/>
      </c>
      <c r="AH1242" s="7" t="str">
        <f t="shared" si="172"/>
        <v/>
      </c>
      <c r="AI1242" s="7" t="str">
        <f t="shared" si="173"/>
        <v/>
      </c>
      <c r="AJ1242" s="7" t="str">
        <f t="shared" si="174"/>
        <v/>
      </c>
      <c r="AK1242" s="7" t="str">
        <f t="shared" si="175"/>
        <v/>
      </c>
      <c r="AL1242" s="7" t="str">
        <f t="shared" si="176"/>
        <v/>
      </c>
      <c r="AM1242" s="7" t="str">
        <f t="shared" si="177"/>
        <v/>
      </c>
      <c r="AN1242" s="8" t="str">
        <f>IF(C1242="","",COUNTIF($C$2:C1242,C1242))</f>
        <v/>
      </c>
      <c r="AO1242" s="8" t="str">
        <f t="shared" si="178"/>
        <v/>
      </c>
      <c r="AP1242" s="8" t="str">
        <f>IF(C1242="","",IF(AND(OR([1]Consulta!$C$29="",A1242=[1]Consulta!$C$29),OR([1]Consulta!$E$29="",B1242=[1]Consulta!$E$29),OR([1]Consulta!$G$29="",D1242=[1]Consulta!$G$29,R1242=[1]Consulta!$G$29)),ROW()-1,""))</f>
        <v/>
      </c>
    </row>
    <row r="1243" spans="1:42" ht="15" customHeight="1" x14ac:dyDescent="0.25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 t="str">
        <f t="shared" si="171"/>
        <v/>
      </c>
      <c r="AG1243" s="7" t="str">
        <f t="shared" si="179"/>
        <v/>
      </c>
      <c r="AH1243" s="7" t="str">
        <f t="shared" si="172"/>
        <v/>
      </c>
      <c r="AI1243" s="7" t="str">
        <f t="shared" si="173"/>
        <v/>
      </c>
      <c r="AJ1243" s="7" t="str">
        <f t="shared" si="174"/>
        <v/>
      </c>
      <c r="AK1243" s="7" t="str">
        <f t="shared" si="175"/>
        <v/>
      </c>
      <c r="AL1243" s="7" t="str">
        <f t="shared" si="176"/>
        <v/>
      </c>
      <c r="AM1243" s="7" t="str">
        <f t="shared" si="177"/>
        <v/>
      </c>
      <c r="AN1243" s="8" t="str">
        <f>IF(C1243="","",COUNTIF($C$2:C1243,C1243))</f>
        <v/>
      </c>
      <c r="AO1243" s="8" t="str">
        <f t="shared" si="178"/>
        <v/>
      </c>
      <c r="AP1243" s="8" t="str">
        <f>IF(C1243="","",IF(AND(OR([1]Consulta!$C$29="",A1243=[1]Consulta!$C$29),OR([1]Consulta!$E$29="",B1243=[1]Consulta!$E$29),OR([1]Consulta!$G$29="",D1243=[1]Consulta!$G$29,R1243=[1]Consulta!$G$29)),ROW()-1,""))</f>
        <v/>
      </c>
    </row>
    <row r="1244" spans="1:42" ht="15" customHeight="1" x14ac:dyDescent="0.25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 t="str">
        <f t="shared" si="171"/>
        <v/>
      </c>
      <c r="AG1244" s="7" t="str">
        <f t="shared" si="179"/>
        <v/>
      </c>
      <c r="AH1244" s="7" t="str">
        <f t="shared" si="172"/>
        <v/>
      </c>
      <c r="AI1244" s="7" t="str">
        <f t="shared" si="173"/>
        <v/>
      </c>
      <c r="AJ1244" s="7" t="str">
        <f t="shared" si="174"/>
        <v/>
      </c>
      <c r="AK1244" s="7" t="str">
        <f t="shared" si="175"/>
        <v/>
      </c>
      <c r="AL1244" s="7" t="str">
        <f t="shared" si="176"/>
        <v/>
      </c>
      <c r="AM1244" s="7" t="str">
        <f t="shared" si="177"/>
        <v/>
      </c>
      <c r="AN1244" s="8" t="str">
        <f>IF(C1244="","",COUNTIF($C$2:C1244,C1244))</f>
        <v/>
      </c>
      <c r="AO1244" s="8" t="str">
        <f t="shared" si="178"/>
        <v/>
      </c>
      <c r="AP1244" s="8" t="str">
        <f>IF(C1244="","",IF(AND(OR([1]Consulta!$C$29="",A1244=[1]Consulta!$C$29),OR([1]Consulta!$E$29="",B1244=[1]Consulta!$E$29),OR([1]Consulta!$G$29="",D1244=[1]Consulta!$G$29,R1244=[1]Consulta!$G$29)),ROW()-1,""))</f>
        <v/>
      </c>
    </row>
    <row r="1245" spans="1:42" ht="15" customHeight="1" x14ac:dyDescent="0.25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 t="str">
        <f t="shared" si="171"/>
        <v/>
      </c>
      <c r="AG1245" s="7" t="str">
        <f t="shared" si="179"/>
        <v/>
      </c>
      <c r="AH1245" s="7" t="str">
        <f t="shared" si="172"/>
        <v/>
      </c>
      <c r="AI1245" s="7" t="str">
        <f t="shared" si="173"/>
        <v/>
      </c>
      <c r="AJ1245" s="7" t="str">
        <f t="shared" si="174"/>
        <v/>
      </c>
      <c r="AK1245" s="7" t="str">
        <f t="shared" si="175"/>
        <v/>
      </c>
      <c r="AL1245" s="7" t="str">
        <f t="shared" si="176"/>
        <v/>
      </c>
      <c r="AM1245" s="7" t="str">
        <f t="shared" si="177"/>
        <v/>
      </c>
      <c r="AN1245" s="8" t="str">
        <f>IF(C1245="","",COUNTIF($C$2:C1245,C1245))</f>
        <v/>
      </c>
      <c r="AO1245" s="8" t="str">
        <f t="shared" si="178"/>
        <v/>
      </c>
      <c r="AP1245" s="8" t="str">
        <f>IF(C1245="","",IF(AND(OR([1]Consulta!$C$29="",A1245=[1]Consulta!$C$29),OR([1]Consulta!$E$29="",B1245=[1]Consulta!$E$29),OR([1]Consulta!$G$29="",D1245=[1]Consulta!$G$29,R1245=[1]Consulta!$G$29)),ROW()-1,""))</f>
        <v/>
      </c>
    </row>
    <row r="1246" spans="1:42" ht="15" customHeight="1" x14ac:dyDescent="0.25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 t="str">
        <f t="shared" si="171"/>
        <v/>
      </c>
      <c r="AG1246" s="7" t="str">
        <f t="shared" si="179"/>
        <v/>
      </c>
      <c r="AH1246" s="7" t="str">
        <f t="shared" si="172"/>
        <v/>
      </c>
      <c r="AI1246" s="7" t="str">
        <f t="shared" si="173"/>
        <v/>
      </c>
      <c r="AJ1246" s="7" t="str">
        <f t="shared" si="174"/>
        <v/>
      </c>
      <c r="AK1246" s="7" t="str">
        <f t="shared" si="175"/>
        <v/>
      </c>
      <c r="AL1246" s="7" t="str">
        <f t="shared" si="176"/>
        <v/>
      </c>
      <c r="AM1246" s="7" t="str">
        <f t="shared" si="177"/>
        <v/>
      </c>
      <c r="AN1246" s="8" t="str">
        <f>IF(C1246="","",COUNTIF($C$2:C1246,C1246))</f>
        <v/>
      </c>
      <c r="AO1246" s="8" t="str">
        <f t="shared" si="178"/>
        <v/>
      </c>
      <c r="AP1246" s="8" t="str">
        <f>IF(C1246="","",IF(AND(OR([1]Consulta!$C$29="",A1246=[1]Consulta!$C$29),OR([1]Consulta!$E$29="",B1246=[1]Consulta!$E$29),OR([1]Consulta!$G$29="",D1246=[1]Consulta!$G$29,R1246=[1]Consulta!$G$29)),ROW()-1,""))</f>
        <v/>
      </c>
    </row>
    <row r="1247" spans="1:42" ht="15" customHeight="1" x14ac:dyDescent="0.25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 t="str">
        <f t="shared" si="171"/>
        <v/>
      </c>
      <c r="AG1247" s="7" t="str">
        <f t="shared" si="179"/>
        <v/>
      </c>
      <c r="AH1247" s="7" t="str">
        <f t="shared" si="172"/>
        <v/>
      </c>
      <c r="AI1247" s="7" t="str">
        <f t="shared" si="173"/>
        <v/>
      </c>
      <c r="AJ1247" s="7" t="str">
        <f t="shared" si="174"/>
        <v/>
      </c>
      <c r="AK1247" s="7" t="str">
        <f t="shared" si="175"/>
        <v/>
      </c>
      <c r="AL1247" s="7" t="str">
        <f t="shared" si="176"/>
        <v/>
      </c>
      <c r="AM1247" s="7" t="str">
        <f t="shared" si="177"/>
        <v/>
      </c>
      <c r="AN1247" s="8" t="str">
        <f>IF(C1247="","",COUNTIF($C$2:C1247,C1247))</f>
        <v/>
      </c>
      <c r="AO1247" s="8" t="str">
        <f t="shared" si="178"/>
        <v/>
      </c>
      <c r="AP1247" s="8" t="str">
        <f>IF(C1247="","",IF(AND(OR([1]Consulta!$C$29="",A1247=[1]Consulta!$C$29),OR([1]Consulta!$E$29="",B1247=[1]Consulta!$E$29),OR([1]Consulta!$G$29="",D1247=[1]Consulta!$G$29,R1247=[1]Consulta!$G$29)),ROW()-1,""))</f>
        <v/>
      </c>
    </row>
    <row r="1248" spans="1:42" ht="15" customHeight="1" x14ac:dyDescent="0.25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 t="str">
        <f t="shared" si="171"/>
        <v/>
      </c>
      <c r="AG1248" s="7" t="str">
        <f t="shared" si="179"/>
        <v/>
      </c>
      <c r="AH1248" s="7" t="str">
        <f t="shared" si="172"/>
        <v/>
      </c>
      <c r="AI1248" s="7" t="str">
        <f t="shared" si="173"/>
        <v/>
      </c>
      <c r="AJ1248" s="7" t="str">
        <f t="shared" si="174"/>
        <v/>
      </c>
      <c r="AK1248" s="7" t="str">
        <f t="shared" si="175"/>
        <v/>
      </c>
      <c r="AL1248" s="7" t="str">
        <f t="shared" si="176"/>
        <v/>
      </c>
      <c r="AM1248" s="7" t="str">
        <f t="shared" si="177"/>
        <v/>
      </c>
      <c r="AN1248" s="8" t="str">
        <f>IF(C1248="","",COUNTIF($C$2:C1248,C1248))</f>
        <v/>
      </c>
      <c r="AO1248" s="8" t="str">
        <f t="shared" si="178"/>
        <v/>
      </c>
      <c r="AP1248" s="8" t="str">
        <f>IF(C1248="","",IF(AND(OR([1]Consulta!$C$29="",A1248=[1]Consulta!$C$29),OR([1]Consulta!$E$29="",B1248=[1]Consulta!$E$29),OR([1]Consulta!$G$29="",D1248=[1]Consulta!$G$29,R1248=[1]Consulta!$G$29)),ROW()-1,""))</f>
        <v/>
      </c>
    </row>
    <row r="1249" spans="1:42" ht="15" customHeight="1" x14ac:dyDescent="0.25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 t="str">
        <f t="shared" si="171"/>
        <v/>
      </c>
      <c r="AG1249" s="7" t="str">
        <f t="shared" si="179"/>
        <v/>
      </c>
      <c r="AH1249" s="7" t="str">
        <f t="shared" si="172"/>
        <v/>
      </c>
      <c r="AI1249" s="7" t="str">
        <f t="shared" si="173"/>
        <v/>
      </c>
      <c r="AJ1249" s="7" t="str">
        <f t="shared" si="174"/>
        <v/>
      </c>
      <c r="AK1249" s="7" t="str">
        <f t="shared" si="175"/>
        <v/>
      </c>
      <c r="AL1249" s="7" t="str">
        <f t="shared" si="176"/>
        <v/>
      </c>
      <c r="AM1249" s="7" t="str">
        <f t="shared" si="177"/>
        <v/>
      </c>
      <c r="AN1249" s="8" t="str">
        <f>IF(C1249="","",COUNTIF($C$2:C1249,C1249))</f>
        <v/>
      </c>
      <c r="AO1249" s="8" t="str">
        <f t="shared" si="178"/>
        <v/>
      </c>
      <c r="AP1249" s="8" t="str">
        <f>IF(C1249="","",IF(AND(OR([1]Consulta!$C$29="",A1249=[1]Consulta!$C$29),OR([1]Consulta!$E$29="",B1249=[1]Consulta!$E$29),OR([1]Consulta!$G$29="",D1249=[1]Consulta!$G$29,R1249=[1]Consulta!$G$29)),ROW()-1,""))</f>
        <v/>
      </c>
    </row>
    <row r="1250" spans="1:42" ht="15" customHeight="1" x14ac:dyDescent="0.25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 t="str">
        <f t="shared" si="171"/>
        <v/>
      </c>
      <c r="AG1250" s="7" t="str">
        <f t="shared" si="179"/>
        <v/>
      </c>
      <c r="AH1250" s="7" t="str">
        <f t="shared" si="172"/>
        <v/>
      </c>
      <c r="AI1250" s="7" t="str">
        <f t="shared" si="173"/>
        <v/>
      </c>
      <c r="AJ1250" s="7" t="str">
        <f t="shared" si="174"/>
        <v/>
      </c>
      <c r="AK1250" s="7" t="str">
        <f t="shared" si="175"/>
        <v/>
      </c>
      <c r="AL1250" s="7" t="str">
        <f t="shared" si="176"/>
        <v/>
      </c>
      <c r="AM1250" s="7" t="str">
        <f t="shared" si="177"/>
        <v/>
      </c>
      <c r="AN1250" s="8" t="str">
        <f>IF(C1250="","",COUNTIF($C$2:C1250,C1250))</f>
        <v/>
      </c>
      <c r="AO1250" s="8" t="str">
        <f t="shared" si="178"/>
        <v/>
      </c>
      <c r="AP1250" s="8" t="str">
        <f>IF(C1250="","",IF(AND(OR([1]Consulta!$C$29="",A1250=[1]Consulta!$C$29),OR([1]Consulta!$E$29="",B1250=[1]Consulta!$E$29),OR([1]Consulta!$G$29="",D1250=[1]Consulta!$G$29,R1250=[1]Consulta!$G$29)),ROW()-1,""))</f>
        <v/>
      </c>
    </row>
    <row r="1251" spans="1:42" ht="15" customHeight="1" x14ac:dyDescent="0.25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 t="str">
        <f t="shared" si="171"/>
        <v/>
      </c>
      <c r="AG1251" s="7" t="str">
        <f t="shared" si="179"/>
        <v/>
      </c>
      <c r="AH1251" s="7" t="str">
        <f t="shared" si="172"/>
        <v/>
      </c>
      <c r="AI1251" s="7" t="str">
        <f t="shared" si="173"/>
        <v/>
      </c>
      <c r="AJ1251" s="7" t="str">
        <f t="shared" si="174"/>
        <v/>
      </c>
      <c r="AK1251" s="7" t="str">
        <f t="shared" si="175"/>
        <v/>
      </c>
      <c r="AL1251" s="7" t="str">
        <f t="shared" si="176"/>
        <v/>
      </c>
      <c r="AM1251" s="7" t="str">
        <f t="shared" si="177"/>
        <v/>
      </c>
      <c r="AN1251" s="8" t="str">
        <f>IF(C1251="","",COUNTIF($C$2:C1251,C1251))</f>
        <v/>
      </c>
      <c r="AO1251" s="8" t="str">
        <f t="shared" si="178"/>
        <v/>
      </c>
      <c r="AP1251" s="8" t="str">
        <f>IF(C1251="","",IF(AND(OR([1]Consulta!$C$29="",A1251=[1]Consulta!$C$29),OR([1]Consulta!$E$29="",B1251=[1]Consulta!$E$29),OR([1]Consulta!$G$29="",D1251=[1]Consulta!$G$29,R1251=[1]Consulta!$G$29)),ROW()-1,""))</f>
        <v/>
      </c>
    </row>
    <row r="1252" spans="1:42" ht="15" customHeight="1" x14ac:dyDescent="0.25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 t="str">
        <f t="shared" si="171"/>
        <v/>
      </c>
      <c r="AG1252" s="7" t="str">
        <f t="shared" si="179"/>
        <v/>
      </c>
      <c r="AH1252" s="7" t="str">
        <f t="shared" si="172"/>
        <v/>
      </c>
      <c r="AI1252" s="7" t="str">
        <f t="shared" si="173"/>
        <v/>
      </c>
      <c r="AJ1252" s="7" t="str">
        <f t="shared" si="174"/>
        <v/>
      </c>
      <c r="AK1252" s="7" t="str">
        <f t="shared" si="175"/>
        <v/>
      </c>
      <c r="AL1252" s="7" t="str">
        <f t="shared" si="176"/>
        <v/>
      </c>
      <c r="AM1252" s="7" t="str">
        <f t="shared" si="177"/>
        <v/>
      </c>
      <c r="AN1252" s="8" t="str">
        <f>IF(C1252="","",COUNTIF($C$2:C1252,C1252))</f>
        <v/>
      </c>
      <c r="AO1252" s="8" t="str">
        <f t="shared" si="178"/>
        <v/>
      </c>
      <c r="AP1252" s="8" t="str">
        <f>IF(C1252="","",IF(AND(OR([1]Consulta!$C$29="",A1252=[1]Consulta!$C$29),OR([1]Consulta!$E$29="",B1252=[1]Consulta!$E$29),OR([1]Consulta!$G$29="",D1252=[1]Consulta!$G$29,R1252=[1]Consulta!$G$29)),ROW()-1,""))</f>
        <v/>
      </c>
    </row>
    <row r="1253" spans="1:42" ht="15" customHeight="1" x14ac:dyDescent="0.25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 t="str">
        <f t="shared" si="171"/>
        <v/>
      </c>
      <c r="AG1253" s="7" t="str">
        <f t="shared" si="179"/>
        <v/>
      </c>
      <c r="AH1253" s="7" t="str">
        <f t="shared" si="172"/>
        <v/>
      </c>
      <c r="AI1253" s="7" t="str">
        <f t="shared" si="173"/>
        <v/>
      </c>
      <c r="AJ1253" s="7" t="str">
        <f t="shared" si="174"/>
        <v/>
      </c>
      <c r="AK1253" s="7" t="str">
        <f t="shared" si="175"/>
        <v/>
      </c>
      <c r="AL1253" s="7" t="str">
        <f t="shared" si="176"/>
        <v/>
      </c>
      <c r="AM1253" s="7" t="str">
        <f t="shared" si="177"/>
        <v/>
      </c>
      <c r="AN1253" s="8" t="str">
        <f>IF(C1253="","",COUNTIF($C$2:C1253,C1253))</f>
        <v/>
      </c>
      <c r="AO1253" s="8" t="str">
        <f t="shared" si="178"/>
        <v/>
      </c>
      <c r="AP1253" s="8" t="str">
        <f>IF(C1253="","",IF(AND(OR([1]Consulta!$C$29="",A1253=[1]Consulta!$C$29),OR([1]Consulta!$E$29="",B1253=[1]Consulta!$E$29),OR([1]Consulta!$G$29="",D1253=[1]Consulta!$G$29,R1253=[1]Consulta!$G$29)),ROW()-1,""))</f>
        <v/>
      </c>
    </row>
    <row r="1254" spans="1:42" ht="15" customHeight="1" x14ac:dyDescent="0.25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 t="str">
        <f t="shared" si="171"/>
        <v/>
      </c>
      <c r="AG1254" s="7" t="str">
        <f t="shared" si="179"/>
        <v/>
      </c>
      <c r="AH1254" s="7" t="str">
        <f t="shared" si="172"/>
        <v/>
      </c>
      <c r="AI1254" s="7" t="str">
        <f t="shared" si="173"/>
        <v/>
      </c>
      <c r="AJ1254" s="7" t="str">
        <f t="shared" si="174"/>
        <v/>
      </c>
      <c r="AK1254" s="7" t="str">
        <f t="shared" si="175"/>
        <v/>
      </c>
      <c r="AL1254" s="7" t="str">
        <f t="shared" si="176"/>
        <v/>
      </c>
      <c r="AM1254" s="7" t="str">
        <f t="shared" si="177"/>
        <v/>
      </c>
      <c r="AN1254" s="8" t="str">
        <f>IF(C1254="","",COUNTIF($C$2:C1254,C1254))</f>
        <v/>
      </c>
      <c r="AO1254" s="8" t="str">
        <f t="shared" si="178"/>
        <v/>
      </c>
      <c r="AP1254" s="8" t="str">
        <f>IF(C1254="","",IF(AND(OR([1]Consulta!$C$29="",A1254=[1]Consulta!$C$29),OR([1]Consulta!$E$29="",B1254=[1]Consulta!$E$29),OR([1]Consulta!$G$29="",D1254=[1]Consulta!$G$29,R1254=[1]Consulta!$G$29)),ROW()-1,""))</f>
        <v/>
      </c>
    </row>
    <row r="1255" spans="1:42" ht="15" customHeight="1" x14ac:dyDescent="0.25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 t="str">
        <f t="shared" si="171"/>
        <v/>
      </c>
      <c r="AG1255" s="7" t="str">
        <f t="shared" si="179"/>
        <v/>
      </c>
      <c r="AH1255" s="7" t="str">
        <f t="shared" si="172"/>
        <v/>
      </c>
      <c r="AI1255" s="7" t="str">
        <f t="shared" si="173"/>
        <v/>
      </c>
      <c r="AJ1255" s="7" t="str">
        <f t="shared" si="174"/>
        <v/>
      </c>
      <c r="AK1255" s="7" t="str">
        <f t="shared" si="175"/>
        <v/>
      </c>
      <c r="AL1255" s="7" t="str">
        <f t="shared" si="176"/>
        <v/>
      </c>
      <c r="AM1255" s="7" t="str">
        <f t="shared" si="177"/>
        <v/>
      </c>
      <c r="AN1255" s="8" t="str">
        <f>IF(C1255="","",COUNTIF($C$2:C1255,C1255))</f>
        <v/>
      </c>
      <c r="AO1255" s="8" t="str">
        <f t="shared" si="178"/>
        <v/>
      </c>
      <c r="AP1255" s="8" t="str">
        <f>IF(C1255="","",IF(AND(OR([1]Consulta!$C$29="",A1255=[1]Consulta!$C$29),OR([1]Consulta!$E$29="",B1255=[1]Consulta!$E$29),OR([1]Consulta!$G$29="",D1255=[1]Consulta!$G$29,R1255=[1]Consulta!$G$29)),ROW()-1,""))</f>
        <v/>
      </c>
    </row>
    <row r="1256" spans="1:42" ht="15" customHeight="1" x14ac:dyDescent="0.25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 t="str">
        <f t="shared" si="171"/>
        <v/>
      </c>
      <c r="AG1256" s="7" t="str">
        <f t="shared" si="179"/>
        <v/>
      </c>
      <c r="AH1256" s="7" t="str">
        <f t="shared" si="172"/>
        <v/>
      </c>
      <c r="AI1256" s="7" t="str">
        <f t="shared" si="173"/>
        <v/>
      </c>
      <c r="AJ1256" s="7" t="str">
        <f t="shared" si="174"/>
        <v/>
      </c>
      <c r="AK1256" s="7" t="str">
        <f t="shared" si="175"/>
        <v/>
      </c>
      <c r="AL1256" s="7" t="str">
        <f t="shared" si="176"/>
        <v/>
      </c>
      <c r="AM1256" s="7" t="str">
        <f t="shared" si="177"/>
        <v/>
      </c>
      <c r="AN1256" s="8" t="str">
        <f>IF(C1256="","",COUNTIF($C$2:C1256,C1256))</f>
        <v/>
      </c>
      <c r="AO1256" s="8" t="str">
        <f t="shared" si="178"/>
        <v/>
      </c>
      <c r="AP1256" s="8" t="str">
        <f>IF(C1256="","",IF(AND(OR([1]Consulta!$C$29="",A1256=[1]Consulta!$C$29),OR([1]Consulta!$E$29="",B1256=[1]Consulta!$E$29),OR([1]Consulta!$G$29="",D1256=[1]Consulta!$G$29,R1256=[1]Consulta!$G$29)),ROW()-1,""))</f>
        <v/>
      </c>
    </row>
    <row r="1257" spans="1:42" ht="15" customHeight="1" x14ac:dyDescent="0.25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 t="str">
        <f t="shared" si="171"/>
        <v/>
      </c>
      <c r="AG1257" s="7" t="str">
        <f t="shared" si="179"/>
        <v/>
      </c>
      <c r="AH1257" s="7" t="str">
        <f t="shared" si="172"/>
        <v/>
      </c>
      <c r="AI1257" s="7" t="str">
        <f t="shared" si="173"/>
        <v/>
      </c>
      <c r="AJ1257" s="7" t="str">
        <f t="shared" si="174"/>
        <v/>
      </c>
      <c r="AK1257" s="7" t="str">
        <f t="shared" si="175"/>
        <v/>
      </c>
      <c r="AL1257" s="7" t="str">
        <f t="shared" si="176"/>
        <v/>
      </c>
      <c r="AM1257" s="7" t="str">
        <f t="shared" si="177"/>
        <v/>
      </c>
      <c r="AN1257" s="8" t="str">
        <f>IF(C1257="","",COUNTIF($C$2:C1257,C1257))</f>
        <v/>
      </c>
      <c r="AO1257" s="8" t="str">
        <f t="shared" si="178"/>
        <v/>
      </c>
      <c r="AP1257" s="8" t="str">
        <f>IF(C1257="","",IF(AND(OR([1]Consulta!$C$29="",A1257=[1]Consulta!$C$29),OR([1]Consulta!$E$29="",B1257=[1]Consulta!$E$29),OR([1]Consulta!$G$29="",D1257=[1]Consulta!$G$29,R1257=[1]Consulta!$G$29)),ROW()-1,""))</f>
        <v/>
      </c>
    </row>
    <row r="1258" spans="1:42" ht="15" customHeight="1" x14ac:dyDescent="0.25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 t="str">
        <f t="shared" si="171"/>
        <v/>
      </c>
      <c r="AG1258" s="7" t="str">
        <f t="shared" si="179"/>
        <v/>
      </c>
      <c r="AH1258" s="7" t="str">
        <f t="shared" si="172"/>
        <v/>
      </c>
      <c r="AI1258" s="7" t="str">
        <f t="shared" si="173"/>
        <v/>
      </c>
      <c r="AJ1258" s="7" t="str">
        <f t="shared" si="174"/>
        <v/>
      </c>
      <c r="AK1258" s="7" t="str">
        <f t="shared" si="175"/>
        <v/>
      </c>
      <c r="AL1258" s="7" t="str">
        <f t="shared" si="176"/>
        <v/>
      </c>
      <c r="AM1258" s="7" t="str">
        <f t="shared" si="177"/>
        <v/>
      </c>
      <c r="AN1258" s="8" t="str">
        <f>IF(C1258="","",COUNTIF($C$2:C1258,C1258))</f>
        <v/>
      </c>
      <c r="AO1258" s="8" t="str">
        <f t="shared" si="178"/>
        <v/>
      </c>
      <c r="AP1258" s="8" t="str">
        <f>IF(C1258="","",IF(AND(OR([1]Consulta!$C$29="",A1258=[1]Consulta!$C$29),OR([1]Consulta!$E$29="",B1258=[1]Consulta!$E$29),OR([1]Consulta!$G$29="",D1258=[1]Consulta!$G$29,R1258=[1]Consulta!$G$29)),ROW()-1,""))</f>
        <v/>
      </c>
    </row>
    <row r="1259" spans="1:42" ht="15" customHeight="1" x14ac:dyDescent="0.25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 t="str">
        <f t="shared" si="171"/>
        <v/>
      </c>
      <c r="AG1259" s="7" t="str">
        <f t="shared" si="179"/>
        <v/>
      </c>
      <c r="AH1259" s="7" t="str">
        <f t="shared" si="172"/>
        <v/>
      </c>
      <c r="AI1259" s="7" t="str">
        <f t="shared" si="173"/>
        <v/>
      </c>
      <c r="AJ1259" s="7" t="str">
        <f t="shared" si="174"/>
        <v/>
      </c>
      <c r="AK1259" s="7" t="str">
        <f t="shared" si="175"/>
        <v/>
      </c>
      <c r="AL1259" s="7" t="str">
        <f t="shared" si="176"/>
        <v/>
      </c>
      <c r="AM1259" s="7" t="str">
        <f t="shared" si="177"/>
        <v/>
      </c>
      <c r="AN1259" s="8" t="str">
        <f>IF(C1259="","",COUNTIF($C$2:C1259,C1259))</f>
        <v/>
      </c>
      <c r="AO1259" s="8" t="str">
        <f t="shared" si="178"/>
        <v/>
      </c>
      <c r="AP1259" s="8" t="str">
        <f>IF(C1259="","",IF(AND(OR([1]Consulta!$C$29="",A1259=[1]Consulta!$C$29),OR([1]Consulta!$E$29="",B1259=[1]Consulta!$E$29),OR([1]Consulta!$G$29="",D1259=[1]Consulta!$G$29,R1259=[1]Consulta!$G$29)),ROW()-1,""))</f>
        <v/>
      </c>
    </row>
    <row r="1260" spans="1:42" ht="15" customHeight="1" x14ac:dyDescent="0.25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 t="str">
        <f t="shared" si="171"/>
        <v/>
      </c>
      <c r="AG1260" s="7" t="str">
        <f t="shared" si="179"/>
        <v/>
      </c>
      <c r="AH1260" s="7" t="str">
        <f t="shared" si="172"/>
        <v/>
      </c>
      <c r="AI1260" s="7" t="str">
        <f t="shared" si="173"/>
        <v/>
      </c>
      <c r="AJ1260" s="7" t="str">
        <f t="shared" si="174"/>
        <v/>
      </c>
      <c r="AK1260" s="7" t="str">
        <f t="shared" si="175"/>
        <v/>
      </c>
      <c r="AL1260" s="7" t="str">
        <f t="shared" si="176"/>
        <v/>
      </c>
      <c r="AM1260" s="7" t="str">
        <f t="shared" si="177"/>
        <v/>
      </c>
      <c r="AN1260" s="8" t="str">
        <f>IF(C1260="","",COUNTIF($C$2:C1260,C1260))</f>
        <v/>
      </c>
      <c r="AO1260" s="8" t="str">
        <f t="shared" si="178"/>
        <v/>
      </c>
      <c r="AP1260" s="8" t="str">
        <f>IF(C1260="","",IF(AND(OR([1]Consulta!$C$29="",A1260=[1]Consulta!$C$29),OR([1]Consulta!$E$29="",B1260=[1]Consulta!$E$29),OR([1]Consulta!$G$29="",D1260=[1]Consulta!$G$29,R1260=[1]Consulta!$G$29)),ROW()-1,""))</f>
        <v/>
      </c>
    </row>
    <row r="1261" spans="1:42" ht="15" customHeight="1" x14ac:dyDescent="0.25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 t="str">
        <f t="shared" si="171"/>
        <v/>
      </c>
      <c r="AG1261" s="7" t="str">
        <f t="shared" si="179"/>
        <v/>
      </c>
      <c r="AH1261" s="7" t="str">
        <f t="shared" si="172"/>
        <v/>
      </c>
      <c r="AI1261" s="7" t="str">
        <f t="shared" si="173"/>
        <v/>
      </c>
      <c r="AJ1261" s="7" t="str">
        <f t="shared" si="174"/>
        <v/>
      </c>
      <c r="AK1261" s="7" t="str">
        <f t="shared" si="175"/>
        <v/>
      </c>
      <c r="AL1261" s="7" t="str">
        <f t="shared" si="176"/>
        <v/>
      </c>
      <c r="AM1261" s="7" t="str">
        <f t="shared" si="177"/>
        <v/>
      </c>
      <c r="AN1261" s="8" t="str">
        <f>IF(C1261="","",COUNTIF($C$2:C1261,C1261))</f>
        <v/>
      </c>
      <c r="AO1261" s="8" t="str">
        <f t="shared" si="178"/>
        <v/>
      </c>
      <c r="AP1261" s="8" t="str">
        <f>IF(C1261="","",IF(AND(OR([1]Consulta!$C$29="",A1261=[1]Consulta!$C$29),OR([1]Consulta!$E$29="",B1261=[1]Consulta!$E$29),OR([1]Consulta!$G$29="",D1261=[1]Consulta!$G$29,R1261=[1]Consulta!$G$29)),ROW()-1,""))</f>
        <v/>
      </c>
    </row>
    <row r="1262" spans="1:42" ht="15" customHeight="1" x14ac:dyDescent="0.25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 t="str">
        <f t="shared" si="171"/>
        <v/>
      </c>
      <c r="AG1262" s="7" t="str">
        <f t="shared" si="179"/>
        <v/>
      </c>
      <c r="AH1262" s="7" t="str">
        <f t="shared" si="172"/>
        <v/>
      </c>
      <c r="AI1262" s="7" t="str">
        <f t="shared" si="173"/>
        <v/>
      </c>
      <c r="AJ1262" s="7" t="str">
        <f t="shared" si="174"/>
        <v/>
      </c>
      <c r="AK1262" s="7" t="str">
        <f t="shared" si="175"/>
        <v/>
      </c>
      <c r="AL1262" s="7" t="str">
        <f t="shared" si="176"/>
        <v/>
      </c>
      <c r="AM1262" s="7" t="str">
        <f t="shared" si="177"/>
        <v/>
      </c>
      <c r="AN1262" s="8" t="str">
        <f>IF(C1262="","",COUNTIF($C$2:C1262,C1262))</f>
        <v/>
      </c>
      <c r="AO1262" s="8" t="str">
        <f t="shared" si="178"/>
        <v/>
      </c>
      <c r="AP1262" s="8" t="str">
        <f>IF(C1262="","",IF(AND(OR([1]Consulta!$C$29="",A1262=[1]Consulta!$C$29),OR([1]Consulta!$E$29="",B1262=[1]Consulta!$E$29),OR([1]Consulta!$G$29="",D1262=[1]Consulta!$G$29,R1262=[1]Consulta!$G$29)),ROW()-1,""))</f>
        <v/>
      </c>
    </row>
    <row r="1263" spans="1:42" ht="15" customHeight="1" x14ac:dyDescent="0.25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 t="str">
        <f t="shared" si="171"/>
        <v/>
      </c>
      <c r="AG1263" s="7" t="str">
        <f t="shared" si="179"/>
        <v/>
      </c>
      <c r="AH1263" s="7" t="str">
        <f t="shared" si="172"/>
        <v/>
      </c>
      <c r="AI1263" s="7" t="str">
        <f t="shared" si="173"/>
        <v/>
      </c>
      <c r="AJ1263" s="7" t="str">
        <f t="shared" si="174"/>
        <v/>
      </c>
      <c r="AK1263" s="7" t="str">
        <f t="shared" si="175"/>
        <v/>
      </c>
      <c r="AL1263" s="7" t="str">
        <f t="shared" si="176"/>
        <v/>
      </c>
      <c r="AM1263" s="7" t="str">
        <f t="shared" si="177"/>
        <v/>
      </c>
      <c r="AN1263" s="8" t="str">
        <f>IF(C1263="","",COUNTIF($C$2:C1263,C1263))</f>
        <v/>
      </c>
      <c r="AO1263" s="8" t="str">
        <f t="shared" si="178"/>
        <v/>
      </c>
      <c r="AP1263" s="8" t="str">
        <f>IF(C1263="","",IF(AND(OR([1]Consulta!$C$29="",A1263=[1]Consulta!$C$29),OR([1]Consulta!$E$29="",B1263=[1]Consulta!$E$29),OR([1]Consulta!$G$29="",D1263=[1]Consulta!$G$29,R1263=[1]Consulta!$G$29)),ROW()-1,""))</f>
        <v/>
      </c>
    </row>
    <row r="1264" spans="1:42" ht="15" customHeight="1" x14ac:dyDescent="0.25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 t="str">
        <f t="shared" si="171"/>
        <v/>
      </c>
      <c r="AG1264" s="7" t="str">
        <f t="shared" si="179"/>
        <v/>
      </c>
      <c r="AH1264" s="7" t="str">
        <f t="shared" si="172"/>
        <v/>
      </c>
      <c r="AI1264" s="7" t="str">
        <f t="shared" si="173"/>
        <v/>
      </c>
      <c r="AJ1264" s="7" t="str">
        <f t="shared" si="174"/>
        <v/>
      </c>
      <c r="AK1264" s="7" t="str">
        <f t="shared" si="175"/>
        <v/>
      </c>
      <c r="AL1264" s="7" t="str">
        <f t="shared" si="176"/>
        <v/>
      </c>
      <c r="AM1264" s="7" t="str">
        <f t="shared" si="177"/>
        <v/>
      </c>
      <c r="AN1264" s="8" t="str">
        <f>IF(C1264="","",COUNTIF($C$2:C1264,C1264))</f>
        <v/>
      </c>
      <c r="AO1264" s="8" t="str">
        <f t="shared" si="178"/>
        <v/>
      </c>
      <c r="AP1264" s="8" t="str">
        <f>IF(C1264="","",IF(AND(OR([1]Consulta!$C$29="",A1264=[1]Consulta!$C$29),OR([1]Consulta!$E$29="",B1264=[1]Consulta!$E$29),OR([1]Consulta!$G$29="",D1264=[1]Consulta!$G$29,R1264=[1]Consulta!$G$29)),ROW()-1,""))</f>
        <v/>
      </c>
    </row>
    <row r="1265" spans="1:42" ht="15" customHeight="1" x14ac:dyDescent="0.25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 t="str">
        <f t="shared" si="171"/>
        <v/>
      </c>
      <c r="AG1265" s="7" t="str">
        <f t="shared" si="179"/>
        <v/>
      </c>
      <c r="AH1265" s="7" t="str">
        <f t="shared" si="172"/>
        <v/>
      </c>
      <c r="AI1265" s="7" t="str">
        <f t="shared" si="173"/>
        <v/>
      </c>
      <c r="AJ1265" s="7" t="str">
        <f t="shared" si="174"/>
        <v/>
      </c>
      <c r="AK1265" s="7" t="str">
        <f t="shared" si="175"/>
        <v/>
      </c>
      <c r="AL1265" s="7" t="str">
        <f t="shared" si="176"/>
        <v/>
      </c>
      <c r="AM1265" s="7" t="str">
        <f t="shared" si="177"/>
        <v/>
      </c>
      <c r="AN1265" s="8" t="str">
        <f>IF(C1265="","",COUNTIF($C$2:C1265,C1265))</f>
        <v/>
      </c>
      <c r="AO1265" s="8" t="str">
        <f t="shared" si="178"/>
        <v/>
      </c>
      <c r="AP1265" s="8" t="str">
        <f>IF(C1265="","",IF(AND(OR([1]Consulta!$C$29="",A1265=[1]Consulta!$C$29),OR([1]Consulta!$E$29="",B1265=[1]Consulta!$E$29),OR([1]Consulta!$G$29="",D1265=[1]Consulta!$G$29,R1265=[1]Consulta!$G$29)),ROW()-1,""))</f>
        <v/>
      </c>
    </row>
    <row r="1266" spans="1:42" ht="15" customHeight="1" x14ac:dyDescent="0.25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 t="str">
        <f t="shared" si="171"/>
        <v/>
      </c>
      <c r="AG1266" s="7" t="str">
        <f t="shared" si="179"/>
        <v/>
      </c>
      <c r="AH1266" s="7" t="str">
        <f t="shared" si="172"/>
        <v/>
      </c>
      <c r="AI1266" s="7" t="str">
        <f t="shared" si="173"/>
        <v/>
      </c>
      <c r="AJ1266" s="7" t="str">
        <f t="shared" si="174"/>
        <v/>
      </c>
      <c r="AK1266" s="7" t="str">
        <f t="shared" si="175"/>
        <v/>
      </c>
      <c r="AL1266" s="7" t="str">
        <f t="shared" si="176"/>
        <v/>
      </c>
      <c r="AM1266" s="7" t="str">
        <f t="shared" si="177"/>
        <v/>
      </c>
      <c r="AN1266" s="8" t="str">
        <f>IF(C1266="","",COUNTIF($C$2:C1266,C1266))</f>
        <v/>
      </c>
      <c r="AO1266" s="8" t="str">
        <f t="shared" si="178"/>
        <v/>
      </c>
      <c r="AP1266" s="8" t="str">
        <f>IF(C1266="","",IF(AND(OR([1]Consulta!$C$29="",A1266=[1]Consulta!$C$29),OR([1]Consulta!$E$29="",B1266=[1]Consulta!$E$29),OR([1]Consulta!$G$29="",D1266=[1]Consulta!$G$29,R1266=[1]Consulta!$G$29)),ROW()-1,""))</f>
        <v/>
      </c>
    </row>
    <row r="1267" spans="1:42" ht="15" customHeight="1" x14ac:dyDescent="0.25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 t="str">
        <f t="shared" si="171"/>
        <v/>
      </c>
      <c r="AG1267" s="7" t="str">
        <f t="shared" si="179"/>
        <v/>
      </c>
      <c r="AH1267" s="7" t="str">
        <f t="shared" si="172"/>
        <v/>
      </c>
      <c r="AI1267" s="7" t="str">
        <f t="shared" si="173"/>
        <v/>
      </c>
      <c r="AJ1267" s="7" t="str">
        <f t="shared" si="174"/>
        <v/>
      </c>
      <c r="AK1267" s="7" t="str">
        <f t="shared" si="175"/>
        <v/>
      </c>
      <c r="AL1267" s="7" t="str">
        <f t="shared" si="176"/>
        <v/>
      </c>
      <c r="AM1267" s="7" t="str">
        <f t="shared" si="177"/>
        <v/>
      </c>
      <c r="AN1267" s="8" t="str">
        <f>IF(C1267="","",COUNTIF($C$2:C1267,C1267))</f>
        <v/>
      </c>
      <c r="AO1267" s="8" t="str">
        <f t="shared" si="178"/>
        <v/>
      </c>
      <c r="AP1267" s="8" t="str">
        <f>IF(C1267="","",IF(AND(OR([1]Consulta!$C$29="",A1267=[1]Consulta!$C$29),OR([1]Consulta!$E$29="",B1267=[1]Consulta!$E$29),OR([1]Consulta!$G$29="",D1267=[1]Consulta!$G$29,R1267=[1]Consulta!$G$29)),ROW()-1,""))</f>
        <v/>
      </c>
    </row>
    <row r="1268" spans="1:42" ht="15" customHeight="1" x14ac:dyDescent="0.25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 t="str">
        <f t="shared" si="171"/>
        <v/>
      </c>
      <c r="AG1268" s="7" t="str">
        <f t="shared" si="179"/>
        <v/>
      </c>
      <c r="AH1268" s="7" t="str">
        <f t="shared" si="172"/>
        <v/>
      </c>
      <c r="AI1268" s="7" t="str">
        <f t="shared" si="173"/>
        <v/>
      </c>
      <c r="AJ1268" s="7" t="str">
        <f t="shared" si="174"/>
        <v/>
      </c>
      <c r="AK1268" s="7" t="str">
        <f t="shared" si="175"/>
        <v/>
      </c>
      <c r="AL1268" s="7" t="str">
        <f t="shared" si="176"/>
        <v/>
      </c>
      <c r="AM1268" s="7" t="str">
        <f t="shared" si="177"/>
        <v/>
      </c>
      <c r="AN1268" s="8" t="str">
        <f>IF(C1268="","",COUNTIF($C$2:C1268,C1268))</f>
        <v/>
      </c>
      <c r="AO1268" s="8" t="str">
        <f t="shared" si="178"/>
        <v/>
      </c>
      <c r="AP1268" s="8" t="str">
        <f>IF(C1268="","",IF(AND(OR([1]Consulta!$C$29="",A1268=[1]Consulta!$C$29),OR([1]Consulta!$E$29="",B1268=[1]Consulta!$E$29),OR([1]Consulta!$G$29="",D1268=[1]Consulta!$G$29,R1268=[1]Consulta!$G$29)),ROW()-1,""))</f>
        <v/>
      </c>
    </row>
    <row r="1269" spans="1:42" ht="15" customHeight="1" x14ac:dyDescent="0.25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 t="str">
        <f t="shared" si="171"/>
        <v/>
      </c>
      <c r="AG1269" s="7" t="str">
        <f t="shared" si="179"/>
        <v/>
      </c>
      <c r="AH1269" s="7" t="str">
        <f t="shared" si="172"/>
        <v/>
      </c>
      <c r="AI1269" s="7" t="str">
        <f t="shared" si="173"/>
        <v/>
      </c>
      <c r="AJ1269" s="7" t="str">
        <f t="shared" si="174"/>
        <v/>
      </c>
      <c r="AK1269" s="7" t="str">
        <f t="shared" si="175"/>
        <v/>
      </c>
      <c r="AL1269" s="7" t="str">
        <f t="shared" si="176"/>
        <v/>
      </c>
      <c r="AM1269" s="7" t="str">
        <f t="shared" si="177"/>
        <v/>
      </c>
      <c r="AN1269" s="8" t="str">
        <f>IF(C1269="","",COUNTIF($C$2:C1269,C1269))</f>
        <v/>
      </c>
      <c r="AO1269" s="8" t="str">
        <f t="shared" si="178"/>
        <v/>
      </c>
      <c r="AP1269" s="8" t="str">
        <f>IF(C1269="","",IF(AND(OR([1]Consulta!$C$29="",A1269=[1]Consulta!$C$29),OR([1]Consulta!$E$29="",B1269=[1]Consulta!$E$29),OR([1]Consulta!$G$29="",D1269=[1]Consulta!$G$29,R1269=[1]Consulta!$G$29)),ROW()-1,""))</f>
        <v/>
      </c>
    </row>
    <row r="1270" spans="1:42" ht="15" customHeight="1" x14ac:dyDescent="0.25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 t="str">
        <f t="shared" si="171"/>
        <v/>
      </c>
      <c r="AG1270" s="7" t="str">
        <f t="shared" si="179"/>
        <v/>
      </c>
      <c r="AH1270" s="7" t="str">
        <f t="shared" si="172"/>
        <v/>
      </c>
      <c r="AI1270" s="7" t="str">
        <f t="shared" si="173"/>
        <v/>
      </c>
      <c r="AJ1270" s="7" t="str">
        <f t="shared" si="174"/>
        <v/>
      </c>
      <c r="AK1270" s="7" t="str">
        <f t="shared" si="175"/>
        <v/>
      </c>
      <c r="AL1270" s="7" t="str">
        <f t="shared" si="176"/>
        <v/>
      </c>
      <c r="AM1270" s="7" t="str">
        <f t="shared" si="177"/>
        <v/>
      </c>
      <c r="AN1270" s="8" t="str">
        <f>IF(C1270="","",COUNTIF($C$2:C1270,C1270))</f>
        <v/>
      </c>
      <c r="AO1270" s="8" t="str">
        <f t="shared" si="178"/>
        <v/>
      </c>
      <c r="AP1270" s="8" t="str">
        <f>IF(C1270="","",IF(AND(OR([1]Consulta!$C$29="",A1270=[1]Consulta!$C$29),OR([1]Consulta!$E$29="",B1270=[1]Consulta!$E$29),OR([1]Consulta!$G$29="",D1270=[1]Consulta!$G$29,R1270=[1]Consulta!$G$29)),ROW()-1,""))</f>
        <v/>
      </c>
    </row>
    <row r="1271" spans="1:42" ht="15" customHeight="1" x14ac:dyDescent="0.25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 t="str">
        <f t="shared" si="171"/>
        <v/>
      </c>
      <c r="AG1271" s="7" t="str">
        <f t="shared" si="179"/>
        <v/>
      </c>
      <c r="AH1271" s="7" t="str">
        <f t="shared" si="172"/>
        <v/>
      </c>
      <c r="AI1271" s="7" t="str">
        <f t="shared" si="173"/>
        <v/>
      </c>
      <c r="AJ1271" s="7" t="str">
        <f t="shared" si="174"/>
        <v/>
      </c>
      <c r="AK1271" s="7" t="str">
        <f t="shared" si="175"/>
        <v/>
      </c>
      <c r="AL1271" s="7" t="str">
        <f t="shared" si="176"/>
        <v/>
      </c>
      <c r="AM1271" s="7" t="str">
        <f t="shared" si="177"/>
        <v/>
      </c>
      <c r="AN1271" s="8" t="str">
        <f>IF(C1271="","",COUNTIF($C$2:C1271,C1271))</f>
        <v/>
      </c>
      <c r="AO1271" s="8" t="str">
        <f t="shared" si="178"/>
        <v/>
      </c>
      <c r="AP1271" s="8" t="str">
        <f>IF(C1271="","",IF(AND(OR([1]Consulta!$C$29="",A1271=[1]Consulta!$C$29),OR([1]Consulta!$E$29="",B1271=[1]Consulta!$E$29),OR([1]Consulta!$G$29="",D1271=[1]Consulta!$G$29,R1271=[1]Consulta!$G$29)),ROW()-1,""))</f>
        <v/>
      </c>
    </row>
    <row r="1272" spans="1:42" ht="15" customHeight="1" x14ac:dyDescent="0.25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 t="str">
        <f t="shared" si="171"/>
        <v/>
      </c>
      <c r="AG1272" s="7" t="str">
        <f t="shared" si="179"/>
        <v/>
      </c>
      <c r="AH1272" s="7" t="str">
        <f t="shared" si="172"/>
        <v/>
      </c>
      <c r="AI1272" s="7" t="str">
        <f t="shared" si="173"/>
        <v/>
      </c>
      <c r="AJ1272" s="7" t="str">
        <f t="shared" si="174"/>
        <v/>
      </c>
      <c r="AK1272" s="7" t="str">
        <f t="shared" si="175"/>
        <v/>
      </c>
      <c r="AL1272" s="7" t="str">
        <f t="shared" si="176"/>
        <v/>
      </c>
      <c r="AM1272" s="7" t="str">
        <f t="shared" si="177"/>
        <v/>
      </c>
      <c r="AN1272" s="8" t="str">
        <f>IF(C1272="","",COUNTIF($C$2:C1272,C1272))</f>
        <v/>
      </c>
      <c r="AO1272" s="8" t="str">
        <f t="shared" si="178"/>
        <v/>
      </c>
      <c r="AP1272" s="8" t="str">
        <f>IF(C1272="","",IF(AND(OR([1]Consulta!$C$29="",A1272=[1]Consulta!$C$29),OR([1]Consulta!$E$29="",B1272=[1]Consulta!$E$29),OR([1]Consulta!$G$29="",D1272=[1]Consulta!$G$29,R1272=[1]Consulta!$G$29)),ROW()-1,""))</f>
        <v/>
      </c>
    </row>
    <row r="1273" spans="1:42" ht="15" customHeight="1" x14ac:dyDescent="0.25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 t="str">
        <f t="shared" si="171"/>
        <v/>
      </c>
      <c r="AG1273" s="7" t="str">
        <f t="shared" si="179"/>
        <v/>
      </c>
      <c r="AH1273" s="7" t="str">
        <f t="shared" si="172"/>
        <v/>
      </c>
      <c r="AI1273" s="7" t="str">
        <f t="shared" si="173"/>
        <v/>
      </c>
      <c r="AJ1273" s="7" t="str">
        <f t="shared" si="174"/>
        <v/>
      </c>
      <c r="AK1273" s="7" t="str">
        <f t="shared" si="175"/>
        <v/>
      </c>
      <c r="AL1273" s="7" t="str">
        <f t="shared" si="176"/>
        <v/>
      </c>
      <c r="AM1273" s="7" t="str">
        <f t="shared" si="177"/>
        <v/>
      </c>
      <c r="AN1273" s="8" t="str">
        <f>IF(C1273="","",COUNTIF($C$2:C1273,C1273))</f>
        <v/>
      </c>
      <c r="AO1273" s="8" t="str">
        <f t="shared" si="178"/>
        <v/>
      </c>
      <c r="AP1273" s="8" t="str">
        <f>IF(C1273="","",IF(AND(OR([1]Consulta!$C$29="",A1273=[1]Consulta!$C$29),OR([1]Consulta!$E$29="",B1273=[1]Consulta!$E$29),OR([1]Consulta!$G$29="",D1273=[1]Consulta!$G$29,R1273=[1]Consulta!$G$29)),ROW()-1,""))</f>
        <v/>
      </c>
    </row>
    <row r="1274" spans="1:42" ht="15" customHeight="1" x14ac:dyDescent="0.25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 t="str">
        <f t="shared" si="171"/>
        <v/>
      </c>
      <c r="AG1274" s="7" t="str">
        <f t="shared" si="179"/>
        <v/>
      </c>
      <c r="AH1274" s="7" t="str">
        <f t="shared" si="172"/>
        <v/>
      </c>
      <c r="AI1274" s="7" t="str">
        <f t="shared" si="173"/>
        <v/>
      </c>
      <c r="AJ1274" s="7" t="str">
        <f t="shared" si="174"/>
        <v/>
      </c>
      <c r="AK1274" s="7" t="str">
        <f t="shared" si="175"/>
        <v/>
      </c>
      <c r="AL1274" s="7" t="str">
        <f t="shared" si="176"/>
        <v/>
      </c>
      <c r="AM1274" s="7" t="str">
        <f t="shared" si="177"/>
        <v/>
      </c>
      <c r="AN1274" s="8" t="str">
        <f>IF(C1274="","",COUNTIF($C$2:C1274,C1274))</f>
        <v/>
      </c>
      <c r="AO1274" s="8" t="str">
        <f t="shared" si="178"/>
        <v/>
      </c>
      <c r="AP1274" s="8" t="str">
        <f>IF(C1274="","",IF(AND(OR([1]Consulta!$C$29="",A1274=[1]Consulta!$C$29),OR([1]Consulta!$E$29="",B1274=[1]Consulta!$E$29),OR([1]Consulta!$G$29="",D1274=[1]Consulta!$G$29,R1274=[1]Consulta!$G$29)),ROW()-1,""))</f>
        <v/>
      </c>
    </row>
    <row r="1275" spans="1:42" ht="15" customHeight="1" x14ac:dyDescent="0.25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 t="str">
        <f t="shared" si="171"/>
        <v/>
      </c>
      <c r="AG1275" s="7" t="str">
        <f t="shared" si="179"/>
        <v/>
      </c>
      <c r="AH1275" s="7" t="str">
        <f t="shared" si="172"/>
        <v/>
      </c>
      <c r="AI1275" s="7" t="str">
        <f t="shared" si="173"/>
        <v/>
      </c>
      <c r="AJ1275" s="7" t="str">
        <f t="shared" si="174"/>
        <v/>
      </c>
      <c r="AK1275" s="7" t="str">
        <f t="shared" si="175"/>
        <v/>
      </c>
      <c r="AL1275" s="7" t="str">
        <f t="shared" si="176"/>
        <v/>
      </c>
      <c r="AM1275" s="7" t="str">
        <f t="shared" si="177"/>
        <v/>
      </c>
      <c r="AN1275" s="8" t="str">
        <f>IF(C1275="","",COUNTIF($C$2:C1275,C1275))</f>
        <v/>
      </c>
      <c r="AO1275" s="8" t="str">
        <f t="shared" si="178"/>
        <v/>
      </c>
      <c r="AP1275" s="8" t="str">
        <f>IF(C1275="","",IF(AND(OR([1]Consulta!$C$29="",A1275=[1]Consulta!$C$29),OR([1]Consulta!$E$29="",B1275=[1]Consulta!$E$29),OR([1]Consulta!$G$29="",D1275=[1]Consulta!$G$29,R1275=[1]Consulta!$G$29)),ROW()-1,""))</f>
        <v/>
      </c>
    </row>
    <row r="1276" spans="1:42" ht="15" customHeight="1" x14ac:dyDescent="0.25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 t="str">
        <f t="shared" si="171"/>
        <v/>
      </c>
      <c r="AG1276" s="7" t="str">
        <f t="shared" si="179"/>
        <v/>
      </c>
      <c r="AH1276" s="7" t="str">
        <f t="shared" si="172"/>
        <v/>
      </c>
      <c r="AI1276" s="7" t="str">
        <f t="shared" si="173"/>
        <v/>
      </c>
      <c r="AJ1276" s="7" t="str">
        <f t="shared" si="174"/>
        <v/>
      </c>
      <c r="AK1276" s="7" t="str">
        <f t="shared" si="175"/>
        <v/>
      </c>
      <c r="AL1276" s="7" t="str">
        <f t="shared" si="176"/>
        <v/>
      </c>
      <c r="AM1276" s="7" t="str">
        <f t="shared" si="177"/>
        <v/>
      </c>
      <c r="AN1276" s="8" t="str">
        <f>IF(C1276="","",COUNTIF($C$2:C1276,C1276))</f>
        <v/>
      </c>
      <c r="AO1276" s="8" t="str">
        <f t="shared" si="178"/>
        <v/>
      </c>
      <c r="AP1276" s="8" t="str">
        <f>IF(C1276="","",IF(AND(OR([1]Consulta!$C$29="",A1276=[1]Consulta!$C$29),OR([1]Consulta!$E$29="",B1276=[1]Consulta!$E$29),OR([1]Consulta!$G$29="",D1276=[1]Consulta!$G$29,R1276=[1]Consulta!$G$29)),ROW()-1,""))</f>
        <v/>
      </c>
    </row>
    <row r="1277" spans="1:42" ht="15" customHeight="1" x14ac:dyDescent="0.25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 t="str">
        <f t="shared" si="171"/>
        <v/>
      </c>
      <c r="AG1277" s="7" t="str">
        <f t="shared" si="179"/>
        <v/>
      </c>
      <c r="AH1277" s="7" t="str">
        <f t="shared" si="172"/>
        <v/>
      </c>
      <c r="AI1277" s="7" t="str">
        <f t="shared" si="173"/>
        <v/>
      </c>
      <c r="AJ1277" s="7" t="str">
        <f t="shared" si="174"/>
        <v/>
      </c>
      <c r="AK1277" s="7" t="str">
        <f t="shared" si="175"/>
        <v/>
      </c>
      <c r="AL1277" s="7" t="str">
        <f t="shared" si="176"/>
        <v/>
      </c>
      <c r="AM1277" s="7" t="str">
        <f t="shared" si="177"/>
        <v/>
      </c>
      <c r="AN1277" s="8" t="str">
        <f>IF(C1277="","",COUNTIF($C$2:C1277,C1277))</f>
        <v/>
      </c>
      <c r="AO1277" s="8" t="str">
        <f t="shared" si="178"/>
        <v/>
      </c>
      <c r="AP1277" s="8" t="str">
        <f>IF(C1277="","",IF(AND(OR([1]Consulta!$C$29="",A1277=[1]Consulta!$C$29),OR([1]Consulta!$E$29="",B1277=[1]Consulta!$E$29),OR([1]Consulta!$G$29="",D1277=[1]Consulta!$G$29,R1277=[1]Consulta!$G$29)),ROW()-1,""))</f>
        <v/>
      </c>
    </row>
    <row r="1278" spans="1:42" ht="15" customHeight="1" x14ac:dyDescent="0.25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 t="str">
        <f t="shared" si="171"/>
        <v/>
      </c>
      <c r="AG1278" s="7" t="str">
        <f t="shared" si="179"/>
        <v/>
      </c>
      <c r="AH1278" s="7" t="str">
        <f t="shared" si="172"/>
        <v/>
      </c>
      <c r="AI1278" s="7" t="str">
        <f t="shared" si="173"/>
        <v/>
      </c>
      <c r="AJ1278" s="7" t="str">
        <f t="shared" si="174"/>
        <v/>
      </c>
      <c r="AK1278" s="7" t="str">
        <f t="shared" si="175"/>
        <v/>
      </c>
      <c r="AL1278" s="7" t="str">
        <f t="shared" si="176"/>
        <v/>
      </c>
      <c r="AM1278" s="7" t="str">
        <f t="shared" si="177"/>
        <v/>
      </c>
      <c r="AN1278" s="8" t="str">
        <f>IF(C1278="","",COUNTIF($C$2:C1278,C1278))</f>
        <v/>
      </c>
      <c r="AO1278" s="8" t="str">
        <f t="shared" si="178"/>
        <v/>
      </c>
      <c r="AP1278" s="8" t="str">
        <f>IF(C1278="","",IF(AND(OR([1]Consulta!$C$29="",A1278=[1]Consulta!$C$29),OR([1]Consulta!$E$29="",B1278=[1]Consulta!$E$29),OR([1]Consulta!$G$29="",D1278=[1]Consulta!$G$29,R1278=[1]Consulta!$G$29)),ROW()-1,""))</f>
        <v/>
      </c>
    </row>
    <row r="1279" spans="1:42" ht="15" customHeight="1" x14ac:dyDescent="0.25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 t="str">
        <f t="shared" si="171"/>
        <v/>
      </c>
      <c r="AG1279" s="7" t="str">
        <f t="shared" si="179"/>
        <v/>
      </c>
      <c r="AH1279" s="7" t="str">
        <f t="shared" si="172"/>
        <v/>
      </c>
      <c r="AI1279" s="7" t="str">
        <f t="shared" si="173"/>
        <v/>
      </c>
      <c r="AJ1279" s="7" t="str">
        <f t="shared" si="174"/>
        <v/>
      </c>
      <c r="AK1279" s="7" t="str">
        <f t="shared" si="175"/>
        <v/>
      </c>
      <c r="AL1279" s="7" t="str">
        <f t="shared" si="176"/>
        <v/>
      </c>
      <c r="AM1279" s="7" t="str">
        <f t="shared" si="177"/>
        <v/>
      </c>
      <c r="AN1279" s="8" t="str">
        <f>IF(C1279="","",COUNTIF($C$2:C1279,C1279))</f>
        <v/>
      </c>
      <c r="AO1279" s="8" t="str">
        <f t="shared" si="178"/>
        <v/>
      </c>
      <c r="AP1279" s="8" t="str">
        <f>IF(C1279="","",IF(AND(OR([1]Consulta!$C$29="",A1279=[1]Consulta!$C$29),OR([1]Consulta!$E$29="",B1279=[1]Consulta!$E$29),OR([1]Consulta!$G$29="",D1279=[1]Consulta!$G$29,R1279=[1]Consulta!$G$29)),ROW()-1,""))</f>
        <v/>
      </c>
    </row>
    <row r="1280" spans="1:42" ht="15" customHeight="1" x14ac:dyDescent="0.25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 t="str">
        <f t="shared" si="171"/>
        <v/>
      </c>
      <c r="AG1280" s="7" t="str">
        <f t="shared" si="179"/>
        <v/>
      </c>
      <c r="AH1280" s="7" t="str">
        <f t="shared" si="172"/>
        <v/>
      </c>
      <c r="AI1280" s="7" t="str">
        <f t="shared" si="173"/>
        <v/>
      </c>
      <c r="AJ1280" s="7" t="str">
        <f t="shared" si="174"/>
        <v/>
      </c>
      <c r="AK1280" s="7" t="str">
        <f t="shared" si="175"/>
        <v/>
      </c>
      <c r="AL1280" s="7" t="str">
        <f t="shared" si="176"/>
        <v/>
      </c>
      <c r="AM1280" s="7" t="str">
        <f t="shared" si="177"/>
        <v/>
      </c>
      <c r="AN1280" s="8" t="str">
        <f>IF(C1280="","",COUNTIF($C$2:C1280,C1280))</f>
        <v/>
      </c>
      <c r="AO1280" s="8" t="str">
        <f t="shared" si="178"/>
        <v/>
      </c>
      <c r="AP1280" s="8" t="str">
        <f>IF(C1280="","",IF(AND(OR([1]Consulta!$C$29="",A1280=[1]Consulta!$C$29),OR([1]Consulta!$E$29="",B1280=[1]Consulta!$E$29),OR([1]Consulta!$G$29="",D1280=[1]Consulta!$G$29,R1280=[1]Consulta!$G$29)),ROW()-1,""))</f>
        <v/>
      </c>
    </row>
    <row r="1281" spans="1:42" ht="15" customHeight="1" x14ac:dyDescent="0.25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 t="str">
        <f t="shared" si="171"/>
        <v/>
      </c>
      <c r="AG1281" s="7" t="str">
        <f t="shared" si="179"/>
        <v/>
      </c>
      <c r="AH1281" s="7" t="str">
        <f t="shared" si="172"/>
        <v/>
      </c>
      <c r="AI1281" s="7" t="str">
        <f t="shared" si="173"/>
        <v/>
      </c>
      <c r="AJ1281" s="7" t="str">
        <f t="shared" si="174"/>
        <v/>
      </c>
      <c r="AK1281" s="7" t="str">
        <f t="shared" si="175"/>
        <v/>
      </c>
      <c r="AL1281" s="7" t="str">
        <f t="shared" si="176"/>
        <v/>
      </c>
      <c r="AM1281" s="7" t="str">
        <f t="shared" si="177"/>
        <v/>
      </c>
      <c r="AN1281" s="8" t="str">
        <f>IF(C1281="","",COUNTIF($C$2:C1281,C1281))</f>
        <v/>
      </c>
      <c r="AO1281" s="8" t="str">
        <f t="shared" si="178"/>
        <v/>
      </c>
      <c r="AP1281" s="8" t="str">
        <f>IF(C1281="","",IF(AND(OR([1]Consulta!$C$29="",A1281=[1]Consulta!$C$29),OR([1]Consulta!$E$29="",B1281=[1]Consulta!$E$29),OR([1]Consulta!$G$29="",D1281=[1]Consulta!$G$29,R1281=[1]Consulta!$G$29)),ROW()-1,""))</f>
        <v/>
      </c>
    </row>
    <row r="1282" spans="1:42" ht="15" customHeight="1" x14ac:dyDescent="0.25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 t="str">
        <f t="shared" ref="AF1282:AF1345" si="180">IF(C1282="","",IF(AND(ISNUMBER(K1282),ISNUMBER(L1282)),K1282-L1282,""))</f>
        <v/>
      </c>
      <c r="AG1282" s="7" t="str">
        <f t="shared" si="179"/>
        <v/>
      </c>
      <c r="AH1282" s="7" t="str">
        <f t="shared" ref="AH1282:AH1345" si="181">IF(C1282="","",IF(AND(ISNUMBER(Y1282),ISNUMBER(Z1282)),Y1282-Z1282,""))</f>
        <v/>
      </c>
      <c r="AI1282" s="7" t="str">
        <f t="shared" ref="AI1282:AI1345" si="182">IF(C1282="","",IF(AH1282="","N/A",IF(AH1282&lt;0,"ALARMA","OK")))</f>
        <v/>
      </c>
      <c r="AJ1282" s="7" t="str">
        <f t="shared" ref="AJ1282:AJ1345" si="183">IF(C1282="","",IF(ISNUMBER(M1282),IF(M1282&gt;0,"CON ERRORES","OK"),"N/A"))</f>
        <v/>
      </c>
      <c r="AK1282" s="7" t="str">
        <f t="shared" ref="AK1282:AK1345" si="184">IF(C1282="","",IF(ISNUMBER(AA1282),IF(AA1282&gt;0,"CON ERRORES","OK"),"N/A"))</f>
        <v/>
      </c>
      <c r="AL1282" s="7" t="str">
        <f t="shared" ref="AL1282:AL1345" si="185">IF(C1282="","",IF(OR(AG1282="ALARMA",AI1282="ALARMA",AJ1282="CON ERRORES",AK1282="CON ERRORES"),"REVISAR","OK"))</f>
        <v/>
      </c>
      <c r="AM1282" s="7" t="str">
        <f t="shared" ref="AM1282:AM1345" si="186">IF(C1282="","",IF(ISNUMBER(Q1282),Q1282,IF(ISNUMBER(AE1282),AE1282,"Ver detalle")))</f>
        <v/>
      </c>
      <c r="AN1282" s="8" t="str">
        <f>IF(C1282="","",COUNTIF($C$2:C1282,C1282))</f>
        <v/>
      </c>
      <c r="AO1282" s="8" t="str">
        <f t="shared" ref="AO1282:AO1345" si="187">IF(C1282="","",C1282&amp;"|"&amp;AN1282)</f>
        <v/>
      </c>
      <c r="AP1282" s="8" t="str">
        <f>IF(C1282="","",IF(AND(OR([1]Consulta!$C$29="",A1282=[1]Consulta!$C$29),OR([1]Consulta!$E$29="",B1282=[1]Consulta!$E$29),OR([1]Consulta!$G$29="",D1282=[1]Consulta!$G$29,R1282=[1]Consulta!$G$29)),ROW()-1,""))</f>
        <v/>
      </c>
    </row>
    <row r="1283" spans="1:42" ht="15" customHeight="1" x14ac:dyDescent="0.25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 t="str">
        <f t="shared" si="180"/>
        <v/>
      </c>
      <c r="AG1283" s="7" t="str">
        <f t="shared" ref="AG1283:AG1346" si="188">IF(C1283="","",IF(AF1283="","N/A",IF(AF1283&lt;0,"ALARMA","OK")))</f>
        <v/>
      </c>
      <c r="AH1283" s="7" t="str">
        <f t="shared" si="181"/>
        <v/>
      </c>
      <c r="AI1283" s="7" t="str">
        <f t="shared" si="182"/>
        <v/>
      </c>
      <c r="AJ1283" s="7" t="str">
        <f t="shared" si="183"/>
        <v/>
      </c>
      <c r="AK1283" s="7" t="str">
        <f t="shared" si="184"/>
        <v/>
      </c>
      <c r="AL1283" s="7" t="str">
        <f t="shared" si="185"/>
        <v/>
      </c>
      <c r="AM1283" s="7" t="str">
        <f t="shared" si="186"/>
        <v/>
      </c>
      <c r="AN1283" s="8" t="str">
        <f>IF(C1283="","",COUNTIF($C$2:C1283,C1283))</f>
        <v/>
      </c>
      <c r="AO1283" s="8" t="str">
        <f t="shared" si="187"/>
        <v/>
      </c>
      <c r="AP1283" s="8" t="str">
        <f>IF(C1283="","",IF(AND(OR([1]Consulta!$C$29="",A1283=[1]Consulta!$C$29),OR([1]Consulta!$E$29="",B1283=[1]Consulta!$E$29),OR([1]Consulta!$G$29="",D1283=[1]Consulta!$G$29,R1283=[1]Consulta!$G$29)),ROW()-1,""))</f>
        <v/>
      </c>
    </row>
    <row r="1284" spans="1:42" ht="15" customHeight="1" x14ac:dyDescent="0.25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 t="str">
        <f t="shared" si="180"/>
        <v/>
      </c>
      <c r="AG1284" s="7" t="str">
        <f t="shared" si="188"/>
        <v/>
      </c>
      <c r="AH1284" s="7" t="str">
        <f t="shared" si="181"/>
        <v/>
      </c>
      <c r="AI1284" s="7" t="str">
        <f t="shared" si="182"/>
        <v/>
      </c>
      <c r="AJ1284" s="7" t="str">
        <f t="shared" si="183"/>
        <v/>
      </c>
      <c r="AK1284" s="7" t="str">
        <f t="shared" si="184"/>
        <v/>
      </c>
      <c r="AL1284" s="7" t="str">
        <f t="shared" si="185"/>
        <v/>
      </c>
      <c r="AM1284" s="7" t="str">
        <f t="shared" si="186"/>
        <v/>
      </c>
      <c r="AN1284" s="8" t="str">
        <f>IF(C1284="","",COUNTIF($C$2:C1284,C1284))</f>
        <v/>
      </c>
      <c r="AO1284" s="8" t="str">
        <f t="shared" si="187"/>
        <v/>
      </c>
      <c r="AP1284" s="8" t="str">
        <f>IF(C1284="","",IF(AND(OR([1]Consulta!$C$29="",A1284=[1]Consulta!$C$29),OR([1]Consulta!$E$29="",B1284=[1]Consulta!$E$29),OR([1]Consulta!$G$29="",D1284=[1]Consulta!$G$29,R1284=[1]Consulta!$G$29)),ROW()-1,""))</f>
        <v/>
      </c>
    </row>
    <row r="1285" spans="1:42" ht="15" customHeight="1" x14ac:dyDescent="0.25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 t="str">
        <f t="shared" si="180"/>
        <v/>
      </c>
      <c r="AG1285" s="7" t="str">
        <f t="shared" si="188"/>
        <v/>
      </c>
      <c r="AH1285" s="7" t="str">
        <f t="shared" si="181"/>
        <v/>
      </c>
      <c r="AI1285" s="7" t="str">
        <f t="shared" si="182"/>
        <v/>
      </c>
      <c r="AJ1285" s="7" t="str">
        <f t="shared" si="183"/>
        <v/>
      </c>
      <c r="AK1285" s="7" t="str">
        <f t="shared" si="184"/>
        <v/>
      </c>
      <c r="AL1285" s="7" t="str">
        <f t="shared" si="185"/>
        <v/>
      </c>
      <c r="AM1285" s="7" t="str">
        <f t="shared" si="186"/>
        <v/>
      </c>
      <c r="AN1285" s="8" t="str">
        <f>IF(C1285="","",COUNTIF($C$2:C1285,C1285))</f>
        <v/>
      </c>
      <c r="AO1285" s="8" t="str">
        <f t="shared" si="187"/>
        <v/>
      </c>
      <c r="AP1285" s="8" t="str">
        <f>IF(C1285="","",IF(AND(OR([1]Consulta!$C$29="",A1285=[1]Consulta!$C$29),OR([1]Consulta!$E$29="",B1285=[1]Consulta!$E$29),OR([1]Consulta!$G$29="",D1285=[1]Consulta!$G$29,R1285=[1]Consulta!$G$29)),ROW()-1,""))</f>
        <v/>
      </c>
    </row>
    <row r="1286" spans="1:42" ht="15" customHeight="1" x14ac:dyDescent="0.25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 t="str">
        <f t="shared" si="180"/>
        <v/>
      </c>
      <c r="AG1286" s="7" t="str">
        <f t="shared" si="188"/>
        <v/>
      </c>
      <c r="AH1286" s="7" t="str">
        <f t="shared" si="181"/>
        <v/>
      </c>
      <c r="AI1286" s="7" t="str">
        <f t="shared" si="182"/>
        <v/>
      </c>
      <c r="AJ1286" s="7" t="str">
        <f t="shared" si="183"/>
        <v/>
      </c>
      <c r="AK1286" s="7" t="str">
        <f t="shared" si="184"/>
        <v/>
      </c>
      <c r="AL1286" s="7" t="str">
        <f t="shared" si="185"/>
        <v/>
      </c>
      <c r="AM1286" s="7" t="str">
        <f t="shared" si="186"/>
        <v/>
      </c>
      <c r="AN1286" s="8" t="str">
        <f>IF(C1286="","",COUNTIF($C$2:C1286,C1286))</f>
        <v/>
      </c>
      <c r="AO1286" s="8" t="str">
        <f t="shared" si="187"/>
        <v/>
      </c>
      <c r="AP1286" s="8" t="str">
        <f>IF(C1286="","",IF(AND(OR([1]Consulta!$C$29="",A1286=[1]Consulta!$C$29),OR([1]Consulta!$E$29="",B1286=[1]Consulta!$E$29),OR([1]Consulta!$G$29="",D1286=[1]Consulta!$G$29,R1286=[1]Consulta!$G$29)),ROW()-1,""))</f>
        <v/>
      </c>
    </row>
    <row r="1287" spans="1:42" ht="15" customHeight="1" x14ac:dyDescent="0.25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 t="str">
        <f t="shared" si="180"/>
        <v/>
      </c>
      <c r="AG1287" s="7" t="str">
        <f t="shared" si="188"/>
        <v/>
      </c>
      <c r="AH1287" s="7" t="str">
        <f t="shared" si="181"/>
        <v/>
      </c>
      <c r="AI1287" s="7" t="str">
        <f t="shared" si="182"/>
        <v/>
      </c>
      <c r="AJ1287" s="7" t="str">
        <f t="shared" si="183"/>
        <v/>
      </c>
      <c r="AK1287" s="7" t="str">
        <f t="shared" si="184"/>
        <v/>
      </c>
      <c r="AL1287" s="7" t="str">
        <f t="shared" si="185"/>
        <v/>
      </c>
      <c r="AM1287" s="7" t="str">
        <f t="shared" si="186"/>
        <v/>
      </c>
      <c r="AN1287" s="8" t="str">
        <f>IF(C1287="","",COUNTIF($C$2:C1287,C1287))</f>
        <v/>
      </c>
      <c r="AO1287" s="8" t="str">
        <f t="shared" si="187"/>
        <v/>
      </c>
      <c r="AP1287" s="8" t="str">
        <f>IF(C1287="","",IF(AND(OR([1]Consulta!$C$29="",A1287=[1]Consulta!$C$29),OR([1]Consulta!$E$29="",B1287=[1]Consulta!$E$29),OR([1]Consulta!$G$29="",D1287=[1]Consulta!$G$29,R1287=[1]Consulta!$G$29)),ROW()-1,""))</f>
        <v/>
      </c>
    </row>
    <row r="1288" spans="1:42" ht="15" customHeight="1" x14ac:dyDescent="0.25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 t="str">
        <f t="shared" si="180"/>
        <v/>
      </c>
      <c r="AG1288" s="7" t="str">
        <f t="shared" si="188"/>
        <v/>
      </c>
      <c r="AH1288" s="7" t="str">
        <f t="shared" si="181"/>
        <v/>
      </c>
      <c r="AI1288" s="7" t="str">
        <f t="shared" si="182"/>
        <v/>
      </c>
      <c r="AJ1288" s="7" t="str">
        <f t="shared" si="183"/>
        <v/>
      </c>
      <c r="AK1288" s="7" t="str">
        <f t="shared" si="184"/>
        <v/>
      </c>
      <c r="AL1288" s="7" t="str">
        <f t="shared" si="185"/>
        <v/>
      </c>
      <c r="AM1288" s="7" t="str">
        <f t="shared" si="186"/>
        <v/>
      </c>
      <c r="AN1288" s="8" t="str">
        <f>IF(C1288="","",COUNTIF($C$2:C1288,C1288))</f>
        <v/>
      </c>
      <c r="AO1288" s="8" t="str">
        <f t="shared" si="187"/>
        <v/>
      </c>
      <c r="AP1288" s="8" t="str">
        <f>IF(C1288="","",IF(AND(OR([1]Consulta!$C$29="",A1288=[1]Consulta!$C$29),OR([1]Consulta!$E$29="",B1288=[1]Consulta!$E$29),OR([1]Consulta!$G$29="",D1288=[1]Consulta!$G$29,R1288=[1]Consulta!$G$29)),ROW()-1,""))</f>
        <v/>
      </c>
    </row>
    <row r="1289" spans="1:42" ht="15" customHeight="1" x14ac:dyDescent="0.25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 t="str">
        <f t="shared" si="180"/>
        <v/>
      </c>
      <c r="AG1289" s="7" t="str">
        <f t="shared" si="188"/>
        <v/>
      </c>
      <c r="AH1289" s="7" t="str">
        <f t="shared" si="181"/>
        <v/>
      </c>
      <c r="AI1289" s="7" t="str">
        <f t="shared" si="182"/>
        <v/>
      </c>
      <c r="AJ1289" s="7" t="str">
        <f t="shared" si="183"/>
        <v/>
      </c>
      <c r="AK1289" s="7" t="str">
        <f t="shared" si="184"/>
        <v/>
      </c>
      <c r="AL1289" s="7" t="str">
        <f t="shared" si="185"/>
        <v/>
      </c>
      <c r="AM1289" s="7" t="str">
        <f t="shared" si="186"/>
        <v/>
      </c>
      <c r="AN1289" s="8" t="str">
        <f>IF(C1289="","",COUNTIF($C$2:C1289,C1289))</f>
        <v/>
      </c>
      <c r="AO1289" s="8" t="str">
        <f t="shared" si="187"/>
        <v/>
      </c>
      <c r="AP1289" s="8" t="str">
        <f>IF(C1289="","",IF(AND(OR([1]Consulta!$C$29="",A1289=[1]Consulta!$C$29),OR([1]Consulta!$E$29="",B1289=[1]Consulta!$E$29),OR([1]Consulta!$G$29="",D1289=[1]Consulta!$G$29,R1289=[1]Consulta!$G$29)),ROW()-1,""))</f>
        <v/>
      </c>
    </row>
    <row r="1290" spans="1:42" ht="15" customHeight="1" x14ac:dyDescent="0.25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 t="str">
        <f t="shared" si="180"/>
        <v/>
      </c>
      <c r="AG1290" s="7" t="str">
        <f t="shared" si="188"/>
        <v/>
      </c>
      <c r="AH1290" s="7" t="str">
        <f t="shared" si="181"/>
        <v/>
      </c>
      <c r="AI1290" s="7" t="str">
        <f t="shared" si="182"/>
        <v/>
      </c>
      <c r="AJ1290" s="7" t="str">
        <f t="shared" si="183"/>
        <v/>
      </c>
      <c r="AK1290" s="7" t="str">
        <f t="shared" si="184"/>
        <v/>
      </c>
      <c r="AL1290" s="7" t="str">
        <f t="shared" si="185"/>
        <v/>
      </c>
      <c r="AM1290" s="7" t="str">
        <f t="shared" si="186"/>
        <v/>
      </c>
      <c r="AN1290" s="8" t="str">
        <f>IF(C1290="","",COUNTIF($C$2:C1290,C1290))</f>
        <v/>
      </c>
      <c r="AO1290" s="8" t="str">
        <f t="shared" si="187"/>
        <v/>
      </c>
      <c r="AP1290" s="8" t="str">
        <f>IF(C1290="","",IF(AND(OR([1]Consulta!$C$29="",A1290=[1]Consulta!$C$29),OR([1]Consulta!$E$29="",B1290=[1]Consulta!$E$29),OR([1]Consulta!$G$29="",D1290=[1]Consulta!$G$29,R1290=[1]Consulta!$G$29)),ROW()-1,""))</f>
        <v/>
      </c>
    </row>
    <row r="1291" spans="1:42" ht="15" customHeight="1" x14ac:dyDescent="0.25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 t="str">
        <f t="shared" si="180"/>
        <v/>
      </c>
      <c r="AG1291" s="7" t="str">
        <f t="shared" si="188"/>
        <v/>
      </c>
      <c r="AH1291" s="7" t="str">
        <f t="shared" si="181"/>
        <v/>
      </c>
      <c r="AI1291" s="7" t="str">
        <f t="shared" si="182"/>
        <v/>
      </c>
      <c r="AJ1291" s="7" t="str">
        <f t="shared" si="183"/>
        <v/>
      </c>
      <c r="AK1291" s="7" t="str">
        <f t="shared" si="184"/>
        <v/>
      </c>
      <c r="AL1291" s="7" t="str">
        <f t="shared" si="185"/>
        <v/>
      </c>
      <c r="AM1291" s="7" t="str">
        <f t="shared" si="186"/>
        <v/>
      </c>
      <c r="AN1291" s="8" t="str">
        <f>IF(C1291="","",COUNTIF($C$2:C1291,C1291))</f>
        <v/>
      </c>
      <c r="AO1291" s="8" t="str">
        <f t="shared" si="187"/>
        <v/>
      </c>
      <c r="AP1291" s="8" t="str">
        <f>IF(C1291="","",IF(AND(OR([1]Consulta!$C$29="",A1291=[1]Consulta!$C$29),OR([1]Consulta!$E$29="",B1291=[1]Consulta!$E$29),OR([1]Consulta!$G$29="",D1291=[1]Consulta!$G$29,R1291=[1]Consulta!$G$29)),ROW()-1,""))</f>
        <v/>
      </c>
    </row>
    <row r="1292" spans="1:42" ht="15" customHeight="1" x14ac:dyDescent="0.25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 t="str">
        <f t="shared" si="180"/>
        <v/>
      </c>
      <c r="AG1292" s="7" t="str">
        <f t="shared" si="188"/>
        <v/>
      </c>
      <c r="AH1292" s="7" t="str">
        <f t="shared" si="181"/>
        <v/>
      </c>
      <c r="AI1292" s="7" t="str">
        <f t="shared" si="182"/>
        <v/>
      </c>
      <c r="AJ1292" s="7" t="str">
        <f t="shared" si="183"/>
        <v/>
      </c>
      <c r="AK1292" s="7" t="str">
        <f t="shared" si="184"/>
        <v/>
      </c>
      <c r="AL1292" s="7" t="str">
        <f t="shared" si="185"/>
        <v/>
      </c>
      <c r="AM1292" s="7" t="str">
        <f t="shared" si="186"/>
        <v/>
      </c>
      <c r="AN1292" s="8" t="str">
        <f>IF(C1292="","",COUNTIF($C$2:C1292,C1292))</f>
        <v/>
      </c>
      <c r="AO1292" s="8" t="str">
        <f t="shared" si="187"/>
        <v/>
      </c>
      <c r="AP1292" s="8" t="str">
        <f>IF(C1292="","",IF(AND(OR([1]Consulta!$C$29="",A1292=[1]Consulta!$C$29),OR([1]Consulta!$E$29="",B1292=[1]Consulta!$E$29),OR([1]Consulta!$G$29="",D1292=[1]Consulta!$G$29,R1292=[1]Consulta!$G$29)),ROW()-1,""))</f>
        <v/>
      </c>
    </row>
    <row r="1293" spans="1:42" ht="15" customHeight="1" x14ac:dyDescent="0.25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 t="str">
        <f t="shared" si="180"/>
        <v/>
      </c>
      <c r="AG1293" s="7" t="str">
        <f t="shared" si="188"/>
        <v/>
      </c>
      <c r="AH1293" s="7" t="str">
        <f t="shared" si="181"/>
        <v/>
      </c>
      <c r="AI1293" s="7" t="str">
        <f t="shared" si="182"/>
        <v/>
      </c>
      <c r="AJ1293" s="7" t="str">
        <f t="shared" si="183"/>
        <v/>
      </c>
      <c r="AK1293" s="7" t="str">
        <f t="shared" si="184"/>
        <v/>
      </c>
      <c r="AL1293" s="7" t="str">
        <f t="shared" si="185"/>
        <v/>
      </c>
      <c r="AM1293" s="7" t="str">
        <f t="shared" si="186"/>
        <v/>
      </c>
      <c r="AN1293" s="8" t="str">
        <f>IF(C1293="","",COUNTIF($C$2:C1293,C1293))</f>
        <v/>
      </c>
      <c r="AO1293" s="8" t="str">
        <f t="shared" si="187"/>
        <v/>
      </c>
      <c r="AP1293" s="8" t="str">
        <f>IF(C1293="","",IF(AND(OR([1]Consulta!$C$29="",A1293=[1]Consulta!$C$29),OR([1]Consulta!$E$29="",B1293=[1]Consulta!$E$29),OR([1]Consulta!$G$29="",D1293=[1]Consulta!$G$29,R1293=[1]Consulta!$G$29)),ROW()-1,""))</f>
        <v/>
      </c>
    </row>
    <row r="1294" spans="1:42" ht="15" customHeight="1" x14ac:dyDescent="0.25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 t="str">
        <f t="shared" si="180"/>
        <v/>
      </c>
      <c r="AG1294" s="7" t="str">
        <f t="shared" si="188"/>
        <v/>
      </c>
      <c r="AH1294" s="7" t="str">
        <f t="shared" si="181"/>
        <v/>
      </c>
      <c r="AI1294" s="7" t="str">
        <f t="shared" si="182"/>
        <v/>
      </c>
      <c r="AJ1294" s="7" t="str">
        <f t="shared" si="183"/>
        <v/>
      </c>
      <c r="AK1294" s="7" t="str">
        <f t="shared" si="184"/>
        <v/>
      </c>
      <c r="AL1294" s="7" t="str">
        <f t="shared" si="185"/>
        <v/>
      </c>
      <c r="AM1294" s="7" t="str">
        <f t="shared" si="186"/>
        <v/>
      </c>
      <c r="AN1294" s="8" t="str">
        <f>IF(C1294="","",COUNTIF($C$2:C1294,C1294))</f>
        <v/>
      </c>
      <c r="AO1294" s="8" t="str">
        <f t="shared" si="187"/>
        <v/>
      </c>
      <c r="AP1294" s="8" t="str">
        <f>IF(C1294="","",IF(AND(OR([1]Consulta!$C$29="",A1294=[1]Consulta!$C$29),OR([1]Consulta!$E$29="",B1294=[1]Consulta!$E$29),OR([1]Consulta!$G$29="",D1294=[1]Consulta!$G$29,R1294=[1]Consulta!$G$29)),ROW()-1,""))</f>
        <v/>
      </c>
    </row>
    <row r="1295" spans="1:42" ht="15" customHeight="1" x14ac:dyDescent="0.25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 t="str">
        <f t="shared" si="180"/>
        <v/>
      </c>
      <c r="AG1295" s="7" t="str">
        <f t="shared" si="188"/>
        <v/>
      </c>
      <c r="AH1295" s="7" t="str">
        <f t="shared" si="181"/>
        <v/>
      </c>
      <c r="AI1295" s="7" t="str">
        <f t="shared" si="182"/>
        <v/>
      </c>
      <c r="AJ1295" s="7" t="str">
        <f t="shared" si="183"/>
        <v/>
      </c>
      <c r="AK1295" s="7" t="str">
        <f t="shared" si="184"/>
        <v/>
      </c>
      <c r="AL1295" s="7" t="str">
        <f t="shared" si="185"/>
        <v/>
      </c>
      <c r="AM1295" s="7" t="str">
        <f t="shared" si="186"/>
        <v/>
      </c>
      <c r="AN1295" s="8" t="str">
        <f>IF(C1295="","",COUNTIF($C$2:C1295,C1295))</f>
        <v/>
      </c>
      <c r="AO1295" s="8" t="str">
        <f t="shared" si="187"/>
        <v/>
      </c>
      <c r="AP1295" s="8" t="str">
        <f>IF(C1295="","",IF(AND(OR([1]Consulta!$C$29="",A1295=[1]Consulta!$C$29),OR([1]Consulta!$E$29="",B1295=[1]Consulta!$E$29),OR([1]Consulta!$G$29="",D1295=[1]Consulta!$G$29,R1295=[1]Consulta!$G$29)),ROW()-1,""))</f>
        <v/>
      </c>
    </row>
    <row r="1296" spans="1:42" ht="15" customHeight="1" x14ac:dyDescent="0.25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 t="str">
        <f t="shared" si="180"/>
        <v/>
      </c>
      <c r="AG1296" s="7" t="str">
        <f t="shared" si="188"/>
        <v/>
      </c>
      <c r="AH1296" s="7" t="str">
        <f t="shared" si="181"/>
        <v/>
      </c>
      <c r="AI1296" s="7" t="str">
        <f t="shared" si="182"/>
        <v/>
      </c>
      <c r="AJ1296" s="7" t="str">
        <f t="shared" si="183"/>
        <v/>
      </c>
      <c r="AK1296" s="7" t="str">
        <f t="shared" si="184"/>
        <v/>
      </c>
      <c r="AL1296" s="7" t="str">
        <f t="shared" si="185"/>
        <v/>
      </c>
      <c r="AM1296" s="7" t="str">
        <f t="shared" si="186"/>
        <v/>
      </c>
      <c r="AN1296" s="8" t="str">
        <f>IF(C1296="","",COUNTIF($C$2:C1296,C1296))</f>
        <v/>
      </c>
      <c r="AO1296" s="8" t="str">
        <f t="shared" si="187"/>
        <v/>
      </c>
      <c r="AP1296" s="8" t="str">
        <f>IF(C1296="","",IF(AND(OR([1]Consulta!$C$29="",A1296=[1]Consulta!$C$29),OR([1]Consulta!$E$29="",B1296=[1]Consulta!$E$29),OR([1]Consulta!$G$29="",D1296=[1]Consulta!$G$29,R1296=[1]Consulta!$G$29)),ROW()-1,""))</f>
        <v/>
      </c>
    </row>
    <row r="1297" spans="1:42" ht="15" customHeight="1" x14ac:dyDescent="0.25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 t="str">
        <f t="shared" si="180"/>
        <v/>
      </c>
      <c r="AG1297" s="7" t="str">
        <f t="shared" si="188"/>
        <v/>
      </c>
      <c r="AH1297" s="7" t="str">
        <f t="shared" si="181"/>
        <v/>
      </c>
      <c r="AI1297" s="7" t="str">
        <f t="shared" si="182"/>
        <v/>
      </c>
      <c r="AJ1297" s="7" t="str">
        <f t="shared" si="183"/>
        <v/>
      </c>
      <c r="AK1297" s="7" t="str">
        <f t="shared" si="184"/>
        <v/>
      </c>
      <c r="AL1297" s="7" t="str">
        <f t="shared" si="185"/>
        <v/>
      </c>
      <c r="AM1297" s="7" t="str">
        <f t="shared" si="186"/>
        <v/>
      </c>
      <c r="AN1297" s="8" t="str">
        <f>IF(C1297="","",COUNTIF($C$2:C1297,C1297))</f>
        <v/>
      </c>
      <c r="AO1297" s="8" t="str">
        <f t="shared" si="187"/>
        <v/>
      </c>
      <c r="AP1297" s="8" t="str">
        <f>IF(C1297="","",IF(AND(OR([1]Consulta!$C$29="",A1297=[1]Consulta!$C$29),OR([1]Consulta!$E$29="",B1297=[1]Consulta!$E$29),OR([1]Consulta!$G$29="",D1297=[1]Consulta!$G$29,R1297=[1]Consulta!$G$29)),ROW()-1,""))</f>
        <v/>
      </c>
    </row>
    <row r="1298" spans="1:42" ht="15" customHeight="1" x14ac:dyDescent="0.25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 t="str">
        <f t="shared" si="180"/>
        <v/>
      </c>
      <c r="AG1298" s="7" t="str">
        <f t="shared" si="188"/>
        <v/>
      </c>
      <c r="AH1298" s="7" t="str">
        <f t="shared" si="181"/>
        <v/>
      </c>
      <c r="AI1298" s="7" t="str">
        <f t="shared" si="182"/>
        <v/>
      </c>
      <c r="AJ1298" s="7" t="str">
        <f t="shared" si="183"/>
        <v/>
      </c>
      <c r="AK1298" s="7" t="str">
        <f t="shared" si="184"/>
        <v/>
      </c>
      <c r="AL1298" s="7" t="str">
        <f t="shared" si="185"/>
        <v/>
      </c>
      <c r="AM1298" s="7" t="str">
        <f t="shared" si="186"/>
        <v/>
      </c>
      <c r="AN1298" s="8" t="str">
        <f>IF(C1298="","",COUNTIF($C$2:C1298,C1298))</f>
        <v/>
      </c>
      <c r="AO1298" s="8" t="str">
        <f t="shared" si="187"/>
        <v/>
      </c>
      <c r="AP1298" s="8" t="str">
        <f>IF(C1298="","",IF(AND(OR([1]Consulta!$C$29="",A1298=[1]Consulta!$C$29),OR([1]Consulta!$E$29="",B1298=[1]Consulta!$E$29),OR([1]Consulta!$G$29="",D1298=[1]Consulta!$G$29,R1298=[1]Consulta!$G$29)),ROW()-1,""))</f>
        <v/>
      </c>
    </row>
    <row r="1299" spans="1:42" ht="15" customHeight="1" x14ac:dyDescent="0.25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 t="str">
        <f t="shared" si="180"/>
        <v/>
      </c>
      <c r="AG1299" s="7" t="str">
        <f t="shared" si="188"/>
        <v/>
      </c>
      <c r="AH1299" s="7" t="str">
        <f t="shared" si="181"/>
        <v/>
      </c>
      <c r="AI1299" s="7" t="str">
        <f t="shared" si="182"/>
        <v/>
      </c>
      <c r="AJ1299" s="7" t="str">
        <f t="shared" si="183"/>
        <v/>
      </c>
      <c r="AK1299" s="7" t="str">
        <f t="shared" si="184"/>
        <v/>
      </c>
      <c r="AL1299" s="7" t="str">
        <f t="shared" si="185"/>
        <v/>
      </c>
      <c r="AM1299" s="7" t="str">
        <f t="shared" si="186"/>
        <v/>
      </c>
      <c r="AN1299" s="8" t="str">
        <f>IF(C1299="","",COUNTIF($C$2:C1299,C1299))</f>
        <v/>
      </c>
      <c r="AO1299" s="8" t="str">
        <f t="shared" si="187"/>
        <v/>
      </c>
      <c r="AP1299" s="8" t="str">
        <f>IF(C1299="","",IF(AND(OR([1]Consulta!$C$29="",A1299=[1]Consulta!$C$29),OR([1]Consulta!$E$29="",B1299=[1]Consulta!$E$29),OR([1]Consulta!$G$29="",D1299=[1]Consulta!$G$29,R1299=[1]Consulta!$G$29)),ROW()-1,""))</f>
        <v/>
      </c>
    </row>
    <row r="1300" spans="1:42" ht="15" customHeight="1" x14ac:dyDescent="0.25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 t="str">
        <f t="shared" si="180"/>
        <v/>
      </c>
      <c r="AG1300" s="7" t="str">
        <f t="shared" si="188"/>
        <v/>
      </c>
      <c r="AH1300" s="7" t="str">
        <f t="shared" si="181"/>
        <v/>
      </c>
      <c r="AI1300" s="7" t="str">
        <f t="shared" si="182"/>
        <v/>
      </c>
      <c r="AJ1300" s="7" t="str">
        <f t="shared" si="183"/>
        <v/>
      </c>
      <c r="AK1300" s="7" t="str">
        <f t="shared" si="184"/>
        <v/>
      </c>
      <c r="AL1300" s="7" t="str">
        <f t="shared" si="185"/>
        <v/>
      </c>
      <c r="AM1300" s="7" t="str">
        <f t="shared" si="186"/>
        <v/>
      </c>
      <c r="AN1300" s="8" t="str">
        <f>IF(C1300="","",COUNTIF($C$2:C1300,C1300))</f>
        <v/>
      </c>
      <c r="AO1300" s="8" t="str">
        <f t="shared" si="187"/>
        <v/>
      </c>
      <c r="AP1300" s="8" t="str">
        <f>IF(C1300="","",IF(AND(OR([1]Consulta!$C$29="",A1300=[1]Consulta!$C$29),OR([1]Consulta!$E$29="",B1300=[1]Consulta!$E$29),OR([1]Consulta!$G$29="",D1300=[1]Consulta!$G$29,R1300=[1]Consulta!$G$29)),ROW()-1,""))</f>
        <v/>
      </c>
    </row>
    <row r="1301" spans="1:42" ht="15" customHeight="1" x14ac:dyDescent="0.25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 t="str">
        <f t="shared" si="180"/>
        <v/>
      </c>
      <c r="AG1301" s="7" t="str">
        <f t="shared" si="188"/>
        <v/>
      </c>
      <c r="AH1301" s="7" t="str">
        <f t="shared" si="181"/>
        <v/>
      </c>
      <c r="AI1301" s="7" t="str">
        <f t="shared" si="182"/>
        <v/>
      </c>
      <c r="AJ1301" s="7" t="str">
        <f t="shared" si="183"/>
        <v/>
      </c>
      <c r="AK1301" s="7" t="str">
        <f t="shared" si="184"/>
        <v/>
      </c>
      <c r="AL1301" s="7" t="str">
        <f t="shared" si="185"/>
        <v/>
      </c>
      <c r="AM1301" s="7" t="str">
        <f t="shared" si="186"/>
        <v/>
      </c>
      <c r="AN1301" s="8" t="str">
        <f>IF(C1301="","",COUNTIF($C$2:C1301,C1301))</f>
        <v/>
      </c>
      <c r="AO1301" s="8" t="str">
        <f t="shared" si="187"/>
        <v/>
      </c>
      <c r="AP1301" s="8" t="str">
        <f>IF(C1301="","",IF(AND(OR([1]Consulta!$C$29="",A1301=[1]Consulta!$C$29),OR([1]Consulta!$E$29="",B1301=[1]Consulta!$E$29),OR([1]Consulta!$G$29="",D1301=[1]Consulta!$G$29,R1301=[1]Consulta!$G$29)),ROW()-1,""))</f>
        <v/>
      </c>
    </row>
    <row r="1302" spans="1:42" ht="15" customHeight="1" x14ac:dyDescent="0.25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 t="str">
        <f t="shared" si="180"/>
        <v/>
      </c>
      <c r="AG1302" s="7" t="str">
        <f t="shared" si="188"/>
        <v/>
      </c>
      <c r="AH1302" s="7" t="str">
        <f t="shared" si="181"/>
        <v/>
      </c>
      <c r="AI1302" s="7" t="str">
        <f t="shared" si="182"/>
        <v/>
      </c>
      <c r="AJ1302" s="7" t="str">
        <f t="shared" si="183"/>
        <v/>
      </c>
      <c r="AK1302" s="7" t="str">
        <f t="shared" si="184"/>
        <v/>
      </c>
      <c r="AL1302" s="7" t="str">
        <f t="shared" si="185"/>
        <v/>
      </c>
      <c r="AM1302" s="7" t="str">
        <f t="shared" si="186"/>
        <v/>
      </c>
      <c r="AN1302" s="8" t="str">
        <f>IF(C1302="","",COUNTIF($C$2:C1302,C1302))</f>
        <v/>
      </c>
      <c r="AO1302" s="8" t="str">
        <f t="shared" si="187"/>
        <v/>
      </c>
      <c r="AP1302" s="8" t="str">
        <f>IF(C1302="","",IF(AND(OR([1]Consulta!$C$29="",A1302=[1]Consulta!$C$29),OR([1]Consulta!$E$29="",B1302=[1]Consulta!$E$29),OR([1]Consulta!$G$29="",D1302=[1]Consulta!$G$29,R1302=[1]Consulta!$G$29)),ROW()-1,""))</f>
        <v/>
      </c>
    </row>
    <row r="1303" spans="1:42" ht="15" customHeight="1" x14ac:dyDescent="0.25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 t="str">
        <f t="shared" si="180"/>
        <v/>
      </c>
      <c r="AG1303" s="7" t="str">
        <f t="shared" si="188"/>
        <v/>
      </c>
      <c r="AH1303" s="7" t="str">
        <f t="shared" si="181"/>
        <v/>
      </c>
      <c r="AI1303" s="7" t="str">
        <f t="shared" si="182"/>
        <v/>
      </c>
      <c r="AJ1303" s="7" t="str">
        <f t="shared" si="183"/>
        <v/>
      </c>
      <c r="AK1303" s="7" t="str">
        <f t="shared" si="184"/>
        <v/>
      </c>
      <c r="AL1303" s="7" t="str">
        <f t="shared" si="185"/>
        <v/>
      </c>
      <c r="AM1303" s="7" t="str">
        <f t="shared" si="186"/>
        <v/>
      </c>
      <c r="AN1303" s="8" t="str">
        <f>IF(C1303="","",COUNTIF($C$2:C1303,C1303))</f>
        <v/>
      </c>
      <c r="AO1303" s="8" t="str">
        <f t="shared" si="187"/>
        <v/>
      </c>
      <c r="AP1303" s="8" t="str">
        <f>IF(C1303="","",IF(AND(OR([1]Consulta!$C$29="",A1303=[1]Consulta!$C$29),OR([1]Consulta!$E$29="",B1303=[1]Consulta!$E$29),OR([1]Consulta!$G$29="",D1303=[1]Consulta!$G$29,R1303=[1]Consulta!$G$29)),ROW()-1,""))</f>
        <v/>
      </c>
    </row>
    <row r="1304" spans="1:42" ht="15" customHeight="1" x14ac:dyDescent="0.25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 t="str">
        <f t="shared" si="180"/>
        <v/>
      </c>
      <c r="AG1304" s="7" t="str">
        <f t="shared" si="188"/>
        <v/>
      </c>
      <c r="AH1304" s="7" t="str">
        <f t="shared" si="181"/>
        <v/>
      </c>
      <c r="AI1304" s="7" t="str">
        <f t="shared" si="182"/>
        <v/>
      </c>
      <c r="AJ1304" s="7" t="str">
        <f t="shared" si="183"/>
        <v/>
      </c>
      <c r="AK1304" s="7" t="str">
        <f t="shared" si="184"/>
        <v/>
      </c>
      <c r="AL1304" s="7" t="str">
        <f t="shared" si="185"/>
        <v/>
      </c>
      <c r="AM1304" s="7" t="str">
        <f t="shared" si="186"/>
        <v/>
      </c>
      <c r="AN1304" s="8" t="str">
        <f>IF(C1304="","",COUNTIF($C$2:C1304,C1304))</f>
        <v/>
      </c>
      <c r="AO1304" s="8" t="str">
        <f t="shared" si="187"/>
        <v/>
      </c>
      <c r="AP1304" s="8" t="str">
        <f>IF(C1304="","",IF(AND(OR([1]Consulta!$C$29="",A1304=[1]Consulta!$C$29),OR([1]Consulta!$E$29="",B1304=[1]Consulta!$E$29),OR([1]Consulta!$G$29="",D1304=[1]Consulta!$G$29,R1304=[1]Consulta!$G$29)),ROW()-1,""))</f>
        <v/>
      </c>
    </row>
    <row r="1305" spans="1:42" ht="15" customHeight="1" x14ac:dyDescent="0.25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 t="str">
        <f t="shared" si="180"/>
        <v/>
      </c>
      <c r="AG1305" s="7" t="str">
        <f t="shared" si="188"/>
        <v/>
      </c>
      <c r="AH1305" s="7" t="str">
        <f t="shared" si="181"/>
        <v/>
      </c>
      <c r="AI1305" s="7" t="str">
        <f t="shared" si="182"/>
        <v/>
      </c>
      <c r="AJ1305" s="7" t="str">
        <f t="shared" si="183"/>
        <v/>
      </c>
      <c r="AK1305" s="7" t="str">
        <f t="shared" si="184"/>
        <v/>
      </c>
      <c r="AL1305" s="7" t="str">
        <f t="shared" si="185"/>
        <v/>
      </c>
      <c r="AM1305" s="7" t="str">
        <f t="shared" si="186"/>
        <v/>
      </c>
      <c r="AN1305" s="8" t="str">
        <f>IF(C1305="","",COUNTIF($C$2:C1305,C1305))</f>
        <v/>
      </c>
      <c r="AO1305" s="8" t="str">
        <f t="shared" si="187"/>
        <v/>
      </c>
      <c r="AP1305" s="8" t="str">
        <f>IF(C1305="","",IF(AND(OR([1]Consulta!$C$29="",A1305=[1]Consulta!$C$29),OR([1]Consulta!$E$29="",B1305=[1]Consulta!$E$29),OR([1]Consulta!$G$29="",D1305=[1]Consulta!$G$29,R1305=[1]Consulta!$G$29)),ROW()-1,""))</f>
        <v/>
      </c>
    </row>
    <row r="1306" spans="1:42" ht="15" customHeight="1" x14ac:dyDescent="0.25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 t="str">
        <f t="shared" si="180"/>
        <v/>
      </c>
      <c r="AG1306" s="7" t="str">
        <f t="shared" si="188"/>
        <v/>
      </c>
      <c r="AH1306" s="7" t="str">
        <f t="shared" si="181"/>
        <v/>
      </c>
      <c r="AI1306" s="7" t="str">
        <f t="shared" si="182"/>
        <v/>
      </c>
      <c r="AJ1306" s="7" t="str">
        <f t="shared" si="183"/>
        <v/>
      </c>
      <c r="AK1306" s="7" t="str">
        <f t="shared" si="184"/>
        <v/>
      </c>
      <c r="AL1306" s="7" t="str">
        <f t="shared" si="185"/>
        <v/>
      </c>
      <c r="AM1306" s="7" t="str">
        <f t="shared" si="186"/>
        <v/>
      </c>
      <c r="AN1306" s="8" t="str">
        <f>IF(C1306="","",COUNTIF($C$2:C1306,C1306))</f>
        <v/>
      </c>
      <c r="AO1306" s="8" t="str">
        <f t="shared" si="187"/>
        <v/>
      </c>
      <c r="AP1306" s="8" t="str">
        <f>IF(C1306="","",IF(AND(OR([1]Consulta!$C$29="",A1306=[1]Consulta!$C$29),OR([1]Consulta!$E$29="",B1306=[1]Consulta!$E$29),OR([1]Consulta!$G$29="",D1306=[1]Consulta!$G$29,R1306=[1]Consulta!$G$29)),ROW()-1,""))</f>
        <v/>
      </c>
    </row>
    <row r="1307" spans="1:42" ht="15" customHeight="1" x14ac:dyDescent="0.25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 t="str">
        <f t="shared" si="180"/>
        <v/>
      </c>
      <c r="AG1307" s="7" t="str">
        <f t="shared" si="188"/>
        <v/>
      </c>
      <c r="AH1307" s="7" t="str">
        <f t="shared" si="181"/>
        <v/>
      </c>
      <c r="AI1307" s="7" t="str">
        <f t="shared" si="182"/>
        <v/>
      </c>
      <c r="AJ1307" s="7" t="str">
        <f t="shared" si="183"/>
        <v/>
      </c>
      <c r="AK1307" s="7" t="str">
        <f t="shared" si="184"/>
        <v/>
      </c>
      <c r="AL1307" s="7" t="str">
        <f t="shared" si="185"/>
        <v/>
      </c>
      <c r="AM1307" s="7" t="str">
        <f t="shared" si="186"/>
        <v/>
      </c>
      <c r="AN1307" s="8" t="str">
        <f>IF(C1307="","",COUNTIF($C$2:C1307,C1307))</f>
        <v/>
      </c>
      <c r="AO1307" s="8" t="str">
        <f t="shared" si="187"/>
        <v/>
      </c>
      <c r="AP1307" s="8" t="str">
        <f>IF(C1307="","",IF(AND(OR([1]Consulta!$C$29="",A1307=[1]Consulta!$C$29),OR([1]Consulta!$E$29="",B1307=[1]Consulta!$E$29),OR([1]Consulta!$G$29="",D1307=[1]Consulta!$G$29,R1307=[1]Consulta!$G$29)),ROW()-1,""))</f>
        <v/>
      </c>
    </row>
    <row r="1308" spans="1:42" ht="15" customHeight="1" x14ac:dyDescent="0.25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 t="str">
        <f t="shared" si="180"/>
        <v/>
      </c>
      <c r="AG1308" s="7" t="str">
        <f t="shared" si="188"/>
        <v/>
      </c>
      <c r="AH1308" s="7" t="str">
        <f t="shared" si="181"/>
        <v/>
      </c>
      <c r="AI1308" s="7" t="str">
        <f t="shared" si="182"/>
        <v/>
      </c>
      <c r="AJ1308" s="7" t="str">
        <f t="shared" si="183"/>
        <v/>
      </c>
      <c r="AK1308" s="7" t="str">
        <f t="shared" si="184"/>
        <v/>
      </c>
      <c r="AL1308" s="7" t="str">
        <f t="shared" si="185"/>
        <v/>
      </c>
      <c r="AM1308" s="7" t="str">
        <f t="shared" si="186"/>
        <v/>
      </c>
      <c r="AN1308" s="8" t="str">
        <f>IF(C1308="","",COUNTIF($C$2:C1308,C1308))</f>
        <v/>
      </c>
      <c r="AO1308" s="8" t="str">
        <f t="shared" si="187"/>
        <v/>
      </c>
      <c r="AP1308" s="8" t="str">
        <f>IF(C1308="","",IF(AND(OR([1]Consulta!$C$29="",A1308=[1]Consulta!$C$29),OR([1]Consulta!$E$29="",B1308=[1]Consulta!$E$29),OR([1]Consulta!$G$29="",D1308=[1]Consulta!$G$29,R1308=[1]Consulta!$G$29)),ROW()-1,""))</f>
        <v/>
      </c>
    </row>
    <row r="1309" spans="1:42" ht="15" customHeight="1" x14ac:dyDescent="0.25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 t="str">
        <f t="shared" si="180"/>
        <v/>
      </c>
      <c r="AG1309" s="7" t="str">
        <f t="shared" si="188"/>
        <v/>
      </c>
      <c r="AH1309" s="7" t="str">
        <f t="shared" si="181"/>
        <v/>
      </c>
      <c r="AI1309" s="7" t="str">
        <f t="shared" si="182"/>
        <v/>
      </c>
      <c r="AJ1309" s="7" t="str">
        <f t="shared" si="183"/>
        <v/>
      </c>
      <c r="AK1309" s="7" t="str">
        <f t="shared" si="184"/>
        <v/>
      </c>
      <c r="AL1309" s="7" t="str">
        <f t="shared" si="185"/>
        <v/>
      </c>
      <c r="AM1309" s="7" t="str">
        <f t="shared" si="186"/>
        <v/>
      </c>
      <c r="AN1309" s="8" t="str">
        <f>IF(C1309="","",COUNTIF($C$2:C1309,C1309))</f>
        <v/>
      </c>
      <c r="AO1309" s="8" t="str">
        <f t="shared" si="187"/>
        <v/>
      </c>
      <c r="AP1309" s="8" t="str">
        <f>IF(C1309="","",IF(AND(OR([1]Consulta!$C$29="",A1309=[1]Consulta!$C$29),OR([1]Consulta!$E$29="",B1309=[1]Consulta!$E$29),OR([1]Consulta!$G$29="",D1309=[1]Consulta!$G$29,R1309=[1]Consulta!$G$29)),ROW()-1,""))</f>
        <v/>
      </c>
    </row>
    <row r="1310" spans="1:42" ht="15" customHeight="1" x14ac:dyDescent="0.25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 t="str">
        <f t="shared" si="180"/>
        <v/>
      </c>
      <c r="AG1310" s="7" t="str">
        <f t="shared" si="188"/>
        <v/>
      </c>
      <c r="AH1310" s="7" t="str">
        <f t="shared" si="181"/>
        <v/>
      </c>
      <c r="AI1310" s="7" t="str">
        <f t="shared" si="182"/>
        <v/>
      </c>
      <c r="AJ1310" s="7" t="str">
        <f t="shared" si="183"/>
        <v/>
      </c>
      <c r="AK1310" s="7" t="str">
        <f t="shared" si="184"/>
        <v/>
      </c>
      <c r="AL1310" s="7" t="str">
        <f t="shared" si="185"/>
        <v/>
      </c>
      <c r="AM1310" s="7" t="str">
        <f t="shared" si="186"/>
        <v/>
      </c>
      <c r="AN1310" s="8" t="str">
        <f>IF(C1310="","",COUNTIF($C$2:C1310,C1310))</f>
        <v/>
      </c>
      <c r="AO1310" s="8" t="str">
        <f t="shared" si="187"/>
        <v/>
      </c>
      <c r="AP1310" s="8" t="str">
        <f>IF(C1310="","",IF(AND(OR([1]Consulta!$C$29="",A1310=[1]Consulta!$C$29),OR([1]Consulta!$E$29="",B1310=[1]Consulta!$E$29),OR([1]Consulta!$G$29="",D1310=[1]Consulta!$G$29,R1310=[1]Consulta!$G$29)),ROW()-1,""))</f>
        <v/>
      </c>
    </row>
    <row r="1311" spans="1:42" ht="15" customHeight="1" x14ac:dyDescent="0.25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 t="str">
        <f t="shared" si="180"/>
        <v/>
      </c>
      <c r="AG1311" s="7" t="str">
        <f t="shared" si="188"/>
        <v/>
      </c>
      <c r="AH1311" s="7" t="str">
        <f t="shared" si="181"/>
        <v/>
      </c>
      <c r="AI1311" s="7" t="str">
        <f t="shared" si="182"/>
        <v/>
      </c>
      <c r="AJ1311" s="7" t="str">
        <f t="shared" si="183"/>
        <v/>
      </c>
      <c r="AK1311" s="7" t="str">
        <f t="shared" si="184"/>
        <v/>
      </c>
      <c r="AL1311" s="7" t="str">
        <f t="shared" si="185"/>
        <v/>
      </c>
      <c r="AM1311" s="7" t="str">
        <f t="shared" si="186"/>
        <v/>
      </c>
      <c r="AN1311" s="8" t="str">
        <f>IF(C1311="","",COUNTIF($C$2:C1311,C1311))</f>
        <v/>
      </c>
      <c r="AO1311" s="8" t="str">
        <f t="shared" si="187"/>
        <v/>
      </c>
      <c r="AP1311" s="8" t="str">
        <f>IF(C1311="","",IF(AND(OR([1]Consulta!$C$29="",A1311=[1]Consulta!$C$29),OR([1]Consulta!$E$29="",B1311=[1]Consulta!$E$29),OR([1]Consulta!$G$29="",D1311=[1]Consulta!$G$29,R1311=[1]Consulta!$G$29)),ROW()-1,""))</f>
        <v/>
      </c>
    </row>
    <row r="1312" spans="1:42" ht="15" customHeight="1" x14ac:dyDescent="0.25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 t="str">
        <f t="shared" si="180"/>
        <v/>
      </c>
      <c r="AG1312" s="7" t="str">
        <f t="shared" si="188"/>
        <v/>
      </c>
      <c r="AH1312" s="7" t="str">
        <f t="shared" si="181"/>
        <v/>
      </c>
      <c r="AI1312" s="7" t="str">
        <f t="shared" si="182"/>
        <v/>
      </c>
      <c r="AJ1312" s="7" t="str">
        <f t="shared" si="183"/>
        <v/>
      </c>
      <c r="AK1312" s="7" t="str">
        <f t="shared" si="184"/>
        <v/>
      </c>
      <c r="AL1312" s="7" t="str">
        <f t="shared" si="185"/>
        <v/>
      </c>
      <c r="AM1312" s="7" t="str">
        <f t="shared" si="186"/>
        <v/>
      </c>
      <c r="AN1312" s="8" t="str">
        <f>IF(C1312="","",COUNTIF($C$2:C1312,C1312))</f>
        <v/>
      </c>
      <c r="AO1312" s="8" t="str">
        <f t="shared" si="187"/>
        <v/>
      </c>
      <c r="AP1312" s="8" t="str">
        <f>IF(C1312="","",IF(AND(OR([1]Consulta!$C$29="",A1312=[1]Consulta!$C$29),OR([1]Consulta!$E$29="",B1312=[1]Consulta!$E$29),OR([1]Consulta!$G$29="",D1312=[1]Consulta!$G$29,R1312=[1]Consulta!$G$29)),ROW()-1,""))</f>
        <v/>
      </c>
    </row>
    <row r="1313" spans="1:42" ht="15" customHeight="1" x14ac:dyDescent="0.25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 t="str">
        <f t="shared" si="180"/>
        <v/>
      </c>
      <c r="AG1313" s="7" t="str">
        <f t="shared" si="188"/>
        <v/>
      </c>
      <c r="AH1313" s="7" t="str">
        <f t="shared" si="181"/>
        <v/>
      </c>
      <c r="AI1313" s="7" t="str">
        <f t="shared" si="182"/>
        <v/>
      </c>
      <c r="AJ1313" s="7" t="str">
        <f t="shared" si="183"/>
        <v/>
      </c>
      <c r="AK1313" s="7" t="str">
        <f t="shared" si="184"/>
        <v/>
      </c>
      <c r="AL1313" s="7" t="str">
        <f t="shared" si="185"/>
        <v/>
      </c>
      <c r="AM1313" s="7" t="str">
        <f t="shared" si="186"/>
        <v/>
      </c>
      <c r="AN1313" s="8" t="str">
        <f>IF(C1313="","",COUNTIF($C$2:C1313,C1313))</f>
        <v/>
      </c>
      <c r="AO1313" s="8" t="str">
        <f t="shared" si="187"/>
        <v/>
      </c>
      <c r="AP1313" s="8" t="str">
        <f>IF(C1313="","",IF(AND(OR([1]Consulta!$C$29="",A1313=[1]Consulta!$C$29),OR([1]Consulta!$E$29="",B1313=[1]Consulta!$E$29),OR([1]Consulta!$G$29="",D1313=[1]Consulta!$G$29,R1313=[1]Consulta!$G$29)),ROW()-1,""))</f>
        <v/>
      </c>
    </row>
    <row r="1314" spans="1:42" ht="15" customHeight="1" x14ac:dyDescent="0.25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 t="str">
        <f t="shared" si="180"/>
        <v/>
      </c>
      <c r="AG1314" s="7" t="str">
        <f t="shared" si="188"/>
        <v/>
      </c>
      <c r="AH1314" s="7" t="str">
        <f t="shared" si="181"/>
        <v/>
      </c>
      <c r="AI1314" s="7" t="str">
        <f t="shared" si="182"/>
        <v/>
      </c>
      <c r="AJ1314" s="7" t="str">
        <f t="shared" si="183"/>
        <v/>
      </c>
      <c r="AK1314" s="7" t="str">
        <f t="shared" si="184"/>
        <v/>
      </c>
      <c r="AL1314" s="7" t="str">
        <f t="shared" si="185"/>
        <v/>
      </c>
      <c r="AM1314" s="7" t="str">
        <f t="shared" si="186"/>
        <v/>
      </c>
      <c r="AN1314" s="8" t="str">
        <f>IF(C1314="","",COUNTIF($C$2:C1314,C1314))</f>
        <v/>
      </c>
      <c r="AO1314" s="8" t="str">
        <f t="shared" si="187"/>
        <v/>
      </c>
      <c r="AP1314" s="8" t="str">
        <f>IF(C1314="","",IF(AND(OR([1]Consulta!$C$29="",A1314=[1]Consulta!$C$29),OR([1]Consulta!$E$29="",B1314=[1]Consulta!$E$29),OR([1]Consulta!$G$29="",D1314=[1]Consulta!$G$29,R1314=[1]Consulta!$G$29)),ROW()-1,""))</f>
        <v/>
      </c>
    </row>
    <row r="1315" spans="1:42" ht="15" customHeight="1" x14ac:dyDescent="0.25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 t="str">
        <f t="shared" si="180"/>
        <v/>
      </c>
      <c r="AG1315" s="7" t="str">
        <f t="shared" si="188"/>
        <v/>
      </c>
      <c r="AH1315" s="7" t="str">
        <f t="shared" si="181"/>
        <v/>
      </c>
      <c r="AI1315" s="7" t="str">
        <f t="shared" si="182"/>
        <v/>
      </c>
      <c r="AJ1315" s="7" t="str">
        <f t="shared" si="183"/>
        <v/>
      </c>
      <c r="AK1315" s="7" t="str">
        <f t="shared" si="184"/>
        <v/>
      </c>
      <c r="AL1315" s="7" t="str">
        <f t="shared" si="185"/>
        <v/>
      </c>
      <c r="AM1315" s="7" t="str">
        <f t="shared" si="186"/>
        <v/>
      </c>
      <c r="AN1315" s="8" t="str">
        <f>IF(C1315="","",COUNTIF($C$2:C1315,C1315))</f>
        <v/>
      </c>
      <c r="AO1315" s="8" t="str">
        <f t="shared" si="187"/>
        <v/>
      </c>
      <c r="AP1315" s="8" t="str">
        <f>IF(C1315="","",IF(AND(OR([1]Consulta!$C$29="",A1315=[1]Consulta!$C$29),OR([1]Consulta!$E$29="",B1315=[1]Consulta!$E$29),OR([1]Consulta!$G$29="",D1315=[1]Consulta!$G$29,R1315=[1]Consulta!$G$29)),ROW()-1,""))</f>
        <v/>
      </c>
    </row>
    <row r="1316" spans="1:42" ht="15" customHeight="1" x14ac:dyDescent="0.25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 t="str">
        <f t="shared" si="180"/>
        <v/>
      </c>
      <c r="AG1316" s="7" t="str">
        <f t="shared" si="188"/>
        <v/>
      </c>
      <c r="AH1316" s="7" t="str">
        <f t="shared" si="181"/>
        <v/>
      </c>
      <c r="AI1316" s="7" t="str">
        <f t="shared" si="182"/>
        <v/>
      </c>
      <c r="AJ1316" s="7" t="str">
        <f t="shared" si="183"/>
        <v/>
      </c>
      <c r="AK1316" s="7" t="str">
        <f t="shared" si="184"/>
        <v/>
      </c>
      <c r="AL1316" s="7" t="str">
        <f t="shared" si="185"/>
        <v/>
      </c>
      <c r="AM1316" s="7" t="str">
        <f t="shared" si="186"/>
        <v/>
      </c>
      <c r="AN1316" s="8" t="str">
        <f>IF(C1316="","",COUNTIF($C$2:C1316,C1316))</f>
        <v/>
      </c>
      <c r="AO1316" s="8" t="str">
        <f t="shared" si="187"/>
        <v/>
      </c>
      <c r="AP1316" s="8" t="str">
        <f>IF(C1316="","",IF(AND(OR([1]Consulta!$C$29="",A1316=[1]Consulta!$C$29),OR([1]Consulta!$E$29="",B1316=[1]Consulta!$E$29),OR([1]Consulta!$G$29="",D1316=[1]Consulta!$G$29,R1316=[1]Consulta!$G$29)),ROW()-1,""))</f>
        <v/>
      </c>
    </row>
    <row r="1317" spans="1:42" ht="15" customHeight="1" x14ac:dyDescent="0.25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 t="str">
        <f t="shared" si="180"/>
        <v/>
      </c>
      <c r="AG1317" s="7" t="str">
        <f t="shared" si="188"/>
        <v/>
      </c>
      <c r="AH1317" s="7" t="str">
        <f t="shared" si="181"/>
        <v/>
      </c>
      <c r="AI1317" s="7" t="str">
        <f t="shared" si="182"/>
        <v/>
      </c>
      <c r="AJ1317" s="7" t="str">
        <f t="shared" si="183"/>
        <v/>
      </c>
      <c r="AK1317" s="7" t="str">
        <f t="shared" si="184"/>
        <v/>
      </c>
      <c r="AL1317" s="7" t="str">
        <f t="shared" si="185"/>
        <v/>
      </c>
      <c r="AM1317" s="7" t="str">
        <f t="shared" si="186"/>
        <v/>
      </c>
      <c r="AN1317" s="8" t="str">
        <f>IF(C1317="","",COUNTIF($C$2:C1317,C1317))</f>
        <v/>
      </c>
      <c r="AO1317" s="8" t="str">
        <f t="shared" si="187"/>
        <v/>
      </c>
      <c r="AP1317" s="8" t="str">
        <f>IF(C1317="","",IF(AND(OR([1]Consulta!$C$29="",A1317=[1]Consulta!$C$29),OR([1]Consulta!$E$29="",B1317=[1]Consulta!$E$29),OR([1]Consulta!$G$29="",D1317=[1]Consulta!$G$29,R1317=[1]Consulta!$G$29)),ROW()-1,""))</f>
        <v/>
      </c>
    </row>
    <row r="1318" spans="1:42" ht="15" customHeight="1" x14ac:dyDescent="0.25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 t="str">
        <f t="shared" si="180"/>
        <v/>
      </c>
      <c r="AG1318" s="7" t="str">
        <f t="shared" si="188"/>
        <v/>
      </c>
      <c r="AH1318" s="7" t="str">
        <f t="shared" si="181"/>
        <v/>
      </c>
      <c r="AI1318" s="7" t="str">
        <f t="shared" si="182"/>
        <v/>
      </c>
      <c r="AJ1318" s="7" t="str">
        <f t="shared" si="183"/>
        <v/>
      </c>
      <c r="AK1318" s="7" t="str">
        <f t="shared" si="184"/>
        <v/>
      </c>
      <c r="AL1318" s="7" t="str">
        <f t="shared" si="185"/>
        <v/>
      </c>
      <c r="AM1318" s="7" t="str">
        <f t="shared" si="186"/>
        <v/>
      </c>
      <c r="AN1318" s="8" t="str">
        <f>IF(C1318="","",COUNTIF($C$2:C1318,C1318))</f>
        <v/>
      </c>
      <c r="AO1318" s="8" t="str">
        <f t="shared" si="187"/>
        <v/>
      </c>
      <c r="AP1318" s="8" t="str">
        <f>IF(C1318="","",IF(AND(OR([1]Consulta!$C$29="",A1318=[1]Consulta!$C$29),OR([1]Consulta!$E$29="",B1318=[1]Consulta!$E$29),OR([1]Consulta!$G$29="",D1318=[1]Consulta!$G$29,R1318=[1]Consulta!$G$29)),ROW()-1,""))</f>
        <v/>
      </c>
    </row>
    <row r="1319" spans="1:42" ht="15" customHeight="1" x14ac:dyDescent="0.25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 t="str">
        <f t="shared" si="180"/>
        <v/>
      </c>
      <c r="AG1319" s="7" t="str">
        <f t="shared" si="188"/>
        <v/>
      </c>
      <c r="AH1319" s="7" t="str">
        <f t="shared" si="181"/>
        <v/>
      </c>
      <c r="AI1319" s="7" t="str">
        <f t="shared" si="182"/>
        <v/>
      </c>
      <c r="AJ1319" s="7" t="str">
        <f t="shared" si="183"/>
        <v/>
      </c>
      <c r="AK1319" s="7" t="str">
        <f t="shared" si="184"/>
        <v/>
      </c>
      <c r="AL1319" s="7" t="str">
        <f t="shared" si="185"/>
        <v/>
      </c>
      <c r="AM1319" s="7" t="str">
        <f t="shared" si="186"/>
        <v/>
      </c>
      <c r="AN1319" s="8" t="str">
        <f>IF(C1319="","",COUNTIF($C$2:C1319,C1319))</f>
        <v/>
      </c>
      <c r="AO1319" s="8" t="str">
        <f t="shared" si="187"/>
        <v/>
      </c>
      <c r="AP1319" s="8" t="str">
        <f>IF(C1319="","",IF(AND(OR([1]Consulta!$C$29="",A1319=[1]Consulta!$C$29),OR([1]Consulta!$E$29="",B1319=[1]Consulta!$E$29),OR([1]Consulta!$G$29="",D1319=[1]Consulta!$G$29,R1319=[1]Consulta!$G$29)),ROW()-1,""))</f>
        <v/>
      </c>
    </row>
    <row r="1320" spans="1:42" ht="15" customHeight="1" x14ac:dyDescent="0.25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 t="str">
        <f t="shared" si="180"/>
        <v/>
      </c>
      <c r="AG1320" s="7" t="str">
        <f t="shared" si="188"/>
        <v/>
      </c>
      <c r="AH1320" s="7" t="str">
        <f t="shared" si="181"/>
        <v/>
      </c>
      <c r="AI1320" s="7" t="str">
        <f t="shared" si="182"/>
        <v/>
      </c>
      <c r="AJ1320" s="7" t="str">
        <f t="shared" si="183"/>
        <v/>
      </c>
      <c r="AK1320" s="7" t="str">
        <f t="shared" si="184"/>
        <v/>
      </c>
      <c r="AL1320" s="7" t="str">
        <f t="shared" si="185"/>
        <v/>
      </c>
      <c r="AM1320" s="7" t="str">
        <f t="shared" si="186"/>
        <v/>
      </c>
      <c r="AN1320" s="8" t="str">
        <f>IF(C1320="","",COUNTIF($C$2:C1320,C1320))</f>
        <v/>
      </c>
      <c r="AO1320" s="8" t="str">
        <f t="shared" si="187"/>
        <v/>
      </c>
      <c r="AP1320" s="8" t="str">
        <f>IF(C1320="","",IF(AND(OR([1]Consulta!$C$29="",A1320=[1]Consulta!$C$29),OR([1]Consulta!$E$29="",B1320=[1]Consulta!$E$29),OR([1]Consulta!$G$29="",D1320=[1]Consulta!$G$29,R1320=[1]Consulta!$G$29)),ROW()-1,""))</f>
        <v/>
      </c>
    </row>
    <row r="1321" spans="1:42" ht="15" customHeight="1" x14ac:dyDescent="0.25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 t="str">
        <f t="shared" si="180"/>
        <v/>
      </c>
      <c r="AG1321" s="7" t="str">
        <f t="shared" si="188"/>
        <v/>
      </c>
      <c r="AH1321" s="7" t="str">
        <f t="shared" si="181"/>
        <v/>
      </c>
      <c r="AI1321" s="7" t="str">
        <f t="shared" si="182"/>
        <v/>
      </c>
      <c r="AJ1321" s="7" t="str">
        <f t="shared" si="183"/>
        <v/>
      </c>
      <c r="AK1321" s="7" t="str">
        <f t="shared" si="184"/>
        <v/>
      </c>
      <c r="AL1321" s="7" t="str">
        <f t="shared" si="185"/>
        <v/>
      </c>
      <c r="AM1321" s="7" t="str">
        <f t="shared" si="186"/>
        <v/>
      </c>
      <c r="AN1321" s="8" t="str">
        <f>IF(C1321="","",COUNTIF($C$2:C1321,C1321))</f>
        <v/>
      </c>
      <c r="AO1321" s="8" t="str">
        <f t="shared" si="187"/>
        <v/>
      </c>
      <c r="AP1321" s="8" t="str">
        <f>IF(C1321="","",IF(AND(OR([1]Consulta!$C$29="",A1321=[1]Consulta!$C$29),OR([1]Consulta!$E$29="",B1321=[1]Consulta!$E$29),OR([1]Consulta!$G$29="",D1321=[1]Consulta!$G$29,R1321=[1]Consulta!$G$29)),ROW()-1,""))</f>
        <v/>
      </c>
    </row>
    <row r="1322" spans="1:42" ht="15" customHeight="1" x14ac:dyDescent="0.25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 t="str">
        <f t="shared" si="180"/>
        <v/>
      </c>
      <c r="AG1322" s="7" t="str">
        <f t="shared" si="188"/>
        <v/>
      </c>
      <c r="AH1322" s="7" t="str">
        <f t="shared" si="181"/>
        <v/>
      </c>
      <c r="AI1322" s="7" t="str">
        <f t="shared" si="182"/>
        <v/>
      </c>
      <c r="AJ1322" s="7" t="str">
        <f t="shared" si="183"/>
        <v/>
      </c>
      <c r="AK1322" s="7" t="str">
        <f t="shared" si="184"/>
        <v/>
      </c>
      <c r="AL1322" s="7" t="str">
        <f t="shared" si="185"/>
        <v/>
      </c>
      <c r="AM1322" s="7" t="str">
        <f t="shared" si="186"/>
        <v/>
      </c>
      <c r="AN1322" s="8" t="str">
        <f>IF(C1322="","",COUNTIF($C$2:C1322,C1322))</f>
        <v/>
      </c>
      <c r="AO1322" s="8" t="str">
        <f t="shared" si="187"/>
        <v/>
      </c>
      <c r="AP1322" s="8" t="str">
        <f>IF(C1322="","",IF(AND(OR([1]Consulta!$C$29="",A1322=[1]Consulta!$C$29),OR([1]Consulta!$E$29="",B1322=[1]Consulta!$E$29),OR([1]Consulta!$G$29="",D1322=[1]Consulta!$G$29,R1322=[1]Consulta!$G$29)),ROW()-1,""))</f>
        <v/>
      </c>
    </row>
    <row r="1323" spans="1:42" ht="15" customHeight="1" x14ac:dyDescent="0.25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 t="str">
        <f t="shared" si="180"/>
        <v/>
      </c>
      <c r="AG1323" s="7" t="str">
        <f t="shared" si="188"/>
        <v/>
      </c>
      <c r="AH1323" s="7" t="str">
        <f t="shared" si="181"/>
        <v/>
      </c>
      <c r="AI1323" s="7" t="str">
        <f t="shared" si="182"/>
        <v/>
      </c>
      <c r="AJ1323" s="7" t="str">
        <f t="shared" si="183"/>
        <v/>
      </c>
      <c r="AK1323" s="7" t="str">
        <f t="shared" si="184"/>
        <v/>
      </c>
      <c r="AL1323" s="7" t="str">
        <f t="shared" si="185"/>
        <v/>
      </c>
      <c r="AM1323" s="7" t="str">
        <f t="shared" si="186"/>
        <v/>
      </c>
      <c r="AN1323" s="8" t="str">
        <f>IF(C1323="","",COUNTIF($C$2:C1323,C1323))</f>
        <v/>
      </c>
      <c r="AO1323" s="8" t="str">
        <f t="shared" si="187"/>
        <v/>
      </c>
      <c r="AP1323" s="8" t="str">
        <f>IF(C1323="","",IF(AND(OR([1]Consulta!$C$29="",A1323=[1]Consulta!$C$29),OR([1]Consulta!$E$29="",B1323=[1]Consulta!$E$29),OR([1]Consulta!$G$29="",D1323=[1]Consulta!$G$29,R1323=[1]Consulta!$G$29)),ROW()-1,""))</f>
        <v/>
      </c>
    </row>
    <row r="1324" spans="1:42" ht="15" customHeight="1" x14ac:dyDescent="0.25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 t="str">
        <f t="shared" si="180"/>
        <v/>
      </c>
      <c r="AG1324" s="7" t="str">
        <f t="shared" si="188"/>
        <v/>
      </c>
      <c r="AH1324" s="7" t="str">
        <f t="shared" si="181"/>
        <v/>
      </c>
      <c r="AI1324" s="7" t="str">
        <f t="shared" si="182"/>
        <v/>
      </c>
      <c r="AJ1324" s="7" t="str">
        <f t="shared" si="183"/>
        <v/>
      </c>
      <c r="AK1324" s="7" t="str">
        <f t="shared" si="184"/>
        <v/>
      </c>
      <c r="AL1324" s="7" t="str">
        <f t="shared" si="185"/>
        <v/>
      </c>
      <c r="AM1324" s="7" t="str">
        <f t="shared" si="186"/>
        <v/>
      </c>
      <c r="AN1324" s="8" t="str">
        <f>IF(C1324="","",COUNTIF($C$2:C1324,C1324))</f>
        <v/>
      </c>
      <c r="AO1324" s="8" t="str">
        <f t="shared" si="187"/>
        <v/>
      </c>
      <c r="AP1324" s="8" t="str">
        <f>IF(C1324="","",IF(AND(OR([1]Consulta!$C$29="",A1324=[1]Consulta!$C$29),OR([1]Consulta!$E$29="",B1324=[1]Consulta!$E$29),OR([1]Consulta!$G$29="",D1324=[1]Consulta!$G$29,R1324=[1]Consulta!$G$29)),ROW()-1,""))</f>
        <v/>
      </c>
    </row>
    <row r="1325" spans="1:42" ht="15" customHeight="1" x14ac:dyDescent="0.25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 t="str">
        <f t="shared" si="180"/>
        <v/>
      </c>
      <c r="AG1325" s="7" t="str">
        <f t="shared" si="188"/>
        <v/>
      </c>
      <c r="AH1325" s="7" t="str">
        <f t="shared" si="181"/>
        <v/>
      </c>
      <c r="AI1325" s="7" t="str">
        <f t="shared" si="182"/>
        <v/>
      </c>
      <c r="AJ1325" s="7" t="str">
        <f t="shared" si="183"/>
        <v/>
      </c>
      <c r="AK1325" s="7" t="str">
        <f t="shared" si="184"/>
        <v/>
      </c>
      <c r="AL1325" s="7" t="str">
        <f t="shared" si="185"/>
        <v/>
      </c>
      <c r="AM1325" s="7" t="str">
        <f t="shared" si="186"/>
        <v/>
      </c>
      <c r="AN1325" s="8" t="str">
        <f>IF(C1325="","",COUNTIF($C$2:C1325,C1325))</f>
        <v/>
      </c>
      <c r="AO1325" s="8" t="str">
        <f t="shared" si="187"/>
        <v/>
      </c>
      <c r="AP1325" s="8" t="str">
        <f>IF(C1325="","",IF(AND(OR([1]Consulta!$C$29="",A1325=[1]Consulta!$C$29),OR([1]Consulta!$E$29="",B1325=[1]Consulta!$E$29),OR([1]Consulta!$G$29="",D1325=[1]Consulta!$G$29,R1325=[1]Consulta!$G$29)),ROW()-1,""))</f>
        <v/>
      </c>
    </row>
    <row r="1326" spans="1:42" ht="15" customHeight="1" x14ac:dyDescent="0.25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 t="str">
        <f t="shared" si="180"/>
        <v/>
      </c>
      <c r="AG1326" s="7" t="str">
        <f t="shared" si="188"/>
        <v/>
      </c>
      <c r="AH1326" s="7" t="str">
        <f t="shared" si="181"/>
        <v/>
      </c>
      <c r="AI1326" s="7" t="str">
        <f t="shared" si="182"/>
        <v/>
      </c>
      <c r="AJ1326" s="7" t="str">
        <f t="shared" si="183"/>
        <v/>
      </c>
      <c r="AK1326" s="7" t="str">
        <f t="shared" si="184"/>
        <v/>
      </c>
      <c r="AL1326" s="7" t="str">
        <f t="shared" si="185"/>
        <v/>
      </c>
      <c r="AM1326" s="7" t="str">
        <f t="shared" si="186"/>
        <v/>
      </c>
      <c r="AN1326" s="8" t="str">
        <f>IF(C1326="","",COUNTIF($C$2:C1326,C1326))</f>
        <v/>
      </c>
      <c r="AO1326" s="8" t="str">
        <f t="shared" si="187"/>
        <v/>
      </c>
      <c r="AP1326" s="8" t="str">
        <f>IF(C1326="","",IF(AND(OR([1]Consulta!$C$29="",A1326=[1]Consulta!$C$29),OR([1]Consulta!$E$29="",B1326=[1]Consulta!$E$29),OR([1]Consulta!$G$29="",D1326=[1]Consulta!$G$29,R1326=[1]Consulta!$G$29)),ROW()-1,""))</f>
        <v/>
      </c>
    </row>
    <row r="1327" spans="1:42" ht="15" customHeight="1" x14ac:dyDescent="0.25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 t="str">
        <f t="shared" si="180"/>
        <v/>
      </c>
      <c r="AG1327" s="7" t="str">
        <f t="shared" si="188"/>
        <v/>
      </c>
      <c r="AH1327" s="7" t="str">
        <f t="shared" si="181"/>
        <v/>
      </c>
      <c r="AI1327" s="7" t="str">
        <f t="shared" si="182"/>
        <v/>
      </c>
      <c r="AJ1327" s="7" t="str">
        <f t="shared" si="183"/>
        <v/>
      </c>
      <c r="AK1327" s="7" t="str">
        <f t="shared" si="184"/>
        <v/>
      </c>
      <c r="AL1327" s="7" t="str">
        <f t="shared" si="185"/>
        <v/>
      </c>
      <c r="AM1327" s="7" t="str">
        <f t="shared" si="186"/>
        <v/>
      </c>
      <c r="AN1327" s="8" t="str">
        <f>IF(C1327="","",COUNTIF($C$2:C1327,C1327))</f>
        <v/>
      </c>
      <c r="AO1327" s="8" t="str">
        <f t="shared" si="187"/>
        <v/>
      </c>
      <c r="AP1327" s="8" t="str">
        <f>IF(C1327="","",IF(AND(OR([1]Consulta!$C$29="",A1327=[1]Consulta!$C$29),OR([1]Consulta!$E$29="",B1327=[1]Consulta!$E$29),OR([1]Consulta!$G$29="",D1327=[1]Consulta!$G$29,R1327=[1]Consulta!$G$29)),ROW()-1,""))</f>
        <v/>
      </c>
    </row>
    <row r="1328" spans="1:42" ht="15" customHeight="1" x14ac:dyDescent="0.25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 t="str">
        <f t="shared" si="180"/>
        <v/>
      </c>
      <c r="AG1328" s="7" t="str">
        <f t="shared" si="188"/>
        <v/>
      </c>
      <c r="AH1328" s="7" t="str">
        <f t="shared" si="181"/>
        <v/>
      </c>
      <c r="AI1328" s="7" t="str">
        <f t="shared" si="182"/>
        <v/>
      </c>
      <c r="AJ1328" s="7" t="str">
        <f t="shared" si="183"/>
        <v/>
      </c>
      <c r="AK1328" s="7" t="str">
        <f t="shared" si="184"/>
        <v/>
      </c>
      <c r="AL1328" s="7" t="str">
        <f t="shared" si="185"/>
        <v/>
      </c>
      <c r="AM1328" s="7" t="str">
        <f t="shared" si="186"/>
        <v/>
      </c>
      <c r="AN1328" s="8" t="str">
        <f>IF(C1328="","",COUNTIF($C$2:C1328,C1328))</f>
        <v/>
      </c>
      <c r="AO1328" s="8" t="str">
        <f t="shared" si="187"/>
        <v/>
      </c>
      <c r="AP1328" s="8" t="str">
        <f>IF(C1328="","",IF(AND(OR([1]Consulta!$C$29="",A1328=[1]Consulta!$C$29),OR([1]Consulta!$E$29="",B1328=[1]Consulta!$E$29),OR([1]Consulta!$G$29="",D1328=[1]Consulta!$G$29,R1328=[1]Consulta!$G$29)),ROW()-1,""))</f>
        <v/>
      </c>
    </row>
    <row r="1329" spans="1:42" ht="15" customHeight="1" x14ac:dyDescent="0.25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 t="str">
        <f t="shared" si="180"/>
        <v/>
      </c>
      <c r="AG1329" s="7" t="str">
        <f t="shared" si="188"/>
        <v/>
      </c>
      <c r="AH1329" s="7" t="str">
        <f t="shared" si="181"/>
        <v/>
      </c>
      <c r="AI1329" s="7" t="str">
        <f t="shared" si="182"/>
        <v/>
      </c>
      <c r="AJ1329" s="7" t="str">
        <f t="shared" si="183"/>
        <v/>
      </c>
      <c r="AK1329" s="7" t="str">
        <f t="shared" si="184"/>
        <v/>
      </c>
      <c r="AL1329" s="7" t="str">
        <f t="shared" si="185"/>
        <v/>
      </c>
      <c r="AM1329" s="7" t="str">
        <f t="shared" si="186"/>
        <v/>
      </c>
      <c r="AN1329" s="8" t="str">
        <f>IF(C1329="","",COUNTIF($C$2:C1329,C1329))</f>
        <v/>
      </c>
      <c r="AO1329" s="8" t="str">
        <f t="shared" si="187"/>
        <v/>
      </c>
      <c r="AP1329" s="8" t="str">
        <f>IF(C1329="","",IF(AND(OR([1]Consulta!$C$29="",A1329=[1]Consulta!$C$29),OR([1]Consulta!$E$29="",B1329=[1]Consulta!$E$29),OR([1]Consulta!$G$29="",D1329=[1]Consulta!$G$29,R1329=[1]Consulta!$G$29)),ROW()-1,""))</f>
        <v/>
      </c>
    </row>
    <row r="1330" spans="1:42" ht="15" customHeight="1" x14ac:dyDescent="0.25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 t="str">
        <f t="shared" si="180"/>
        <v/>
      </c>
      <c r="AG1330" s="7" t="str">
        <f t="shared" si="188"/>
        <v/>
      </c>
      <c r="AH1330" s="7" t="str">
        <f t="shared" si="181"/>
        <v/>
      </c>
      <c r="AI1330" s="7" t="str">
        <f t="shared" si="182"/>
        <v/>
      </c>
      <c r="AJ1330" s="7" t="str">
        <f t="shared" si="183"/>
        <v/>
      </c>
      <c r="AK1330" s="7" t="str">
        <f t="shared" si="184"/>
        <v/>
      </c>
      <c r="AL1330" s="7" t="str">
        <f t="shared" si="185"/>
        <v/>
      </c>
      <c r="AM1330" s="7" t="str">
        <f t="shared" si="186"/>
        <v/>
      </c>
      <c r="AN1330" s="8" t="str">
        <f>IF(C1330="","",COUNTIF($C$2:C1330,C1330))</f>
        <v/>
      </c>
      <c r="AO1330" s="8" t="str">
        <f t="shared" si="187"/>
        <v/>
      </c>
      <c r="AP1330" s="8" t="str">
        <f>IF(C1330="","",IF(AND(OR([1]Consulta!$C$29="",A1330=[1]Consulta!$C$29),OR([1]Consulta!$E$29="",B1330=[1]Consulta!$E$29),OR([1]Consulta!$G$29="",D1330=[1]Consulta!$G$29,R1330=[1]Consulta!$G$29)),ROW()-1,""))</f>
        <v/>
      </c>
    </row>
    <row r="1331" spans="1:42" ht="15" customHeight="1" x14ac:dyDescent="0.25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 t="str">
        <f t="shared" si="180"/>
        <v/>
      </c>
      <c r="AG1331" s="7" t="str">
        <f t="shared" si="188"/>
        <v/>
      </c>
      <c r="AH1331" s="7" t="str">
        <f t="shared" si="181"/>
        <v/>
      </c>
      <c r="AI1331" s="7" t="str">
        <f t="shared" si="182"/>
        <v/>
      </c>
      <c r="AJ1331" s="7" t="str">
        <f t="shared" si="183"/>
        <v/>
      </c>
      <c r="AK1331" s="7" t="str">
        <f t="shared" si="184"/>
        <v/>
      </c>
      <c r="AL1331" s="7" t="str">
        <f t="shared" si="185"/>
        <v/>
      </c>
      <c r="AM1331" s="7" t="str">
        <f t="shared" si="186"/>
        <v/>
      </c>
      <c r="AN1331" s="8" t="str">
        <f>IF(C1331="","",COUNTIF($C$2:C1331,C1331))</f>
        <v/>
      </c>
      <c r="AO1331" s="8" t="str">
        <f t="shared" si="187"/>
        <v/>
      </c>
      <c r="AP1331" s="8" t="str">
        <f>IF(C1331="","",IF(AND(OR([1]Consulta!$C$29="",A1331=[1]Consulta!$C$29),OR([1]Consulta!$E$29="",B1331=[1]Consulta!$E$29),OR([1]Consulta!$G$29="",D1331=[1]Consulta!$G$29,R1331=[1]Consulta!$G$29)),ROW()-1,""))</f>
        <v/>
      </c>
    </row>
    <row r="1332" spans="1:42" ht="15" customHeight="1" x14ac:dyDescent="0.25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 t="str">
        <f t="shared" si="180"/>
        <v/>
      </c>
      <c r="AG1332" s="7" t="str">
        <f t="shared" si="188"/>
        <v/>
      </c>
      <c r="AH1332" s="7" t="str">
        <f t="shared" si="181"/>
        <v/>
      </c>
      <c r="AI1332" s="7" t="str">
        <f t="shared" si="182"/>
        <v/>
      </c>
      <c r="AJ1332" s="7" t="str">
        <f t="shared" si="183"/>
        <v/>
      </c>
      <c r="AK1332" s="7" t="str">
        <f t="shared" si="184"/>
        <v/>
      </c>
      <c r="AL1332" s="7" t="str">
        <f t="shared" si="185"/>
        <v/>
      </c>
      <c r="AM1332" s="7" t="str">
        <f t="shared" si="186"/>
        <v/>
      </c>
      <c r="AN1332" s="8" t="str">
        <f>IF(C1332="","",COUNTIF($C$2:C1332,C1332))</f>
        <v/>
      </c>
      <c r="AO1332" s="8" t="str">
        <f t="shared" si="187"/>
        <v/>
      </c>
      <c r="AP1332" s="8" t="str">
        <f>IF(C1332="","",IF(AND(OR([1]Consulta!$C$29="",A1332=[1]Consulta!$C$29),OR([1]Consulta!$E$29="",B1332=[1]Consulta!$E$29),OR([1]Consulta!$G$29="",D1332=[1]Consulta!$G$29,R1332=[1]Consulta!$G$29)),ROW()-1,""))</f>
        <v/>
      </c>
    </row>
    <row r="1333" spans="1:42" ht="15" customHeight="1" x14ac:dyDescent="0.25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 t="str">
        <f t="shared" si="180"/>
        <v/>
      </c>
      <c r="AG1333" s="7" t="str">
        <f t="shared" si="188"/>
        <v/>
      </c>
      <c r="AH1333" s="7" t="str">
        <f t="shared" si="181"/>
        <v/>
      </c>
      <c r="AI1333" s="7" t="str">
        <f t="shared" si="182"/>
        <v/>
      </c>
      <c r="AJ1333" s="7" t="str">
        <f t="shared" si="183"/>
        <v/>
      </c>
      <c r="AK1333" s="7" t="str">
        <f t="shared" si="184"/>
        <v/>
      </c>
      <c r="AL1333" s="7" t="str">
        <f t="shared" si="185"/>
        <v/>
      </c>
      <c r="AM1333" s="7" t="str">
        <f t="shared" si="186"/>
        <v/>
      </c>
      <c r="AN1333" s="8" t="str">
        <f>IF(C1333="","",COUNTIF($C$2:C1333,C1333))</f>
        <v/>
      </c>
      <c r="AO1333" s="8" t="str">
        <f t="shared" si="187"/>
        <v/>
      </c>
      <c r="AP1333" s="8" t="str">
        <f>IF(C1333="","",IF(AND(OR([1]Consulta!$C$29="",A1333=[1]Consulta!$C$29),OR([1]Consulta!$E$29="",B1333=[1]Consulta!$E$29),OR([1]Consulta!$G$29="",D1333=[1]Consulta!$G$29,R1333=[1]Consulta!$G$29)),ROW()-1,""))</f>
        <v/>
      </c>
    </row>
    <row r="1334" spans="1:42" ht="15" customHeight="1" x14ac:dyDescent="0.25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 t="str">
        <f t="shared" si="180"/>
        <v/>
      </c>
      <c r="AG1334" s="7" t="str">
        <f t="shared" si="188"/>
        <v/>
      </c>
      <c r="AH1334" s="7" t="str">
        <f t="shared" si="181"/>
        <v/>
      </c>
      <c r="AI1334" s="7" t="str">
        <f t="shared" si="182"/>
        <v/>
      </c>
      <c r="AJ1334" s="7" t="str">
        <f t="shared" si="183"/>
        <v/>
      </c>
      <c r="AK1334" s="7" t="str">
        <f t="shared" si="184"/>
        <v/>
      </c>
      <c r="AL1334" s="7" t="str">
        <f t="shared" si="185"/>
        <v/>
      </c>
      <c r="AM1334" s="7" t="str">
        <f t="shared" si="186"/>
        <v/>
      </c>
      <c r="AN1334" s="8" t="str">
        <f>IF(C1334="","",COUNTIF($C$2:C1334,C1334))</f>
        <v/>
      </c>
      <c r="AO1334" s="8" t="str">
        <f t="shared" si="187"/>
        <v/>
      </c>
      <c r="AP1334" s="8" t="str">
        <f>IF(C1334="","",IF(AND(OR([1]Consulta!$C$29="",A1334=[1]Consulta!$C$29),OR([1]Consulta!$E$29="",B1334=[1]Consulta!$E$29),OR([1]Consulta!$G$29="",D1334=[1]Consulta!$G$29,R1334=[1]Consulta!$G$29)),ROW()-1,""))</f>
        <v/>
      </c>
    </row>
    <row r="1335" spans="1:42" ht="15" customHeight="1" x14ac:dyDescent="0.25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 t="str">
        <f t="shared" si="180"/>
        <v/>
      </c>
      <c r="AG1335" s="7" t="str">
        <f t="shared" si="188"/>
        <v/>
      </c>
      <c r="AH1335" s="7" t="str">
        <f t="shared" si="181"/>
        <v/>
      </c>
      <c r="AI1335" s="7" t="str">
        <f t="shared" si="182"/>
        <v/>
      </c>
      <c r="AJ1335" s="7" t="str">
        <f t="shared" si="183"/>
        <v/>
      </c>
      <c r="AK1335" s="7" t="str">
        <f t="shared" si="184"/>
        <v/>
      </c>
      <c r="AL1335" s="7" t="str">
        <f t="shared" si="185"/>
        <v/>
      </c>
      <c r="AM1335" s="7" t="str">
        <f t="shared" si="186"/>
        <v/>
      </c>
      <c r="AN1335" s="8" t="str">
        <f>IF(C1335="","",COUNTIF($C$2:C1335,C1335))</f>
        <v/>
      </c>
      <c r="AO1335" s="8" t="str">
        <f t="shared" si="187"/>
        <v/>
      </c>
      <c r="AP1335" s="8" t="str">
        <f>IF(C1335="","",IF(AND(OR([1]Consulta!$C$29="",A1335=[1]Consulta!$C$29),OR([1]Consulta!$E$29="",B1335=[1]Consulta!$E$29),OR([1]Consulta!$G$29="",D1335=[1]Consulta!$G$29,R1335=[1]Consulta!$G$29)),ROW()-1,""))</f>
        <v/>
      </c>
    </row>
    <row r="1336" spans="1:42" ht="15" customHeight="1" x14ac:dyDescent="0.25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 t="str">
        <f t="shared" si="180"/>
        <v/>
      </c>
      <c r="AG1336" s="7" t="str">
        <f t="shared" si="188"/>
        <v/>
      </c>
      <c r="AH1336" s="7" t="str">
        <f t="shared" si="181"/>
        <v/>
      </c>
      <c r="AI1336" s="7" t="str">
        <f t="shared" si="182"/>
        <v/>
      </c>
      <c r="AJ1336" s="7" t="str">
        <f t="shared" si="183"/>
        <v/>
      </c>
      <c r="AK1336" s="7" t="str">
        <f t="shared" si="184"/>
        <v/>
      </c>
      <c r="AL1336" s="7" t="str">
        <f t="shared" si="185"/>
        <v/>
      </c>
      <c r="AM1336" s="7" t="str">
        <f t="shared" si="186"/>
        <v/>
      </c>
      <c r="AN1336" s="8" t="str">
        <f>IF(C1336="","",COUNTIF($C$2:C1336,C1336))</f>
        <v/>
      </c>
      <c r="AO1336" s="8" t="str">
        <f t="shared" si="187"/>
        <v/>
      </c>
      <c r="AP1336" s="8" t="str">
        <f>IF(C1336="","",IF(AND(OR([1]Consulta!$C$29="",A1336=[1]Consulta!$C$29),OR([1]Consulta!$E$29="",B1336=[1]Consulta!$E$29),OR([1]Consulta!$G$29="",D1336=[1]Consulta!$G$29,R1336=[1]Consulta!$G$29)),ROW()-1,""))</f>
        <v/>
      </c>
    </row>
    <row r="1337" spans="1:42" ht="15" customHeight="1" x14ac:dyDescent="0.25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 t="str">
        <f t="shared" si="180"/>
        <v/>
      </c>
      <c r="AG1337" s="7" t="str">
        <f t="shared" si="188"/>
        <v/>
      </c>
      <c r="AH1337" s="7" t="str">
        <f t="shared" si="181"/>
        <v/>
      </c>
      <c r="AI1337" s="7" t="str">
        <f t="shared" si="182"/>
        <v/>
      </c>
      <c r="AJ1337" s="7" t="str">
        <f t="shared" si="183"/>
        <v/>
      </c>
      <c r="AK1337" s="7" t="str">
        <f t="shared" si="184"/>
        <v/>
      </c>
      <c r="AL1337" s="7" t="str">
        <f t="shared" si="185"/>
        <v/>
      </c>
      <c r="AM1337" s="7" t="str">
        <f t="shared" si="186"/>
        <v/>
      </c>
      <c r="AN1337" s="8" t="str">
        <f>IF(C1337="","",COUNTIF($C$2:C1337,C1337))</f>
        <v/>
      </c>
      <c r="AO1337" s="8" t="str">
        <f t="shared" si="187"/>
        <v/>
      </c>
      <c r="AP1337" s="8" t="str">
        <f>IF(C1337="","",IF(AND(OR([1]Consulta!$C$29="",A1337=[1]Consulta!$C$29),OR([1]Consulta!$E$29="",B1337=[1]Consulta!$E$29),OR([1]Consulta!$G$29="",D1337=[1]Consulta!$G$29,R1337=[1]Consulta!$G$29)),ROW()-1,""))</f>
        <v/>
      </c>
    </row>
    <row r="1338" spans="1:42" ht="15" customHeight="1" x14ac:dyDescent="0.25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 t="str">
        <f t="shared" si="180"/>
        <v/>
      </c>
      <c r="AG1338" s="7" t="str">
        <f t="shared" si="188"/>
        <v/>
      </c>
      <c r="AH1338" s="7" t="str">
        <f t="shared" si="181"/>
        <v/>
      </c>
      <c r="AI1338" s="7" t="str">
        <f t="shared" si="182"/>
        <v/>
      </c>
      <c r="AJ1338" s="7" t="str">
        <f t="shared" si="183"/>
        <v/>
      </c>
      <c r="AK1338" s="7" t="str">
        <f t="shared" si="184"/>
        <v/>
      </c>
      <c r="AL1338" s="7" t="str">
        <f t="shared" si="185"/>
        <v/>
      </c>
      <c r="AM1338" s="7" t="str">
        <f t="shared" si="186"/>
        <v/>
      </c>
      <c r="AN1338" s="8" t="str">
        <f>IF(C1338="","",COUNTIF($C$2:C1338,C1338))</f>
        <v/>
      </c>
      <c r="AO1338" s="8" t="str">
        <f t="shared" si="187"/>
        <v/>
      </c>
      <c r="AP1338" s="8" t="str">
        <f>IF(C1338="","",IF(AND(OR([1]Consulta!$C$29="",A1338=[1]Consulta!$C$29),OR([1]Consulta!$E$29="",B1338=[1]Consulta!$E$29),OR([1]Consulta!$G$29="",D1338=[1]Consulta!$G$29,R1338=[1]Consulta!$G$29)),ROW()-1,""))</f>
        <v/>
      </c>
    </row>
    <row r="1339" spans="1:42" ht="15" customHeight="1" x14ac:dyDescent="0.25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 t="str">
        <f t="shared" si="180"/>
        <v/>
      </c>
      <c r="AG1339" s="7" t="str">
        <f t="shared" si="188"/>
        <v/>
      </c>
      <c r="AH1339" s="7" t="str">
        <f t="shared" si="181"/>
        <v/>
      </c>
      <c r="AI1339" s="7" t="str">
        <f t="shared" si="182"/>
        <v/>
      </c>
      <c r="AJ1339" s="7" t="str">
        <f t="shared" si="183"/>
        <v/>
      </c>
      <c r="AK1339" s="7" t="str">
        <f t="shared" si="184"/>
        <v/>
      </c>
      <c r="AL1339" s="7" t="str">
        <f t="shared" si="185"/>
        <v/>
      </c>
      <c r="AM1339" s="7" t="str">
        <f t="shared" si="186"/>
        <v/>
      </c>
      <c r="AN1339" s="8" t="str">
        <f>IF(C1339="","",COUNTIF($C$2:C1339,C1339))</f>
        <v/>
      </c>
      <c r="AO1339" s="8" t="str">
        <f t="shared" si="187"/>
        <v/>
      </c>
      <c r="AP1339" s="8" t="str">
        <f>IF(C1339="","",IF(AND(OR([1]Consulta!$C$29="",A1339=[1]Consulta!$C$29),OR([1]Consulta!$E$29="",B1339=[1]Consulta!$E$29),OR([1]Consulta!$G$29="",D1339=[1]Consulta!$G$29,R1339=[1]Consulta!$G$29)),ROW()-1,""))</f>
        <v/>
      </c>
    </row>
    <row r="1340" spans="1:42" ht="15" customHeight="1" x14ac:dyDescent="0.25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 t="str">
        <f t="shared" si="180"/>
        <v/>
      </c>
      <c r="AG1340" s="7" t="str">
        <f t="shared" si="188"/>
        <v/>
      </c>
      <c r="AH1340" s="7" t="str">
        <f t="shared" si="181"/>
        <v/>
      </c>
      <c r="AI1340" s="7" t="str">
        <f t="shared" si="182"/>
        <v/>
      </c>
      <c r="AJ1340" s="7" t="str">
        <f t="shared" si="183"/>
        <v/>
      </c>
      <c r="AK1340" s="7" t="str">
        <f t="shared" si="184"/>
        <v/>
      </c>
      <c r="AL1340" s="7" t="str">
        <f t="shared" si="185"/>
        <v/>
      </c>
      <c r="AM1340" s="7" t="str">
        <f t="shared" si="186"/>
        <v/>
      </c>
      <c r="AN1340" s="8" t="str">
        <f>IF(C1340="","",COUNTIF($C$2:C1340,C1340))</f>
        <v/>
      </c>
      <c r="AO1340" s="8" t="str">
        <f t="shared" si="187"/>
        <v/>
      </c>
      <c r="AP1340" s="8" t="str">
        <f>IF(C1340="","",IF(AND(OR([1]Consulta!$C$29="",A1340=[1]Consulta!$C$29),OR([1]Consulta!$E$29="",B1340=[1]Consulta!$E$29),OR([1]Consulta!$G$29="",D1340=[1]Consulta!$G$29,R1340=[1]Consulta!$G$29)),ROW()-1,""))</f>
        <v/>
      </c>
    </row>
    <row r="1341" spans="1:42" ht="15" customHeight="1" x14ac:dyDescent="0.25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 t="str">
        <f t="shared" si="180"/>
        <v/>
      </c>
      <c r="AG1341" s="7" t="str">
        <f t="shared" si="188"/>
        <v/>
      </c>
      <c r="AH1341" s="7" t="str">
        <f t="shared" si="181"/>
        <v/>
      </c>
      <c r="AI1341" s="7" t="str">
        <f t="shared" si="182"/>
        <v/>
      </c>
      <c r="AJ1341" s="7" t="str">
        <f t="shared" si="183"/>
        <v/>
      </c>
      <c r="AK1341" s="7" t="str">
        <f t="shared" si="184"/>
        <v/>
      </c>
      <c r="AL1341" s="7" t="str">
        <f t="shared" si="185"/>
        <v/>
      </c>
      <c r="AM1341" s="7" t="str">
        <f t="shared" si="186"/>
        <v/>
      </c>
      <c r="AN1341" s="8" t="str">
        <f>IF(C1341="","",COUNTIF($C$2:C1341,C1341))</f>
        <v/>
      </c>
      <c r="AO1341" s="8" t="str">
        <f t="shared" si="187"/>
        <v/>
      </c>
      <c r="AP1341" s="8" t="str">
        <f>IF(C1341="","",IF(AND(OR([1]Consulta!$C$29="",A1341=[1]Consulta!$C$29),OR([1]Consulta!$E$29="",B1341=[1]Consulta!$E$29),OR([1]Consulta!$G$29="",D1341=[1]Consulta!$G$29,R1341=[1]Consulta!$G$29)),ROW()-1,""))</f>
        <v/>
      </c>
    </row>
    <row r="1342" spans="1:42" ht="15" customHeight="1" x14ac:dyDescent="0.25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 t="str">
        <f t="shared" si="180"/>
        <v/>
      </c>
      <c r="AG1342" s="7" t="str">
        <f t="shared" si="188"/>
        <v/>
      </c>
      <c r="AH1342" s="7" t="str">
        <f t="shared" si="181"/>
        <v/>
      </c>
      <c r="AI1342" s="7" t="str">
        <f t="shared" si="182"/>
        <v/>
      </c>
      <c r="AJ1342" s="7" t="str">
        <f t="shared" si="183"/>
        <v/>
      </c>
      <c r="AK1342" s="7" t="str">
        <f t="shared" si="184"/>
        <v/>
      </c>
      <c r="AL1342" s="7" t="str">
        <f t="shared" si="185"/>
        <v/>
      </c>
      <c r="AM1342" s="7" t="str">
        <f t="shared" si="186"/>
        <v/>
      </c>
      <c r="AN1342" s="8" t="str">
        <f>IF(C1342="","",COUNTIF($C$2:C1342,C1342))</f>
        <v/>
      </c>
      <c r="AO1342" s="8" t="str">
        <f t="shared" si="187"/>
        <v/>
      </c>
      <c r="AP1342" s="8" t="str">
        <f>IF(C1342="","",IF(AND(OR([1]Consulta!$C$29="",A1342=[1]Consulta!$C$29),OR([1]Consulta!$E$29="",B1342=[1]Consulta!$E$29),OR([1]Consulta!$G$29="",D1342=[1]Consulta!$G$29,R1342=[1]Consulta!$G$29)),ROW()-1,""))</f>
        <v/>
      </c>
    </row>
    <row r="1343" spans="1:42" ht="15" customHeight="1" x14ac:dyDescent="0.25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 t="str">
        <f t="shared" si="180"/>
        <v/>
      </c>
      <c r="AG1343" s="7" t="str">
        <f t="shared" si="188"/>
        <v/>
      </c>
      <c r="AH1343" s="7" t="str">
        <f t="shared" si="181"/>
        <v/>
      </c>
      <c r="AI1343" s="7" t="str">
        <f t="shared" si="182"/>
        <v/>
      </c>
      <c r="AJ1343" s="7" t="str">
        <f t="shared" si="183"/>
        <v/>
      </c>
      <c r="AK1343" s="7" t="str">
        <f t="shared" si="184"/>
        <v/>
      </c>
      <c r="AL1343" s="7" t="str">
        <f t="shared" si="185"/>
        <v/>
      </c>
      <c r="AM1343" s="7" t="str">
        <f t="shared" si="186"/>
        <v/>
      </c>
      <c r="AN1343" s="8" t="str">
        <f>IF(C1343="","",COUNTIF($C$2:C1343,C1343))</f>
        <v/>
      </c>
      <c r="AO1343" s="8" t="str">
        <f t="shared" si="187"/>
        <v/>
      </c>
      <c r="AP1343" s="8" t="str">
        <f>IF(C1343="","",IF(AND(OR([1]Consulta!$C$29="",A1343=[1]Consulta!$C$29),OR([1]Consulta!$E$29="",B1343=[1]Consulta!$E$29),OR([1]Consulta!$G$29="",D1343=[1]Consulta!$G$29,R1343=[1]Consulta!$G$29)),ROW()-1,""))</f>
        <v/>
      </c>
    </row>
    <row r="1344" spans="1:42" ht="15" customHeight="1" x14ac:dyDescent="0.25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 t="str">
        <f t="shared" si="180"/>
        <v/>
      </c>
      <c r="AG1344" s="7" t="str">
        <f t="shared" si="188"/>
        <v/>
      </c>
      <c r="AH1344" s="7" t="str">
        <f t="shared" si="181"/>
        <v/>
      </c>
      <c r="AI1344" s="7" t="str">
        <f t="shared" si="182"/>
        <v/>
      </c>
      <c r="AJ1344" s="7" t="str">
        <f t="shared" si="183"/>
        <v/>
      </c>
      <c r="AK1344" s="7" t="str">
        <f t="shared" si="184"/>
        <v/>
      </c>
      <c r="AL1344" s="7" t="str">
        <f t="shared" si="185"/>
        <v/>
      </c>
      <c r="AM1344" s="7" t="str">
        <f t="shared" si="186"/>
        <v/>
      </c>
      <c r="AN1344" s="8" t="str">
        <f>IF(C1344="","",COUNTIF($C$2:C1344,C1344))</f>
        <v/>
      </c>
      <c r="AO1344" s="8" t="str">
        <f t="shared" si="187"/>
        <v/>
      </c>
      <c r="AP1344" s="8" t="str">
        <f>IF(C1344="","",IF(AND(OR([1]Consulta!$C$29="",A1344=[1]Consulta!$C$29),OR([1]Consulta!$E$29="",B1344=[1]Consulta!$E$29),OR([1]Consulta!$G$29="",D1344=[1]Consulta!$G$29,R1344=[1]Consulta!$G$29)),ROW()-1,""))</f>
        <v/>
      </c>
    </row>
    <row r="1345" spans="1:42" ht="15" customHeight="1" x14ac:dyDescent="0.25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 t="str">
        <f t="shared" si="180"/>
        <v/>
      </c>
      <c r="AG1345" s="7" t="str">
        <f t="shared" si="188"/>
        <v/>
      </c>
      <c r="AH1345" s="7" t="str">
        <f t="shared" si="181"/>
        <v/>
      </c>
      <c r="AI1345" s="7" t="str">
        <f t="shared" si="182"/>
        <v/>
      </c>
      <c r="AJ1345" s="7" t="str">
        <f t="shared" si="183"/>
        <v/>
      </c>
      <c r="AK1345" s="7" t="str">
        <f t="shared" si="184"/>
        <v/>
      </c>
      <c r="AL1345" s="7" t="str">
        <f t="shared" si="185"/>
        <v/>
      </c>
      <c r="AM1345" s="7" t="str">
        <f t="shared" si="186"/>
        <v/>
      </c>
      <c r="AN1345" s="8" t="str">
        <f>IF(C1345="","",COUNTIF($C$2:C1345,C1345))</f>
        <v/>
      </c>
      <c r="AO1345" s="8" t="str">
        <f t="shared" si="187"/>
        <v/>
      </c>
      <c r="AP1345" s="8" t="str">
        <f>IF(C1345="","",IF(AND(OR([1]Consulta!$C$29="",A1345=[1]Consulta!$C$29),OR([1]Consulta!$E$29="",B1345=[1]Consulta!$E$29),OR([1]Consulta!$G$29="",D1345=[1]Consulta!$G$29,R1345=[1]Consulta!$G$29)),ROW()-1,""))</f>
        <v/>
      </c>
    </row>
    <row r="1346" spans="1:42" ht="15" customHeight="1" x14ac:dyDescent="0.25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 t="str">
        <f t="shared" ref="AF1346:AF1409" si="189">IF(C1346="","",IF(AND(ISNUMBER(K1346),ISNUMBER(L1346)),K1346-L1346,""))</f>
        <v/>
      </c>
      <c r="AG1346" s="7" t="str">
        <f t="shared" si="188"/>
        <v/>
      </c>
      <c r="AH1346" s="7" t="str">
        <f t="shared" ref="AH1346:AH1409" si="190">IF(C1346="","",IF(AND(ISNUMBER(Y1346),ISNUMBER(Z1346)),Y1346-Z1346,""))</f>
        <v/>
      </c>
      <c r="AI1346" s="7" t="str">
        <f t="shared" ref="AI1346:AI1409" si="191">IF(C1346="","",IF(AH1346="","N/A",IF(AH1346&lt;0,"ALARMA","OK")))</f>
        <v/>
      </c>
      <c r="AJ1346" s="7" t="str">
        <f t="shared" ref="AJ1346:AJ1409" si="192">IF(C1346="","",IF(ISNUMBER(M1346),IF(M1346&gt;0,"CON ERRORES","OK"),"N/A"))</f>
        <v/>
      </c>
      <c r="AK1346" s="7" t="str">
        <f t="shared" ref="AK1346:AK1409" si="193">IF(C1346="","",IF(ISNUMBER(AA1346),IF(AA1346&gt;0,"CON ERRORES","OK"),"N/A"))</f>
        <v/>
      </c>
      <c r="AL1346" s="7" t="str">
        <f t="shared" ref="AL1346:AL1409" si="194">IF(C1346="","",IF(OR(AG1346="ALARMA",AI1346="ALARMA",AJ1346="CON ERRORES",AK1346="CON ERRORES"),"REVISAR","OK"))</f>
        <v/>
      </c>
      <c r="AM1346" s="7" t="str">
        <f t="shared" ref="AM1346:AM1409" si="195">IF(C1346="","",IF(ISNUMBER(Q1346),Q1346,IF(ISNUMBER(AE1346),AE1346,"Ver detalle")))</f>
        <v/>
      </c>
      <c r="AN1346" s="8" t="str">
        <f>IF(C1346="","",COUNTIF($C$2:C1346,C1346))</f>
        <v/>
      </c>
      <c r="AO1346" s="8" t="str">
        <f t="shared" ref="AO1346:AO1409" si="196">IF(C1346="","",C1346&amp;"|"&amp;AN1346)</f>
        <v/>
      </c>
      <c r="AP1346" s="8" t="str">
        <f>IF(C1346="","",IF(AND(OR([1]Consulta!$C$29="",A1346=[1]Consulta!$C$29),OR([1]Consulta!$E$29="",B1346=[1]Consulta!$E$29),OR([1]Consulta!$G$29="",D1346=[1]Consulta!$G$29,R1346=[1]Consulta!$G$29)),ROW()-1,""))</f>
        <v/>
      </c>
    </row>
    <row r="1347" spans="1:42" ht="15" customHeight="1" x14ac:dyDescent="0.25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 t="str">
        <f t="shared" si="189"/>
        <v/>
      </c>
      <c r="AG1347" s="7" t="str">
        <f t="shared" ref="AG1347:AG1410" si="197">IF(C1347="","",IF(AF1347="","N/A",IF(AF1347&lt;0,"ALARMA","OK")))</f>
        <v/>
      </c>
      <c r="AH1347" s="7" t="str">
        <f t="shared" si="190"/>
        <v/>
      </c>
      <c r="AI1347" s="7" t="str">
        <f t="shared" si="191"/>
        <v/>
      </c>
      <c r="AJ1347" s="7" t="str">
        <f t="shared" si="192"/>
        <v/>
      </c>
      <c r="AK1347" s="7" t="str">
        <f t="shared" si="193"/>
        <v/>
      </c>
      <c r="AL1347" s="7" t="str">
        <f t="shared" si="194"/>
        <v/>
      </c>
      <c r="AM1347" s="7" t="str">
        <f t="shared" si="195"/>
        <v/>
      </c>
      <c r="AN1347" s="8" t="str">
        <f>IF(C1347="","",COUNTIF($C$2:C1347,C1347))</f>
        <v/>
      </c>
      <c r="AO1347" s="8" t="str">
        <f t="shared" si="196"/>
        <v/>
      </c>
      <c r="AP1347" s="8" t="str">
        <f>IF(C1347="","",IF(AND(OR([1]Consulta!$C$29="",A1347=[1]Consulta!$C$29),OR([1]Consulta!$E$29="",B1347=[1]Consulta!$E$29),OR([1]Consulta!$G$29="",D1347=[1]Consulta!$G$29,R1347=[1]Consulta!$G$29)),ROW()-1,""))</f>
        <v/>
      </c>
    </row>
    <row r="1348" spans="1:42" ht="15" customHeight="1" x14ac:dyDescent="0.25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 t="str">
        <f t="shared" si="189"/>
        <v/>
      </c>
      <c r="AG1348" s="7" t="str">
        <f t="shared" si="197"/>
        <v/>
      </c>
      <c r="AH1348" s="7" t="str">
        <f t="shared" si="190"/>
        <v/>
      </c>
      <c r="AI1348" s="7" t="str">
        <f t="shared" si="191"/>
        <v/>
      </c>
      <c r="AJ1348" s="7" t="str">
        <f t="shared" si="192"/>
        <v/>
      </c>
      <c r="AK1348" s="7" t="str">
        <f t="shared" si="193"/>
        <v/>
      </c>
      <c r="AL1348" s="7" t="str">
        <f t="shared" si="194"/>
        <v/>
      </c>
      <c r="AM1348" s="7" t="str">
        <f t="shared" si="195"/>
        <v/>
      </c>
      <c r="AN1348" s="8" t="str">
        <f>IF(C1348="","",COUNTIF($C$2:C1348,C1348))</f>
        <v/>
      </c>
      <c r="AO1348" s="8" t="str">
        <f t="shared" si="196"/>
        <v/>
      </c>
      <c r="AP1348" s="8" t="str">
        <f>IF(C1348="","",IF(AND(OR([1]Consulta!$C$29="",A1348=[1]Consulta!$C$29),OR([1]Consulta!$E$29="",B1348=[1]Consulta!$E$29),OR([1]Consulta!$G$29="",D1348=[1]Consulta!$G$29,R1348=[1]Consulta!$G$29)),ROW()-1,""))</f>
        <v/>
      </c>
    </row>
    <row r="1349" spans="1:42" ht="15" customHeight="1" x14ac:dyDescent="0.25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 t="str">
        <f t="shared" si="189"/>
        <v/>
      </c>
      <c r="AG1349" s="7" t="str">
        <f t="shared" si="197"/>
        <v/>
      </c>
      <c r="AH1349" s="7" t="str">
        <f t="shared" si="190"/>
        <v/>
      </c>
      <c r="AI1349" s="7" t="str">
        <f t="shared" si="191"/>
        <v/>
      </c>
      <c r="AJ1349" s="7" t="str">
        <f t="shared" si="192"/>
        <v/>
      </c>
      <c r="AK1349" s="7" t="str">
        <f t="shared" si="193"/>
        <v/>
      </c>
      <c r="AL1349" s="7" t="str">
        <f t="shared" si="194"/>
        <v/>
      </c>
      <c r="AM1349" s="7" t="str">
        <f t="shared" si="195"/>
        <v/>
      </c>
      <c r="AN1349" s="8" t="str">
        <f>IF(C1349="","",COUNTIF($C$2:C1349,C1349))</f>
        <v/>
      </c>
      <c r="AO1349" s="8" t="str">
        <f t="shared" si="196"/>
        <v/>
      </c>
      <c r="AP1349" s="8" t="str">
        <f>IF(C1349="","",IF(AND(OR([1]Consulta!$C$29="",A1349=[1]Consulta!$C$29),OR([1]Consulta!$E$29="",B1349=[1]Consulta!$E$29),OR([1]Consulta!$G$29="",D1349=[1]Consulta!$G$29,R1349=[1]Consulta!$G$29)),ROW()-1,""))</f>
        <v/>
      </c>
    </row>
    <row r="1350" spans="1:42" ht="15" customHeight="1" x14ac:dyDescent="0.25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 t="str">
        <f t="shared" si="189"/>
        <v/>
      </c>
      <c r="AG1350" s="7" t="str">
        <f t="shared" si="197"/>
        <v/>
      </c>
      <c r="AH1350" s="7" t="str">
        <f t="shared" si="190"/>
        <v/>
      </c>
      <c r="AI1350" s="7" t="str">
        <f t="shared" si="191"/>
        <v/>
      </c>
      <c r="AJ1350" s="7" t="str">
        <f t="shared" si="192"/>
        <v/>
      </c>
      <c r="AK1350" s="7" t="str">
        <f t="shared" si="193"/>
        <v/>
      </c>
      <c r="AL1350" s="7" t="str">
        <f t="shared" si="194"/>
        <v/>
      </c>
      <c r="AM1350" s="7" t="str">
        <f t="shared" si="195"/>
        <v/>
      </c>
      <c r="AN1350" s="8" t="str">
        <f>IF(C1350="","",COUNTIF($C$2:C1350,C1350))</f>
        <v/>
      </c>
      <c r="AO1350" s="8" t="str">
        <f t="shared" si="196"/>
        <v/>
      </c>
      <c r="AP1350" s="8" t="str">
        <f>IF(C1350="","",IF(AND(OR([1]Consulta!$C$29="",A1350=[1]Consulta!$C$29),OR([1]Consulta!$E$29="",B1350=[1]Consulta!$E$29),OR([1]Consulta!$G$29="",D1350=[1]Consulta!$G$29,R1350=[1]Consulta!$G$29)),ROW()-1,""))</f>
        <v/>
      </c>
    </row>
    <row r="1351" spans="1:42" ht="15" customHeight="1" x14ac:dyDescent="0.25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 t="str">
        <f t="shared" si="189"/>
        <v/>
      </c>
      <c r="AG1351" s="7" t="str">
        <f t="shared" si="197"/>
        <v/>
      </c>
      <c r="AH1351" s="7" t="str">
        <f t="shared" si="190"/>
        <v/>
      </c>
      <c r="AI1351" s="7" t="str">
        <f t="shared" si="191"/>
        <v/>
      </c>
      <c r="AJ1351" s="7" t="str">
        <f t="shared" si="192"/>
        <v/>
      </c>
      <c r="AK1351" s="7" t="str">
        <f t="shared" si="193"/>
        <v/>
      </c>
      <c r="AL1351" s="7" t="str">
        <f t="shared" si="194"/>
        <v/>
      </c>
      <c r="AM1351" s="7" t="str">
        <f t="shared" si="195"/>
        <v/>
      </c>
      <c r="AN1351" s="8" t="str">
        <f>IF(C1351="","",COUNTIF($C$2:C1351,C1351))</f>
        <v/>
      </c>
      <c r="AO1351" s="8" t="str">
        <f t="shared" si="196"/>
        <v/>
      </c>
      <c r="AP1351" s="8" t="str">
        <f>IF(C1351="","",IF(AND(OR([1]Consulta!$C$29="",A1351=[1]Consulta!$C$29),OR([1]Consulta!$E$29="",B1351=[1]Consulta!$E$29),OR([1]Consulta!$G$29="",D1351=[1]Consulta!$G$29,R1351=[1]Consulta!$G$29)),ROW()-1,""))</f>
        <v/>
      </c>
    </row>
    <row r="1352" spans="1:42" ht="15" customHeight="1" x14ac:dyDescent="0.25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 t="str">
        <f t="shared" si="189"/>
        <v/>
      </c>
      <c r="AG1352" s="7" t="str">
        <f t="shared" si="197"/>
        <v/>
      </c>
      <c r="AH1352" s="7" t="str">
        <f t="shared" si="190"/>
        <v/>
      </c>
      <c r="AI1352" s="7" t="str">
        <f t="shared" si="191"/>
        <v/>
      </c>
      <c r="AJ1352" s="7" t="str">
        <f t="shared" si="192"/>
        <v/>
      </c>
      <c r="AK1352" s="7" t="str">
        <f t="shared" si="193"/>
        <v/>
      </c>
      <c r="AL1352" s="7" t="str">
        <f t="shared" si="194"/>
        <v/>
      </c>
      <c r="AM1352" s="7" t="str">
        <f t="shared" si="195"/>
        <v/>
      </c>
      <c r="AN1352" s="8" t="str">
        <f>IF(C1352="","",COUNTIF($C$2:C1352,C1352))</f>
        <v/>
      </c>
      <c r="AO1352" s="8" t="str">
        <f t="shared" si="196"/>
        <v/>
      </c>
      <c r="AP1352" s="8" t="str">
        <f>IF(C1352="","",IF(AND(OR([1]Consulta!$C$29="",A1352=[1]Consulta!$C$29),OR([1]Consulta!$E$29="",B1352=[1]Consulta!$E$29),OR([1]Consulta!$G$29="",D1352=[1]Consulta!$G$29,R1352=[1]Consulta!$G$29)),ROW()-1,""))</f>
        <v/>
      </c>
    </row>
    <row r="1353" spans="1:42" ht="15" customHeight="1" x14ac:dyDescent="0.25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 t="str">
        <f t="shared" si="189"/>
        <v/>
      </c>
      <c r="AG1353" s="7" t="str">
        <f t="shared" si="197"/>
        <v/>
      </c>
      <c r="AH1353" s="7" t="str">
        <f t="shared" si="190"/>
        <v/>
      </c>
      <c r="AI1353" s="7" t="str">
        <f t="shared" si="191"/>
        <v/>
      </c>
      <c r="AJ1353" s="7" t="str">
        <f t="shared" si="192"/>
        <v/>
      </c>
      <c r="AK1353" s="7" t="str">
        <f t="shared" si="193"/>
        <v/>
      </c>
      <c r="AL1353" s="7" t="str">
        <f t="shared" si="194"/>
        <v/>
      </c>
      <c r="AM1353" s="7" t="str">
        <f t="shared" si="195"/>
        <v/>
      </c>
      <c r="AN1353" s="8" t="str">
        <f>IF(C1353="","",COUNTIF($C$2:C1353,C1353))</f>
        <v/>
      </c>
      <c r="AO1353" s="8" t="str">
        <f t="shared" si="196"/>
        <v/>
      </c>
      <c r="AP1353" s="8" t="str">
        <f>IF(C1353="","",IF(AND(OR([1]Consulta!$C$29="",A1353=[1]Consulta!$C$29),OR([1]Consulta!$E$29="",B1353=[1]Consulta!$E$29),OR([1]Consulta!$G$29="",D1353=[1]Consulta!$G$29,R1353=[1]Consulta!$G$29)),ROW()-1,""))</f>
        <v/>
      </c>
    </row>
    <row r="1354" spans="1:42" ht="15" customHeight="1" x14ac:dyDescent="0.25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 t="str">
        <f t="shared" si="189"/>
        <v/>
      </c>
      <c r="AG1354" s="7" t="str">
        <f t="shared" si="197"/>
        <v/>
      </c>
      <c r="AH1354" s="7" t="str">
        <f t="shared" si="190"/>
        <v/>
      </c>
      <c r="AI1354" s="7" t="str">
        <f t="shared" si="191"/>
        <v/>
      </c>
      <c r="AJ1354" s="7" t="str">
        <f t="shared" si="192"/>
        <v/>
      </c>
      <c r="AK1354" s="7" t="str">
        <f t="shared" si="193"/>
        <v/>
      </c>
      <c r="AL1354" s="7" t="str">
        <f t="shared" si="194"/>
        <v/>
      </c>
      <c r="AM1354" s="7" t="str">
        <f t="shared" si="195"/>
        <v/>
      </c>
      <c r="AN1354" s="8" t="str">
        <f>IF(C1354="","",COUNTIF($C$2:C1354,C1354))</f>
        <v/>
      </c>
      <c r="AO1354" s="8" t="str">
        <f t="shared" si="196"/>
        <v/>
      </c>
      <c r="AP1354" s="8" t="str">
        <f>IF(C1354="","",IF(AND(OR([1]Consulta!$C$29="",A1354=[1]Consulta!$C$29),OR([1]Consulta!$E$29="",B1354=[1]Consulta!$E$29),OR([1]Consulta!$G$29="",D1354=[1]Consulta!$G$29,R1354=[1]Consulta!$G$29)),ROW()-1,""))</f>
        <v/>
      </c>
    </row>
    <row r="1355" spans="1:42" ht="15" customHeight="1" x14ac:dyDescent="0.25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 t="str">
        <f t="shared" si="189"/>
        <v/>
      </c>
      <c r="AG1355" s="7" t="str">
        <f t="shared" si="197"/>
        <v/>
      </c>
      <c r="AH1355" s="7" t="str">
        <f t="shared" si="190"/>
        <v/>
      </c>
      <c r="AI1355" s="7" t="str">
        <f t="shared" si="191"/>
        <v/>
      </c>
      <c r="AJ1355" s="7" t="str">
        <f t="shared" si="192"/>
        <v/>
      </c>
      <c r="AK1355" s="7" t="str">
        <f t="shared" si="193"/>
        <v/>
      </c>
      <c r="AL1355" s="7" t="str">
        <f t="shared" si="194"/>
        <v/>
      </c>
      <c r="AM1355" s="7" t="str">
        <f t="shared" si="195"/>
        <v/>
      </c>
      <c r="AN1355" s="8" t="str">
        <f>IF(C1355="","",COUNTIF($C$2:C1355,C1355))</f>
        <v/>
      </c>
      <c r="AO1355" s="8" t="str">
        <f t="shared" si="196"/>
        <v/>
      </c>
      <c r="AP1355" s="8" t="str">
        <f>IF(C1355="","",IF(AND(OR([1]Consulta!$C$29="",A1355=[1]Consulta!$C$29),OR([1]Consulta!$E$29="",B1355=[1]Consulta!$E$29),OR([1]Consulta!$G$29="",D1355=[1]Consulta!$G$29,R1355=[1]Consulta!$G$29)),ROW()-1,""))</f>
        <v/>
      </c>
    </row>
    <row r="1356" spans="1:42" ht="15" customHeight="1" x14ac:dyDescent="0.25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 t="str">
        <f t="shared" si="189"/>
        <v/>
      </c>
      <c r="AG1356" s="7" t="str">
        <f t="shared" si="197"/>
        <v/>
      </c>
      <c r="AH1356" s="7" t="str">
        <f t="shared" si="190"/>
        <v/>
      </c>
      <c r="AI1356" s="7" t="str">
        <f t="shared" si="191"/>
        <v/>
      </c>
      <c r="AJ1356" s="7" t="str">
        <f t="shared" si="192"/>
        <v/>
      </c>
      <c r="AK1356" s="7" t="str">
        <f t="shared" si="193"/>
        <v/>
      </c>
      <c r="AL1356" s="7" t="str">
        <f t="shared" si="194"/>
        <v/>
      </c>
      <c r="AM1356" s="7" t="str">
        <f t="shared" si="195"/>
        <v/>
      </c>
      <c r="AN1356" s="8" t="str">
        <f>IF(C1356="","",COUNTIF($C$2:C1356,C1356))</f>
        <v/>
      </c>
      <c r="AO1356" s="8" t="str">
        <f t="shared" si="196"/>
        <v/>
      </c>
      <c r="AP1356" s="8" t="str">
        <f>IF(C1356="","",IF(AND(OR([1]Consulta!$C$29="",A1356=[1]Consulta!$C$29),OR([1]Consulta!$E$29="",B1356=[1]Consulta!$E$29),OR([1]Consulta!$G$29="",D1356=[1]Consulta!$G$29,R1356=[1]Consulta!$G$29)),ROW()-1,""))</f>
        <v/>
      </c>
    </row>
    <row r="1357" spans="1:42" ht="15" customHeight="1" x14ac:dyDescent="0.25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 t="str">
        <f t="shared" si="189"/>
        <v/>
      </c>
      <c r="AG1357" s="7" t="str">
        <f t="shared" si="197"/>
        <v/>
      </c>
      <c r="AH1357" s="7" t="str">
        <f t="shared" si="190"/>
        <v/>
      </c>
      <c r="AI1357" s="7" t="str">
        <f t="shared" si="191"/>
        <v/>
      </c>
      <c r="AJ1357" s="7" t="str">
        <f t="shared" si="192"/>
        <v/>
      </c>
      <c r="AK1357" s="7" t="str">
        <f t="shared" si="193"/>
        <v/>
      </c>
      <c r="AL1357" s="7" t="str">
        <f t="shared" si="194"/>
        <v/>
      </c>
      <c r="AM1357" s="7" t="str">
        <f t="shared" si="195"/>
        <v/>
      </c>
      <c r="AN1357" s="8" t="str">
        <f>IF(C1357="","",COUNTIF($C$2:C1357,C1357))</f>
        <v/>
      </c>
      <c r="AO1357" s="8" t="str">
        <f t="shared" si="196"/>
        <v/>
      </c>
      <c r="AP1357" s="8" t="str">
        <f>IF(C1357="","",IF(AND(OR([1]Consulta!$C$29="",A1357=[1]Consulta!$C$29),OR([1]Consulta!$E$29="",B1357=[1]Consulta!$E$29),OR([1]Consulta!$G$29="",D1357=[1]Consulta!$G$29,R1357=[1]Consulta!$G$29)),ROW()-1,""))</f>
        <v/>
      </c>
    </row>
    <row r="1358" spans="1:42" ht="15" customHeight="1" x14ac:dyDescent="0.25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 t="str">
        <f t="shared" si="189"/>
        <v/>
      </c>
      <c r="AG1358" s="7" t="str">
        <f t="shared" si="197"/>
        <v/>
      </c>
      <c r="AH1358" s="7" t="str">
        <f t="shared" si="190"/>
        <v/>
      </c>
      <c r="AI1358" s="7" t="str">
        <f t="shared" si="191"/>
        <v/>
      </c>
      <c r="AJ1358" s="7" t="str">
        <f t="shared" si="192"/>
        <v/>
      </c>
      <c r="AK1358" s="7" t="str">
        <f t="shared" si="193"/>
        <v/>
      </c>
      <c r="AL1358" s="7" t="str">
        <f t="shared" si="194"/>
        <v/>
      </c>
      <c r="AM1358" s="7" t="str">
        <f t="shared" si="195"/>
        <v/>
      </c>
      <c r="AN1358" s="8" t="str">
        <f>IF(C1358="","",COUNTIF($C$2:C1358,C1358))</f>
        <v/>
      </c>
      <c r="AO1358" s="8" t="str">
        <f t="shared" si="196"/>
        <v/>
      </c>
      <c r="AP1358" s="8" t="str">
        <f>IF(C1358="","",IF(AND(OR([1]Consulta!$C$29="",A1358=[1]Consulta!$C$29),OR([1]Consulta!$E$29="",B1358=[1]Consulta!$E$29),OR([1]Consulta!$G$29="",D1358=[1]Consulta!$G$29,R1358=[1]Consulta!$G$29)),ROW()-1,""))</f>
        <v/>
      </c>
    </row>
    <row r="1359" spans="1:42" ht="15" customHeight="1" x14ac:dyDescent="0.25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 t="str">
        <f t="shared" si="189"/>
        <v/>
      </c>
      <c r="AG1359" s="7" t="str">
        <f t="shared" si="197"/>
        <v/>
      </c>
      <c r="AH1359" s="7" t="str">
        <f t="shared" si="190"/>
        <v/>
      </c>
      <c r="AI1359" s="7" t="str">
        <f t="shared" si="191"/>
        <v/>
      </c>
      <c r="AJ1359" s="7" t="str">
        <f t="shared" si="192"/>
        <v/>
      </c>
      <c r="AK1359" s="7" t="str">
        <f t="shared" si="193"/>
        <v/>
      </c>
      <c r="AL1359" s="7" t="str">
        <f t="shared" si="194"/>
        <v/>
      </c>
      <c r="AM1359" s="7" t="str">
        <f t="shared" si="195"/>
        <v/>
      </c>
      <c r="AN1359" s="8" t="str">
        <f>IF(C1359="","",COUNTIF($C$2:C1359,C1359))</f>
        <v/>
      </c>
      <c r="AO1359" s="8" t="str">
        <f t="shared" si="196"/>
        <v/>
      </c>
      <c r="AP1359" s="8" t="str">
        <f>IF(C1359="","",IF(AND(OR([1]Consulta!$C$29="",A1359=[1]Consulta!$C$29),OR([1]Consulta!$E$29="",B1359=[1]Consulta!$E$29),OR([1]Consulta!$G$29="",D1359=[1]Consulta!$G$29,R1359=[1]Consulta!$G$29)),ROW()-1,""))</f>
        <v/>
      </c>
    </row>
    <row r="1360" spans="1:42" ht="15" customHeight="1" x14ac:dyDescent="0.25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 t="str">
        <f t="shared" si="189"/>
        <v/>
      </c>
      <c r="AG1360" s="7" t="str">
        <f t="shared" si="197"/>
        <v/>
      </c>
      <c r="AH1360" s="7" t="str">
        <f t="shared" si="190"/>
        <v/>
      </c>
      <c r="AI1360" s="7" t="str">
        <f t="shared" si="191"/>
        <v/>
      </c>
      <c r="AJ1360" s="7" t="str">
        <f t="shared" si="192"/>
        <v/>
      </c>
      <c r="AK1360" s="7" t="str">
        <f t="shared" si="193"/>
        <v/>
      </c>
      <c r="AL1360" s="7" t="str">
        <f t="shared" si="194"/>
        <v/>
      </c>
      <c r="AM1360" s="7" t="str">
        <f t="shared" si="195"/>
        <v/>
      </c>
      <c r="AN1360" s="8" t="str">
        <f>IF(C1360="","",COUNTIF($C$2:C1360,C1360))</f>
        <v/>
      </c>
      <c r="AO1360" s="8" t="str">
        <f t="shared" si="196"/>
        <v/>
      </c>
      <c r="AP1360" s="8" t="str">
        <f>IF(C1360="","",IF(AND(OR([1]Consulta!$C$29="",A1360=[1]Consulta!$C$29),OR([1]Consulta!$E$29="",B1360=[1]Consulta!$E$29),OR([1]Consulta!$G$29="",D1360=[1]Consulta!$G$29,R1360=[1]Consulta!$G$29)),ROW()-1,""))</f>
        <v/>
      </c>
    </row>
    <row r="1361" spans="1:42" ht="15" customHeight="1" x14ac:dyDescent="0.25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 t="str">
        <f t="shared" si="189"/>
        <v/>
      </c>
      <c r="AG1361" s="7" t="str">
        <f t="shared" si="197"/>
        <v/>
      </c>
      <c r="AH1361" s="7" t="str">
        <f t="shared" si="190"/>
        <v/>
      </c>
      <c r="AI1361" s="7" t="str">
        <f t="shared" si="191"/>
        <v/>
      </c>
      <c r="AJ1361" s="7" t="str">
        <f t="shared" si="192"/>
        <v/>
      </c>
      <c r="AK1361" s="7" t="str">
        <f t="shared" si="193"/>
        <v/>
      </c>
      <c r="AL1361" s="7" t="str">
        <f t="shared" si="194"/>
        <v/>
      </c>
      <c r="AM1361" s="7" t="str">
        <f t="shared" si="195"/>
        <v/>
      </c>
      <c r="AN1361" s="8" t="str">
        <f>IF(C1361="","",COUNTIF($C$2:C1361,C1361))</f>
        <v/>
      </c>
      <c r="AO1361" s="8" t="str">
        <f t="shared" si="196"/>
        <v/>
      </c>
      <c r="AP1361" s="8" t="str">
        <f>IF(C1361="","",IF(AND(OR([1]Consulta!$C$29="",A1361=[1]Consulta!$C$29),OR([1]Consulta!$E$29="",B1361=[1]Consulta!$E$29),OR([1]Consulta!$G$29="",D1361=[1]Consulta!$G$29,R1361=[1]Consulta!$G$29)),ROW()-1,""))</f>
        <v/>
      </c>
    </row>
    <row r="1362" spans="1:42" ht="15" customHeight="1" x14ac:dyDescent="0.25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 t="str">
        <f t="shared" si="189"/>
        <v/>
      </c>
      <c r="AG1362" s="7" t="str">
        <f t="shared" si="197"/>
        <v/>
      </c>
      <c r="AH1362" s="7" t="str">
        <f t="shared" si="190"/>
        <v/>
      </c>
      <c r="AI1362" s="7" t="str">
        <f t="shared" si="191"/>
        <v/>
      </c>
      <c r="AJ1362" s="7" t="str">
        <f t="shared" si="192"/>
        <v/>
      </c>
      <c r="AK1362" s="7" t="str">
        <f t="shared" si="193"/>
        <v/>
      </c>
      <c r="AL1362" s="7" t="str">
        <f t="shared" si="194"/>
        <v/>
      </c>
      <c r="AM1362" s="7" t="str">
        <f t="shared" si="195"/>
        <v/>
      </c>
      <c r="AN1362" s="8" t="str">
        <f>IF(C1362="","",COUNTIF($C$2:C1362,C1362))</f>
        <v/>
      </c>
      <c r="AO1362" s="8" t="str">
        <f t="shared" si="196"/>
        <v/>
      </c>
      <c r="AP1362" s="8" t="str">
        <f>IF(C1362="","",IF(AND(OR([1]Consulta!$C$29="",A1362=[1]Consulta!$C$29),OR([1]Consulta!$E$29="",B1362=[1]Consulta!$E$29),OR([1]Consulta!$G$29="",D1362=[1]Consulta!$G$29,R1362=[1]Consulta!$G$29)),ROW()-1,""))</f>
        <v/>
      </c>
    </row>
    <row r="1363" spans="1:42" ht="15" customHeight="1" x14ac:dyDescent="0.25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 t="str">
        <f t="shared" si="189"/>
        <v/>
      </c>
      <c r="AG1363" s="7" t="str">
        <f t="shared" si="197"/>
        <v/>
      </c>
      <c r="AH1363" s="7" t="str">
        <f t="shared" si="190"/>
        <v/>
      </c>
      <c r="AI1363" s="7" t="str">
        <f t="shared" si="191"/>
        <v/>
      </c>
      <c r="AJ1363" s="7" t="str">
        <f t="shared" si="192"/>
        <v/>
      </c>
      <c r="AK1363" s="7" t="str">
        <f t="shared" si="193"/>
        <v/>
      </c>
      <c r="AL1363" s="7" t="str">
        <f t="shared" si="194"/>
        <v/>
      </c>
      <c r="AM1363" s="7" t="str">
        <f t="shared" si="195"/>
        <v/>
      </c>
      <c r="AN1363" s="8" t="str">
        <f>IF(C1363="","",COUNTIF($C$2:C1363,C1363))</f>
        <v/>
      </c>
      <c r="AO1363" s="8" t="str">
        <f t="shared" si="196"/>
        <v/>
      </c>
      <c r="AP1363" s="8" t="str">
        <f>IF(C1363="","",IF(AND(OR([1]Consulta!$C$29="",A1363=[1]Consulta!$C$29),OR([1]Consulta!$E$29="",B1363=[1]Consulta!$E$29),OR([1]Consulta!$G$29="",D1363=[1]Consulta!$G$29,R1363=[1]Consulta!$G$29)),ROW()-1,""))</f>
        <v/>
      </c>
    </row>
    <row r="1364" spans="1:42" ht="15" customHeight="1" x14ac:dyDescent="0.25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 t="str">
        <f t="shared" si="189"/>
        <v/>
      </c>
      <c r="AG1364" s="7" t="str">
        <f t="shared" si="197"/>
        <v/>
      </c>
      <c r="AH1364" s="7" t="str">
        <f t="shared" si="190"/>
        <v/>
      </c>
      <c r="AI1364" s="7" t="str">
        <f t="shared" si="191"/>
        <v/>
      </c>
      <c r="AJ1364" s="7" t="str">
        <f t="shared" si="192"/>
        <v/>
      </c>
      <c r="AK1364" s="7" t="str">
        <f t="shared" si="193"/>
        <v/>
      </c>
      <c r="AL1364" s="7" t="str">
        <f t="shared" si="194"/>
        <v/>
      </c>
      <c r="AM1364" s="7" t="str">
        <f t="shared" si="195"/>
        <v/>
      </c>
      <c r="AN1364" s="8" t="str">
        <f>IF(C1364="","",COUNTIF($C$2:C1364,C1364))</f>
        <v/>
      </c>
      <c r="AO1364" s="8" t="str">
        <f t="shared" si="196"/>
        <v/>
      </c>
      <c r="AP1364" s="8" t="str">
        <f>IF(C1364="","",IF(AND(OR([1]Consulta!$C$29="",A1364=[1]Consulta!$C$29),OR([1]Consulta!$E$29="",B1364=[1]Consulta!$E$29),OR([1]Consulta!$G$29="",D1364=[1]Consulta!$G$29,R1364=[1]Consulta!$G$29)),ROW()-1,""))</f>
        <v/>
      </c>
    </row>
    <row r="1365" spans="1:42" ht="15" customHeight="1" x14ac:dyDescent="0.25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 t="str">
        <f t="shared" si="189"/>
        <v/>
      </c>
      <c r="AG1365" s="7" t="str">
        <f t="shared" si="197"/>
        <v/>
      </c>
      <c r="AH1365" s="7" t="str">
        <f t="shared" si="190"/>
        <v/>
      </c>
      <c r="AI1365" s="7" t="str">
        <f t="shared" si="191"/>
        <v/>
      </c>
      <c r="AJ1365" s="7" t="str">
        <f t="shared" si="192"/>
        <v/>
      </c>
      <c r="AK1365" s="7" t="str">
        <f t="shared" si="193"/>
        <v/>
      </c>
      <c r="AL1365" s="7" t="str">
        <f t="shared" si="194"/>
        <v/>
      </c>
      <c r="AM1365" s="7" t="str">
        <f t="shared" si="195"/>
        <v/>
      </c>
      <c r="AN1365" s="8" t="str">
        <f>IF(C1365="","",COUNTIF($C$2:C1365,C1365))</f>
        <v/>
      </c>
      <c r="AO1365" s="8" t="str">
        <f t="shared" si="196"/>
        <v/>
      </c>
      <c r="AP1365" s="8" t="str">
        <f>IF(C1365="","",IF(AND(OR([1]Consulta!$C$29="",A1365=[1]Consulta!$C$29),OR([1]Consulta!$E$29="",B1365=[1]Consulta!$E$29),OR([1]Consulta!$G$29="",D1365=[1]Consulta!$G$29,R1365=[1]Consulta!$G$29)),ROW()-1,""))</f>
        <v/>
      </c>
    </row>
    <row r="1366" spans="1:42" ht="15" customHeight="1" x14ac:dyDescent="0.25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 t="str">
        <f t="shared" si="189"/>
        <v/>
      </c>
      <c r="AG1366" s="7" t="str">
        <f t="shared" si="197"/>
        <v/>
      </c>
      <c r="AH1366" s="7" t="str">
        <f t="shared" si="190"/>
        <v/>
      </c>
      <c r="AI1366" s="7" t="str">
        <f t="shared" si="191"/>
        <v/>
      </c>
      <c r="AJ1366" s="7" t="str">
        <f t="shared" si="192"/>
        <v/>
      </c>
      <c r="AK1366" s="7" t="str">
        <f t="shared" si="193"/>
        <v/>
      </c>
      <c r="AL1366" s="7" t="str">
        <f t="shared" si="194"/>
        <v/>
      </c>
      <c r="AM1366" s="7" t="str">
        <f t="shared" si="195"/>
        <v/>
      </c>
      <c r="AN1366" s="8" t="str">
        <f>IF(C1366="","",COUNTIF($C$2:C1366,C1366))</f>
        <v/>
      </c>
      <c r="AO1366" s="8" t="str">
        <f t="shared" si="196"/>
        <v/>
      </c>
      <c r="AP1366" s="8" t="str">
        <f>IF(C1366="","",IF(AND(OR([1]Consulta!$C$29="",A1366=[1]Consulta!$C$29),OR([1]Consulta!$E$29="",B1366=[1]Consulta!$E$29),OR([1]Consulta!$G$29="",D1366=[1]Consulta!$G$29,R1366=[1]Consulta!$G$29)),ROW()-1,""))</f>
        <v/>
      </c>
    </row>
    <row r="1367" spans="1:42" ht="15" customHeight="1" x14ac:dyDescent="0.25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 t="str">
        <f t="shared" si="189"/>
        <v/>
      </c>
      <c r="AG1367" s="7" t="str">
        <f t="shared" si="197"/>
        <v/>
      </c>
      <c r="AH1367" s="7" t="str">
        <f t="shared" si="190"/>
        <v/>
      </c>
      <c r="AI1367" s="7" t="str">
        <f t="shared" si="191"/>
        <v/>
      </c>
      <c r="AJ1367" s="7" t="str">
        <f t="shared" si="192"/>
        <v/>
      </c>
      <c r="AK1367" s="7" t="str">
        <f t="shared" si="193"/>
        <v/>
      </c>
      <c r="AL1367" s="7" t="str">
        <f t="shared" si="194"/>
        <v/>
      </c>
      <c r="AM1367" s="7" t="str">
        <f t="shared" si="195"/>
        <v/>
      </c>
      <c r="AN1367" s="8" t="str">
        <f>IF(C1367="","",COUNTIF($C$2:C1367,C1367))</f>
        <v/>
      </c>
      <c r="AO1367" s="8" t="str">
        <f t="shared" si="196"/>
        <v/>
      </c>
      <c r="AP1367" s="8" t="str">
        <f>IF(C1367="","",IF(AND(OR([1]Consulta!$C$29="",A1367=[1]Consulta!$C$29),OR([1]Consulta!$E$29="",B1367=[1]Consulta!$E$29),OR([1]Consulta!$G$29="",D1367=[1]Consulta!$G$29,R1367=[1]Consulta!$G$29)),ROW()-1,""))</f>
        <v/>
      </c>
    </row>
    <row r="1368" spans="1:42" ht="15" customHeight="1" x14ac:dyDescent="0.25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 t="str">
        <f t="shared" si="189"/>
        <v/>
      </c>
      <c r="AG1368" s="7" t="str">
        <f t="shared" si="197"/>
        <v/>
      </c>
      <c r="AH1368" s="7" t="str">
        <f t="shared" si="190"/>
        <v/>
      </c>
      <c r="AI1368" s="7" t="str">
        <f t="shared" si="191"/>
        <v/>
      </c>
      <c r="AJ1368" s="7" t="str">
        <f t="shared" si="192"/>
        <v/>
      </c>
      <c r="AK1368" s="7" t="str">
        <f t="shared" si="193"/>
        <v/>
      </c>
      <c r="AL1368" s="7" t="str">
        <f t="shared" si="194"/>
        <v/>
      </c>
      <c r="AM1368" s="7" t="str">
        <f t="shared" si="195"/>
        <v/>
      </c>
      <c r="AN1368" s="8" t="str">
        <f>IF(C1368="","",COUNTIF($C$2:C1368,C1368))</f>
        <v/>
      </c>
      <c r="AO1368" s="8" t="str">
        <f t="shared" si="196"/>
        <v/>
      </c>
      <c r="AP1368" s="8" t="str">
        <f>IF(C1368="","",IF(AND(OR([1]Consulta!$C$29="",A1368=[1]Consulta!$C$29),OR([1]Consulta!$E$29="",B1368=[1]Consulta!$E$29),OR([1]Consulta!$G$29="",D1368=[1]Consulta!$G$29,R1368=[1]Consulta!$G$29)),ROW()-1,""))</f>
        <v/>
      </c>
    </row>
    <row r="1369" spans="1:42" ht="15" customHeight="1" x14ac:dyDescent="0.25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 t="str">
        <f t="shared" si="189"/>
        <v/>
      </c>
      <c r="AG1369" s="7" t="str">
        <f t="shared" si="197"/>
        <v/>
      </c>
      <c r="AH1369" s="7" t="str">
        <f t="shared" si="190"/>
        <v/>
      </c>
      <c r="AI1369" s="7" t="str">
        <f t="shared" si="191"/>
        <v/>
      </c>
      <c r="AJ1369" s="7" t="str">
        <f t="shared" si="192"/>
        <v/>
      </c>
      <c r="AK1369" s="7" t="str">
        <f t="shared" si="193"/>
        <v/>
      </c>
      <c r="AL1369" s="7" t="str">
        <f t="shared" si="194"/>
        <v/>
      </c>
      <c r="AM1369" s="7" t="str">
        <f t="shared" si="195"/>
        <v/>
      </c>
      <c r="AN1369" s="8" t="str">
        <f>IF(C1369="","",COUNTIF($C$2:C1369,C1369))</f>
        <v/>
      </c>
      <c r="AO1369" s="8" t="str">
        <f t="shared" si="196"/>
        <v/>
      </c>
      <c r="AP1369" s="8" t="str">
        <f>IF(C1369="","",IF(AND(OR([1]Consulta!$C$29="",A1369=[1]Consulta!$C$29),OR([1]Consulta!$E$29="",B1369=[1]Consulta!$E$29),OR([1]Consulta!$G$29="",D1369=[1]Consulta!$G$29,R1369=[1]Consulta!$G$29)),ROW()-1,""))</f>
        <v/>
      </c>
    </row>
    <row r="1370" spans="1:42" ht="15" customHeight="1" x14ac:dyDescent="0.25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 t="str">
        <f t="shared" si="189"/>
        <v/>
      </c>
      <c r="AG1370" s="7" t="str">
        <f t="shared" si="197"/>
        <v/>
      </c>
      <c r="AH1370" s="7" t="str">
        <f t="shared" si="190"/>
        <v/>
      </c>
      <c r="AI1370" s="7" t="str">
        <f t="shared" si="191"/>
        <v/>
      </c>
      <c r="AJ1370" s="7" t="str">
        <f t="shared" si="192"/>
        <v/>
      </c>
      <c r="AK1370" s="7" t="str">
        <f t="shared" si="193"/>
        <v/>
      </c>
      <c r="AL1370" s="7" t="str">
        <f t="shared" si="194"/>
        <v/>
      </c>
      <c r="AM1370" s="7" t="str">
        <f t="shared" si="195"/>
        <v/>
      </c>
      <c r="AN1370" s="8" t="str">
        <f>IF(C1370="","",COUNTIF($C$2:C1370,C1370))</f>
        <v/>
      </c>
      <c r="AO1370" s="8" t="str">
        <f t="shared" si="196"/>
        <v/>
      </c>
      <c r="AP1370" s="8" t="str">
        <f>IF(C1370="","",IF(AND(OR([1]Consulta!$C$29="",A1370=[1]Consulta!$C$29),OR([1]Consulta!$E$29="",B1370=[1]Consulta!$E$29),OR([1]Consulta!$G$29="",D1370=[1]Consulta!$G$29,R1370=[1]Consulta!$G$29)),ROW()-1,""))</f>
        <v/>
      </c>
    </row>
    <row r="1371" spans="1:42" ht="15" customHeight="1" x14ac:dyDescent="0.25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 t="str">
        <f t="shared" si="189"/>
        <v/>
      </c>
      <c r="AG1371" s="7" t="str">
        <f t="shared" si="197"/>
        <v/>
      </c>
      <c r="AH1371" s="7" t="str">
        <f t="shared" si="190"/>
        <v/>
      </c>
      <c r="AI1371" s="7" t="str">
        <f t="shared" si="191"/>
        <v/>
      </c>
      <c r="AJ1371" s="7" t="str">
        <f t="shared" si="192"/>
        <v/>
      </c>
      <c r="AK1371" s="7" t="str">
        <f t="shared" si="193"/>
        <v/>
      </c>
      <c r="AL1371" s="7" t="str">
        <f t="shared" si="194"/>
        <v/>
      </c>
      <c r="AM1371" s="7" t="str">
        <f t="shared" si="195"/>
        <v/>
      </c>
      <c r="AN1371" s="8" t="str">
        <f>IF(C1371="","",COUNTIF($C$2:C1371,C1371))</f>
        <v/>
      </c>
      <c r="AO1371" s="8" t="str">
        <f t="shared" si="196"/>
        <v/>
      </c>
      <c r="AP1371" s="8" t="str">
        <f>IF(C1371="","",IF(AND(OR([1]Consulta!$C$29="",A1371=[1]Consulta!$C$29),OR([1]Consulta!$E$29="",B1371=[1]Consulta!$E$29),OR([1]Consulta!$G$29="",D1371=[1]Consulta!$G$29,R1371=[1]Consulta!$G$29)),ROW()-1,""))</f>
        <v/>
      </c>
    </row>
    <row r="1372" spans="1:42" ht="15" customHeight="1" x14ac:dyDescent="0.25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 t="str">
        <f t="shared" si="189"/>
        <v/>
      </c>
      <c r="AG1372" s="7" t="str">
        <f t="shared" si="197"/>
        <v/>
      </c>
      <c r="AH1372" s="7" t="str">
        <f t="shared" si="190"/>
        <v/>
      </c>
      <c r="AI1372" s="7" t="str">
        <f t="shared" si="191"/>
        <v/>
      </c>
      <c r="AJ1372" s="7" t="str">
        <f t="shared" si="192"/>
        <v/>
      </c>
      <c r="AK1372" s="7" t="str">
        <f t="shared" si="193"/>
        <v/>
      </c>
      <c r="AL1372" s="7" t="str">
        <f t="shared" si="194"/>
        <v/>
      </c>
      <c r="AM1372" s="7" t="str">
        <f t="shared" si="195"/>
        <v/>
      </c>
      <c r="AN1372" s="8" t="str">
        <f>IF(C1372="","",COUNTIF($C$2:C1372,C1372))</f>
        <v/>
      </c>
      <c r="AO1372" s="8" t="str">
        <f t="shared" si="196"/>
        <v/>
      </c>
      <c r="AP1372" s="8" t="str">
        <f>IF(C1372="","",IF(AND(OR([1]Consulta!$C$29="",A1372=[1]Consulta!$C$29),OR([1]Consulta!$E$29="",B1372=[1]Consulta!$E$29),OR([1]Consulta!$G$29="",D1372=[1]Consulta!$G$29,R1372=[1]Consulta!$G$29)),ROW()-1,""))</f>
        <v/>
      </c>
    </row>
    <row r="1373" spans="1:42" ht="15" customHeight="1" x14ac:dyDescent="0.25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 t="str">
        <f t="shared" si="189"/>
        <v/>
      </c>
      <c r="AG1373" s="7" t="str">
        <f t="shared" si="197"/>
        <v/>
      </c>
      <c r="AH1373" s="7" t="str">
        <f t="shared" si="190"/>
        <v/>
      </c>
      <c r="AI1373" s="7" t="str">
        <f t="shared" si="191"/>
        <v/>
      </c>
      <c r="AJ1373" s="7" t="str">
        <f t="shared" si="192"/>
        <v/>
      </c>
      <c r="AK1373" s="7" t="str">
        <f t="shared" si="193"/>
        <v/>
      </c>
      <c r="AL1373" s="7" t="str">
        <f t="shared" si="194"/>
        <v/>
      </c>
      <c r="AM1373" s="7" t="str">
        <f t="shared" si="195"/>
        <v/>
      </c>
      <c r="AN1373" s="8" t="str">
        <f>IF(C1373="","",COUNTIF($C$2:C1373,C1373))</f>
        <v/>
      </c>
      <c r="AO1373" s="8" t="str">
        <f t="shared" si="196"/>
        <v/>
      </c>
      <c r="AP1373" s="8" t="str">
        <f>IF(C1373="","",IF(AND(OR([1]Consulta!$C$29="",A1373=[1]Consulta!$C$29),OR([1]Consulta!$E$29="",B1373=[1]Consulta!$E$29),OR([1]Consulta!$G$29="",D1373=[1]Consulta!$G$29,R1373=[1]Consulta!$G$29)),ROW()-1,""))</f>
        <v/>
      </c>
    </row>
    <row r="1374" spans="1:42" ht="15" customHeight="1" x14ac:dyDescent="0.25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 t="str">
        <f t="shared" si="189"/>
        <v/>
      </c>
      <c r="AG1374" s="7" t="str">
        <f t="shared" si="197"/>
        <v/>
      </c>
      <c r="AH1374" s="7" t="str">
        <f t="shared" si="190"/>
        <v/>
      </c>
      <c r="AI1374" s="7" t="str">
        <f t="shared" si="191"/>
        <v/>
      </c>
      <c r="AJ1374" s="7" t="str">
        <f t="shared" si="192"/>
        <v/>
      </c>
      <c r="AK1374" s="7" t="str">
        <f t="shared" si="193"/>
        <v/>
      </c>
      <c r="AL1374" s="7" t="str">
        <f t="shared" si="194"/>
        <v/>
      </c>
      <c r="AM1374" s="7" t="str">
        <f t="shared" si="195"/>
        <v/>
      </c>
      <c r="AN1374" s="8" t="str">
        <f>IF(C1374="","",COUNTIF($C$2:C1374,C1374))</f>
        <v/>
      </c>
      <c r="AO1374" s="8" t="str">
        <f t="shared" si="196"/>
        <v/>
      </c>
      <c r="AP1374" s="8" t="str">
        <f>IF(C1374="","",IF(AND(OR([1]Consulta!$C$29="",A1374=[1]Consulta!$C$29),OR([1]Consulta!$E$29="",B1374=[1]Consulta!$E$29),OR([1]Consulta!$G$29="",D1374=[1]Consulta!$G$29,R1374=[1]Consulta!$G$29)),ROW()-1,""))</f>
        <v/>
      </c>
    </row>
    <row r="1375" spans="1:42" ht="15" customHeight="1" x14ac:dyDescent="0.25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 t="str">
        <f t="shared" si="189"/>
        <v/>
      </c>
      <c r="AG1375" s="7" t="str">
        <f t="shared" si="197"/>
        <v/>
      </c>
      <c r="AH1375" s="7" t="str">
        <f t="shared" si="190"/>
        <v/>
      </c>
      <c r="AI1375" s="7" t="str">
        <f t="shared" si="191"/>
        <v/>
      </c>
      <c r="AJ1375" s="7" t="str">
        <f t="shared" si="192"/>
        <v/>
      </c>
      <c r="AK1375" s="7" t="str">
        <f t="shared" si="193"/>
        <v/>
      </c>
      <c r="AL1375" s="7" t="str">
        <f t="shared" si="194"/>
        <v/>
      </c>
      <c r="AM1375" s="7" t="str">
        <f t="shared" si="195"/>
        <v/>
      </c>
      <c r="AN1375" s="8" t="str">
        <f>IF(C1375="","",COUNTIF($C$2:C1375,C1375))</f>
        <v/>
      </c>
      <c r="AO1375" s="8" t="str">
        <f t="shared" si="196"/>
        <v/>
      </c>
      <c r="AP1375" s="8" t="str">
        <f>IF(C1375="","",IF(AND(OR([1]Consulta!$C$29="",A1375=[1]Consulta!$C$29),OR([1]Consulta!$E$29="",B1375=[1]Consulta!$E$29),OR([1]Consulta!$G$29="",D1375=[1]Consulta!$G$29,R1375=[1]Consulta!$G$29)),ROW()-1,""))</f>
        <v/>
      </c>
    </row>
    <row r="1376" spans="1:42" ht="15" customHeight="1" x14ac:dyDescent="0.25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 t="str">
        <f t="shared" si="189"/>
        <v/>
      </c>
      <c r="AG1376" s="7" t="str">
        <f t="shared" si="197"/>
        <v/>
      </c>
      <c r="AH1376" s="7" t="str">
        <f t="shared" si="190"/>
        <v/>
      </c>
      <c r="AI1376" s="7" t="str">
        <f t="shared" si="191"/>
        <v/>
      </c>
      <c r="AJ1376" s="7" t="str">
        <f t="shared" si="192"/>
        <v/>
      </c>
      <c r="AK1376" s="7" t="str">
        <f t="shared" si="193"/>
        <v/>
      </c>
      <c r="AL1376" s="7" t="str">
        <f t="shared" si="194"/>
        <v/>
      </c>
      <c r="AM1376" s="7" t="str">
        <f t="shared" si="195"/>
        <v/>
      </c>
      <c r="AN1376" s="8" t="str">
        <f>IF(C1376="","",COUNTIF($C$2:C1376,C1376))</f>
        <v/>
      </c>
      <c r="AO1376" s="8" t="str">
        <f t="shared" si="196"/>
        <v/>
      </c>
      <c r="AP1376" s="8" t="str">
        <f>IF(C1376="","",IF(AND(OR([1]Consulta!$C$29="",A1376=[1]Consulta!$C$29),OR([1]Consulta!$E$29="",B1376=[1]Consulta!$E$29),OR([1]Consulta!$G$29="",D1376=[1]Consulta!$G$29,R1376=[1]Consulta!$G$29)),ROW()-1,""))</f>
        <v/>
      </c>
    </row>
    <row r="1377" spans="1:42" ht="15" customHeight="1" x14ac:dyDescent="0.25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 t="str">
        <f t="shared" si="189"/>
        <v/>
      </c>
      <c r="AG1377" s="7" t="str">
        <f t="shared" si="197"/>
        <v/>
      </c>
      <c r="AH1377" s="7" t="str">
        <f t="shared" si="190"/>
        <v/>
      </c>
      <c r="AI1377" s="7" t="str">
        <f t="shared" si="191"/>
        <v/>
      </c>
      <c r="AJ1377" s="7" t="str">
        <f t="shared" si="192"/>
        <v/>
      </c>
      <c r="AK1377" s="7" t="str">
        <f t="shared" si="193"/>
        <v/>
      </c>
      <c r="AL1377" s="7" t="str">
        <f t="shared" si="194"/>
        <v/>
      </c>
      <c r="AM1377" s="7" t="str">
        <f t="shared" si="195"/>
        <v/>
      </c>
      <c r="AN1377" s="8" t="str">
        <f>IF(C1377="","",COUNTIF($C$2:C1377,C1377))</f>
        <v/>
      </c>
      <c r="AO1377" s="8" t="str">
        <f t="shared" si="196"/>
        <v/>
      </c>
      <c r="AP1377" s="8" t="str">
        <f>IF(C1377="","",IF(AND(OR([1]Consulta!$C$29="",A1377=[1]Consulta!$C$29),OR([1]Consulta!$E$29="",B1377=[1]Consulta!$E$29),OR([1]Consulta!$G$29="",D1377=[1]Consulta!$G$29,R1377=[1]Consulta!$G$29)),ROW()-1,""))</f>
        <v/>
      </c>
    </row>
    <row r="1378" spans="1:42" ht="15" customHeight="1" x14ac:dyDescent="0.25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 t="str">
        <f t="shared" si="189"/>
        <v/>
      </c>
      <c r="AG1378" s="7" t="str">
        <f t="shared" si="197"/>
        <v/>
      </c>
      <c r="AH1378" s="7" t="str">
        <f t="shared" si="190"/>
        <v/>
      </c>
      <c r="AI1378" s="7" t="str">
        <f t="shared" si="191"/>
        <v/>
      </c>
      <c r="AJ1378" s="7" t="str">
        <f t="shared" si="192"/>
        <v/>
      </c>
      <c r="AK1378" s="7" t="str">
        <f t="shared" si="193"/>
        <v/>
      </c>
      <c r="AL1378" s="7" t="str">
        <f t="shared" si="194"/>
        <v/>
      </c>
      <c r="AM1378" s="7" t="str">
        <f t="shared" si="195"/>
        <v/>
      </c>
      <c r="AN1378" s="8" t="str">
        <f>IF(C1378="","",COUNTIF($C$2:C1378,C1378))</f>
        <v/>
      </c>
      <c r="AO1378" s="8" t="str">
        <f t="shared" si="196"/>
        <v/>
      </c>
      <c r="AP1378" s="8" t="str">
        <f>IF(C1378="","",IF(AND(OR([1]Consulta!$C$29="",A1378=[1]Consulta!$C$29),OR([1]Consulta!$E$29="",B1378=[1]Consulta!$E$29),OR([1]Consulta!$G$29="",D1378=[1]Consulta!$G$29,R1378=[1]Consulta!$G$29)),ROW()-1,""))</f>
        <v/>
      </c>
    </row>
    <row r="1379" spans="1:42" ht="15" customHeight="1" x14ac:dyDescent="0.25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 t="str">
        <f t="shared" si="189"/>
        <v/>
      </c>
      <c r="AG1379" s="7" t="str">
        <f t="shared" si="197"/>
        <v/>
      </c>
      <c r="AH1379" s="7" t="str">
        <f t="shared" si="190"/>
        <v/>
      </c>
      <c r="AI1379" s="7" t="str">
        <f t="shared" si="191"/>
        <v/>
      </c>
      <c r="AJ1379" s="7" t="str">
        <f t="shared" si="192"/>
        <v/>
      </c>
      <c r="AK1379" s="7" t="str">
        <f t="shared" si="193"/>
        <v/>
      </c>
      <c r="AL1379" s="7" t="str">
        <f t="shared" si="194"/>
        <v/>
      </c>
      <c r="AM1379" s="7" t="str">
        <f t="shared" si="195"/>
        <v/>
      </c>
      <c r="AN1379" s="8" t="str">
        <f>IF(C1379="","",COUNTIF($C$2:C1379,C1379))</f>
        <v/>
      </c>
      <c r="AO1379" s="8" t="str">
        <f t="shared" si="196"/>
        <v/>
      </c>
      <c r="AP1379" s="8" t="str">
        <f>IF(C1379="","",IF(AND(OR([1]Consulta!$C$29="",A1379=[1]Consulta!$C$29),OR([1]Consulta!$E$29="",B1379=[1]Consulta!$E$29),OR([1]Consulta!$G$29="",D1379=[1]Consulta!$G$29,R1379=[1]Consulta!$G$29)),ROW()-1,""))</f>
        <v/>
      </c>
    </row>
    <row r="1380" spans="1:42" ht="15" customHeight="1" x14ac:dyDescent="0.25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 t="str">
        <f t="shared" si="189"/>
        <v/>
      </c>
      <c r="AG1380" s="7" t="str">
        <f t="shared" si="197"/>
        <v/>
      </c>
      <c r="AH1380" s="7" t="str">
        <f t="shared" si="190"/>
        <v/>
      </c>
      <c r="AI1380" s="7" t="str">
        <f t="shared" si="191"/>
        <v/>
      </c>
      <c r="AJ1380" s="7" t="str">
        <f t="shared" si="192"/>
        <v/>
      </c>
      <c r="AK1380" s="7" t="str">
        <f t="shared" si="193"/>
        <v/>
      </c>
      <c r="AL1380" s="7" t="str">
        <f t="shared" si="194"/>
        <v/>
      </c>
      <c r="AM1380" s="7" t="str">
        <f t="shared" si="195"/>
        <v/>
      </c>
      <c r="AN1380" s="8" t="str">
        <f>IF(C1380="","",COUNTIF($C$2:C1380,C1380))</f>
        <v/>
      </c>
      <c r="AO1380" s="8" t="str">
        <f t="shared" si="196"/>
        <v/>
      </c>
      <c r="AP1380" s="8" t="str">
        <f>IF(C1380="","",IF(AND(OR([1]Consulta!$C$29="",A1380=[1]Consulta!$C$29),OR([1]Consulta!$E$29="",B1380=[1]Consulta!$E$29),OR([1]Consulta!$G$29="",D1380=[1]Consulta!$G$29,R1380=[1]Consulta!$G$29)),ROW()-1,""))</f>
        <v/>
      </c>
    </row>
    <row r="1381" spans="1:42" ht="15" customHeight="1" x14ac:dyDescent="0.25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 t="str">
        <f t="shared" si="189"/>
        <v/>
      </c>
      <c r="AG1381" s="7" t="str">
        <f t="shared" si="197"/>
        <v/>
      </c>
      <c r="AH1381" s="7" t="str">
        <f t="shared" si="190"/>
        <v/>
      </c>
      <c r="AI1381" s="7" t="str">
        <f t="shared" si="191"/>
        <v/>
      </c>
      <c r="AJ1381" s="7" t="str">
        <f t="shared" si="192"/>
        <v/>
      </c>
      <c r="AK1381" s="7" t="str">
        <f t="shared" si="193"/>
        <v/>
      </c>
      <c r="AL1381" s="7" t="str">
        <f t="shared" si="194"/>
        <v/>
      </c>
      <c r="AM1381" s="7" t="str">
        <f t="shared" si="195"/>
        <v/>
      </c>
      <c r="AN1381" s="8" t="str">
        <f>IF(C1381="","",COUNTIF($C$2:C1381,C1381))</f>
        <v/>
      </c>
      <c r="AO1381" s="8" t="str">
        <f t="shared" si="196"/>
        <v/>
      </c>
      <c r="AP1381" s="8" t="str">
        <f>IF(C1381="","",IF(AND(OR([1]Consulta!$C$29="",A1381=[1]Consulta!$C$29),OR([1]Consulta!$E$29="",B1381=[1]Consulta!$E$29),OR([1]Consulta!$G$29="",D1381=[1]Consulta!$G$29,R1381=[1]Consulta!$G$29)),ROW()-1,""))</f>
        <v/>
      </c>
    </row>
    <row r="1382" spans="1:42" ht="15" customHeight="1" x14ac:dyDescent="0.25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 t="str">
        <f t="shared" si="189"/>
        <v/>
      </c>
      <c r="AG1382" s="7" t="str">
        <f t="shared" si="197"/>
        <v/>
      </c>
      <c r="AH1382" s="7" t="str">
        <f t="shared" si="190"/>
        <v/>
      </c>
      <c r="AI1382" s="7" t="str">
        <f t="shared" si="191"/>
        <v/>
      </c>
      <c r="AJ1382" s="7" t="str">
        <f t="shared" si="192"/>
        <v/>
      </c>
      <c r="AK1382" s="7" t="str">
        <f t="shared" si="193"/>
        <v/>
      </c>
      <c r="AL1382" s="7" t="str">
        <f t="shared" si="194"/>
        <v/>
      </c>
      <c r="AM1382" s="7" t="str">
        <f t="shared" si="195"/>
        <v/>
      </c>
      <c r="AN1382" s="8" t="str">
        <f>IF(C1382="","",COUNTIF($C$2:C1382,C1382))</f>
        <v/>
      </c>
      <c r="AO1382" s="8" t="str">
        <f t="shared" si="196"/>
        <v/>
      </c>
      <c r="AP1382" s="8" t="str">
        <f>IF(C1382="","",IF(AND(OR([1]Consulta!$C$29="",A1382=[1]Consulta!$C$29),OR([1]Consulta!$E$29="",B1382=[1]Consulta!$E$29),OR([1]Consulta!$G$29="",D1382=[1]Consulta!$G$29,R1382=[1]Consulta!$G$29)),ROW()-1,""))</f>
        <v/>
      </c>
    </row>
    <row r="1383" spans="1:42" ht="15" customHeight="1" x14ac:dyDescent="0.25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 t="str">
        <f t="shared" si="189"/>
        <v/>
      </c>
      <c r="AG1383" s="7" t="str">
        <f t="shared" si="197"/>
        <v/>
      </c>
      <c r="AH1383" s="7" t="str">
        <f t="shared" si="190"/>
        <v/>
      </c>
      <c r="AI1383" s="7" t="str">
        <f t="shared" si="191"/>
        <v/>
      </c>
      <c r="AJ1383" s="7" t="str">
        <f t="shared" si="192"/>
        <v/>
      </c>
      <c r="AK1383" s="7" t="str">
        <f t="shared" si="193"/>
        <v/>
      </c>
      <c r="AL1383" s="7" t="str">
        <f t="shared" si="194"/>
        <v/>
      </c>
      <c r="AM1383" s="7" t="str">
        <f t="shared" si="195"/>
        <v/>
      </c>
      <c r="AN1383" s="8" t="str">
        <f>IF(C1383="","",COUNTIF($C$2:C1383,C1383))</f>
        <v/>
      </c>
      <c r="AO1383" s="8" t="str">
        <f t="shared" si="196"/>
        <v/>
      </c>
      <c r="AP1383" s="8" t="str">
        <f>IF(C1383="","",IF(AND(OR([1]Consulta!$C$29="",A1383=[1]Consulta!$C$29),OR([1]Consulta!$E$29="",B1383=[1]Consulta!$E$29),OR([1]Consulta!$G$29="",D1383=[1]Consulta!$G$29,R1383=[1]Consulta!$G$29)),ROW()-1,""))</f>
        <v/>
      </c>
    </row>
    <row r="1384" spans="1:42" ht="15" customHeight="1" x14ac:dyDescent="0.25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 t="str">
        <f t="shared" si="189"/>
        <v/>
      </c>
      <c r="AG1384" s="7" t="str">
        <f t="shared" si="197"/>
        <v/>
      </c>
      <c r="AH1384" s="7" t="str">
        <f t="shared" si="190"/>
        <v/>
      </c>
      <c r="AI1384" s="7" t="str">
        <f t="shared" si="191"/>
        <v/>
      </c>
      <c r="AJ1384" s="7" t="str">
        <f t="shared" si="192"/>
        <v/>
      </c>
      <c r="AK1384" s="7" t="str">
        <f t="shared" si="193"/>
        <v/>
      </c>
      <c r="AL1384" s="7" t="str">
        <f t="shared" si="194"/>
        <v/>
      </c>
      <c r="AM1384" s="7" t="str">
        <f t="shared" si="195"/>
        <v/>
      </c>
      <c r="AN1384" s="8" t="str">
        <f>IF(C1384="","",COUNTIF($C$2:C1384,C1384))</f>
        <v/>
      </c>
      <c r="AO1384" s="8" t="str">
        <f t="shared" si="196"/>
        <v/>
      </c>
      <c r="AP1384" s="8" t="str">
        <f>IF(C1384="","",IF(AND(OR([1]Consulta!$C$29="",A1384=[1]Consulta!$C$29),OR([1]Consulta!$E$29="",B1384=[1]Consulta!$E$29),OR([1]Consulta!$G$29="",D1384=[1]Consulta!$G$29,R1384=[1]Consulta!$G$29)),ROW()-1,""))</f>
        <v/>
      </c>
    </row>
    <row r="1385" spans="1:42" ht="15" customHeight="1" x14ac:dyDescent="0.25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 t="str">
        <f t="shared" si="189"/>
        <v/>
      </c>
      <c r="AG1385" s="7" t="str">
        <f t="shared" si="197"/>
        <v/>
      </c>
      <c r="AH1385" s="7" t="str">
        <f t="shared" si="190"/>
        <v/>
      </c>
      <c r="AI1385" s="7" t="str">
        <f t="shared" si="191"/>
        <v/>
      </c>
      <c r="AJ1385" s="7" t="str">
        <f t="shared" si="192"/>
        <v/>
      </c>
      <c r="AK1385" s="7" t="str">
        <f t="shared" si="193"/>
        <v/>
      </c>
      <c r="AL1385" s="7" t="str">
        <f t="shared" si="194"/>
        <v/>
      </c>
      <c r="AM1385" s="7" t="str">
        <f t="shared" si="195"/>
        <v/>
      </c>
      <c r="AN1385" s="8" t="str">
        <f>IF(C1385="","",COUNTIF($C$2:C1385,C1385))</f>
        <v/>
      </c>
      <c r="AO1385" s="8" t="str">
        <f t="shared" si="196"/>
        <v/>
      </c>
      <c r="AP1385" s="8" t="str">
        <f>IF(C1385="","",IF(AND(OR([1]Consulta!$C$29="",A1385=[1]Consulta!$C$29),OR([1]Consulta!$E$29="",B1385=[1]Consulta!$E$29),OR([1]Consulta!$G$29="",D1385=[1]Consulta!$G$29,R1385=[1]Consulta!$G$29)),ROW()-1,""))</f>
        <v/>
      </c>
    </row>
    <row r="1386" spans="1:42" ht="15" customHeight="1" x14ac:dyDescent="0.25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 t="str">
        <f t="shared" si="189"/>
        <v/>
      </c>
      <c r="AG1386" s="7" t="str">
        <f t="shared" si="197"/>
        <v/>
      </c>
      <c r="AH1386" s="7" t="str">
        <f t="shared" si="190"/>
        <v/>
      </c>
      <c r="AI1386" s="7" t="str">
        <f t="shared" si="191"/>
        <v/>
      </c>
      <c r="AJ1386" s="7" t="str">
        <f t="shared" si="192"/>
        <v/>
      </c>
      <c r="AK1386" s="7" t="str">
        <f t="shared" si="193"/>
        <v/>
      </c>
      <c r="AL1386" s="7" t="str">
        <f t="shared" si="194"/>
        <v/>
      </c>
      <c r="AM1386" s="7" t="str">
        <f t="shared" si="195"/>
        <v/>
      </c>
      <c r="AN1386" s="8" t="str">
        <f>IF(C1386="","",COUNTIF($C$2:C1386,C1386))</f>
        <v/>
      </c>
      <c r="AO1386" s="8" t="str">
        <f t="shared" si="196"/>
        <v/>
      </c>
      <c r="AP1386" s="8" t="str">
        <f>IF(C1386="","",IF(AND(OR([1]Consulta!$C$29="",A1386=[1]Consulta!$C$29),OR([1]Consulta!$E$29="",B1386=[1]Consulta!$E$29),OR([1]Consulta!$G$29="",D1386=[1]Consulta!$G$29,R1386=[1]Consulta!$G$29)),ROW()-1,""))</f>
        <v/>
      </c>
    </row>
    <row r="1387" spans="1:42" ht="15" customHeight="1" x14ac:dyDescent="0.25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 t="str">
        <f t="shared" si="189"/>
        <v/>
      </c>
      <c r="AG1387" s="7" t="str">
        <f t="shared" si="197"/>
        <v/>
      </c>
      <c r="AH1387" s="7" t="str">
        <f t="shared" si="190"/>
        <v/>
      </c>
      <c r="AI1387" s="7" t="str">
        <f t="shared" si="191"/>
        <v/>
      </c>
      <c r="AJ1387" s="7" t="str">
        <f t="shared" si="192"/>
        <v/>
      </c>
      <c r="AK1387" s="7" t="str">
        <f t="shared" si="193"/>
        <v/>
      </c>
      <c r="AL1387" s="7" t="str">
        <f t="shared" si="194"/>
        <v/>
      </c>
      <c r="AM1387" s="7" t="str">
        <f t="shared" si="195"/>
        <v/>
      </c>
      <c r="AN1387" s="8" t="str">
        <f>IF(C1387="","",COUNTIF($C$2:C1387,C1387))</f>
        <v/>
      </c>
      <c r="AO1387" s="8" t="str">
        <f t="shared" si="196"/>
        <v/>
      </c>
      <c r="AP1387" s="8" t="str">
        <f>IF(C1387="","",IF(AND(OR([1]Consulta!$C$29="",A1387=[1]Consulta!$C$29),OR([1]Consulta!$E$29="",B1387=[1]Consulta!$E$29),OR([1]Consulta!$G$29="",D1387=[1]Consulta!$G$29,R1387=[1]Consulta!$G$29)),ROW()-1,""))</f>
        <v/>
      </c>
    </row>
    <row r="1388" spans="1:42" ht="15" customHeight="1" x14ac:dyDescent="0.25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 t="str">
        <f t="shared" si="189"/>
        <v/>
      </c>
      <c r="AG1388" s="7" t="str">
        <f t="shared" si="197"/>
        <v/>
      </c>
      <c r="AH1388" s="7" t="str">
        <f t="shared" si="190"/>
        <v/>
      </c>
      <c r="AI1388" s="7" t="str">
        <f t="shared" si="191"/>
        <v/>
      </c>
      <c r="AJ1388" s="7" t="str">
        <f t="shared" si="192"/>
        <v/>
      </c>
      <c r="AK1388" s="7" t="str">
        <f t="shared" si="193"/>
        <v/>
      </c>
      <c r="AL1388" s="7" t="str">
        <f t="shared" si="194"/>
        <v/>
      </c>
      <c r="AM1388" s="7" t="str">
        <f t="shared" si="195"/>
        <v/>
      </c>
      <c r="AN1388" s="8" t="str">
        <f>IF(C1388="","",COUNTIF($C$2:C1388,C1388))</f>
        <v/>
      </c>
      <c r="AO1388" s="8" t="str">
        <f t="shared" si="196"/>
        <v/>
      </c>
      <c r="AP1388" s="8" t="str">
        <f>IF(C1388="","",IF(AND(OR([1]Consulta!$C$29="",A1388=[1]Consulta!$C$29),OR([1]Consulta!$E$29="",B1388=[1]Consulta!$E$29),OR([1]Consulta!$G$29="",D1388=[1]Consulta!$G$29,R1388=[1]Consulta!$G$29)),ROW()-1,""))</f>
        <v/>
      </c>
    </row>
    <row r="1389" spans="1:42" ht="15" customHeight="1" x14ac:dyDescent="0.25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 t="str">
        <f t="shared" si="189"/>
        <v/>
      </c>
      <c r="AG1389" s="7" t="str">
        <f t="shared" si="197"/>
        <v/>
      </c>
      <c r="AH1389" s="7" t="str">
        <f t="shared" si="190"/>
        <v/>
      </c>
      <c r="AI1389" s="7" t="str">
        <f t="shared" si="191"/>
        <v/>
      </c>
      <c r="AJ1389" s="7" t="str">
        <f t="shared" si="192"/>
        <v/>
      </c>
      <c r="AK1389" s="7" t="str">
        <f t="shared" si="193"/>
        <v/>
      </c>
      <c r="AL1389" s="7" t="str">
        <f t="shared" si="194"/>
        <v/>
      </c>
      <c r="AM1389" s="7" t="str">
        <f t="shared" si="195"/>
        <v/>
      </c>
      <c r="AN1389" s="8" t="str">
        <f>IF(C1389="","",COUNTIF($C$2:C1389,C1389))</f>
        <v/>
      </c>
      <c r="AO1389" s="8" t="str">
        <f t="shared" si="196"/>
        <v/>
      </c>
      <c r="AP1389" s="8" t="str">
        <f>IF(C1389="","",IF(AND(OR([1]Consulta!$C$29="",A1389=[1]Consulta!$C$29),OR([1]Consulta!$E$29="",B1389=[1]Consulta!$E$29),OR([1]Consulta!$G$29="",D1389=[1]Consulta!$G$29,R1389=[1]Consulta!$G$29)),ROW()-1,""))</f>
        <v/>
      </c>
    </row>
    <row r="1390" spans="1:42" ht="15" customHeight="1" x14ac:dyDescent="0.25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 t="str">
        <f t="shared" si="189"/>
        <v/>
      </c>
      <c r="AG1390" s="7" t="str">
        <f t="shared" si="197"/>
        <v/>
      </c>
      <c r="AH1390" s="7" t="str">
        <f t="shared" si="190"/>
        <v/>
      </c>
      <c r="AI1390" s="7" t="str">
        <f t="shared" si="191"/>
        <v/>
      </c>
      <c r="AJ1390" s="7" t="str">
        <f t="shared" si="192"/>
        <v/>
      </c>
      <c r="AK1390" s="7" t="str">
        <f t="shared" si="193"/>
        <v/>
      </c>
      <c r="AL1390" s="7" t="str">
        <f t="shared" si="194"/>
        <v/>
      </c>
      <c r="AM1390" s="7" t="str">
        <f t="shared" si="195"/>
        <v/>
      </c>
      <c r="AN1390" s="8" t="str">
        <f>IF(C1390="","",COUNTIF($C$2:C1390,C1390))</f>
        <v/>
      </c>
      <c r="AO1390" s="8" t="str">
        <f t="shared" si="196"/>
        <v/>
      </c>
      <c r="AP1390" s="8" t="str">
        <f>IF(C1390="","",IF(AND(OR([1]Consulta!$C$29="",A1390=[1]Consulta!$C$29),OR([1]Consulta!$E$29="",B1390=[1]Consulta!$E$29),OR([1]Consulta!$G$29="",D1390=[1]Consulta!$G$29,R1390=[1]Consulta!$G$29)),ROW()-1,""))</f>
        <v/>
      </c>
    </row>
    <row r="1391" spans="1:42" ht="15" customHeight="1" x14ac:dyDescent="0.25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 t="str">
        <f t="shared" si="189"/>
        <v/>
      </c>
      <c r="AG1391" s="7" t="str">
        <f t="shared" si="197"/>
        <v/>
      </c>
      <c r="AH1391" s="7" t="str">
        <f t="shared" si="190"/>
        <v/>
      </c>
      <c r="AI1391" s="7" t="str">
        <f t="shared" si="191"/>
        <v/>
      </c>
      <c r="AJ1391" s="7" t="str">
        <f t="shared" si="192"/>
        <v/>
      </c>
      <c r="AK1391" s="7" t="str">
        <f t="shared" si="193"/>
        <v/>
      </c>
      <c r="AL1391" s="7" t="str">
        <f t="shared" si="194"/>
        <v/>
      </c>
      <c r="AM1391" s="7" t="str">
        <f t="shared" si="195"/>
        <v/>
      </c>
      <c r="AN1391" s="8" t="str">
        <f>IF(C1391="","",COUNTIF($C$2:C1391,C1391))</f>
        <v/>
      </c>
      <c r="AO1391" s="8" t="str">
        <f t="shared" si="196"/>
        <v/>
      </c>
      <c r="AP1391" s="8" t="str">
        <f>IF(C1391="","",IF(AND(OR([1]Consulta!$C$29="",A1391=[1]Consulta!$C$29),OR([1]Consulta!$E$29="",B1391=[1]Consulta!$E$29),OR([1]Consulta!$G$29="",D1391=[1]Consulta!$G$29,R1391=[1]Consulta!$G$29)),ROW()-1,""))</f>
        <v/>
      </c>
    </row>
    <row r="1392" spans="1:42" ht="15" customHeight="1" x14ac:dyDescent="0.25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 t="str">
        <f t="shared" si="189"/>
        <v/>
      </c>
      <c r="AG1392" s="7" t="str">
        <f t="shared" si="197"/>
        <v/>
      </c>
      <c r="AH1392" s="7" t="str">
        <f t="shared" si="190"/>
        <v/>
      </c>
      <c r="AI1392" s="7" t="str">
        <f t="shared" si="191"/>
        <v/>
      </c>
      <c r="AJ1392" s="7" t="str">
        <f t="shared" si="192"/>
        <v/>
      </c>
      <c r="AK1392" s="7" t="str">
        <f t="shared" si="193"/>
        <v/>
      </c>
      <c r="AL1392" s="7" t="str">
        <f t="shared" si="194"/>
        <v/>
      </c>
      <c r="AM1392" s="7" t="str">
        <f t="shared" si="195"/>
        <v/>
      </c>
      <c r="AN1392" s="8" t="str">
        <f>IF(C1392="","",COUNTIF($C$2:C1392,C1392))</f>
        <v/>
      </c>
      <c r="AO1392" s="8" t="str">
        <f t="shared" si="196"/>
        <v/>
      </c>
      <c r="AP1392" s="8" t="str">
        <f>IF(C1392="","",IF(AND(OR([1]Consulta!$C$29="",A1392=[1]Consulta!$C$29),OR([1]Consulta!$E$29="",B1392=[1]Consulta!$E$29),OR([1]Consulta!$G$29="",D1392=[1]Consulta!$G$29,R1392=[1]Consulta!$G$29)),ROW()-1,""))</f>
        <v/>
      </c>
    </row>
    <row r="1393" spans="1:42" ht="15" customHeight="1" x14ac:dyDescent="0.25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 t="str">
        <f t="shared" si="189"/>
        <v/>
      </c>
      <c r="AG1393" s="7" t="str">
        <f t="shared" si="197"/>
        <v/>
      </c>
      <c r="AH1393" s="7" t="str">
        <f t="shared" si="190"/>
        <v/>
      </c>
      <c r="AI1393" s="7" t="str">
        <f t="shared" si="191"/>
        <v/>
      </c>
      <c r="AJ1393" s="7" t="str">
        <f t="shared" si="192"/>
        <v/>
      </c>
      <c r="AK1393" s="7" t="str">
        <f t="shared" si="193"/>
        <v/>
      </c>
      <c r="AL1393" s="7" t="str">
        <f t="shared" si="194"/>
        <v/>
      </c>
      <c r="AM1393" s="7" t="str">
        <f t="shared" si="195"/>
        <v/>
      </c>
      <c r="AN1393" s="8" t="str">
        <f>IF(C1393="","",COUNTIF($C$2:C1393,C1393))</f>
        <v/>
      </c>
      <c r="AO1393" s="8" t="str">
        <f t="shared" si="196"/>
        <v/>
      </c>
      <c r="AP1393" s="8" t="str">
        <f>IF(C1393="","",IF(AND(OR([1]Consulta!$C$29="",A1393=[1]Consulta!$C$29),OR([1]Consulta!$E$29="",B1393=[1]Consulta!$E$29),OR([1]Consulta!$G$29="",D1393=[1]Consulta!$G$29,R1393=[1]Consulta!$G$29)),ROW()-1,""))</f>
        <v/>
      </c>
    </row>
    <row r="1394" spans="1:42" ht="15" customHeight="1" x14ac:dyDescent="0.25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 t="str">
        <f t="shared" si="189"/>
        <v/>
      </c>
      <c r="AG1394" s="7" t="str">
        <f t="shared" si="197"/>
        <v/>
      </c>
      <c r="AH1394" s="7" t="str">
        <f t="shared" si="190"/>
        <v/>
      </c>
      <c r="AI1394" s="7" t="str">
        <f t="shared" si="191"/>
        <v/>
      </c>
      <c r="AJ1394" s="7" t="str">
        <f t="shared" si="192"/>
        <v/>
      </c>
      <c r="AK1394" s="7" t="str">
        <f t="shared" si="193"/>
        <v/>
      </c>
      <c r="AL1394" s="7" t="str">
        <f t="shared" si="194"/>
        <v/>
      </c>
      <c r="AM1394" s="7" t="str">
        <f t="shared" si="195"/>
        <v/>
      </c>
      <c r="AN1394" s="8" t="str">
        <f>IF(C1394="","",COUNTIF($C$2:C1394,C1394))</f>
        <v/>
      </c>
      <c r="AO1394" s="8" t="str">
        <f t="shared" si="196"/>
        <v/>
      </c>
      <c r="AP1394" s="8" t="str">
        <f>IF(C1394="","",IF(AND(OR([1]Consulta!$C$29="",A1394=[1]Consulta!$C$29),OR([1]Consulta!$E$29="",B1394=[1]Consulta!$E$29),OR([1]Consulta!$G$29="",D1394=[1]Consulta!$G$29,R1394=[1]Consulta!$G$29)),ROW()-1,""))</f>
        <v/>
      </c>
    </row>
    <row r="1395" spans="1:42" ht="15" customHeight="1" x14ac:dyDescent="0.25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 t="str">
        <f t="shared" si="189"/>
        <v/>
      </c>
      <c r="AG1395" s="7" t="str">
        <f t="shared" si="197"/>
        <v/>
      </c>
      <c r="AH1395" s="7" t="str">
        <f t="shared" si="190"/>
        <v/>
      </c>
      <c r="AI1395" s="7" t="str">
        <f t="shared" si="191"/>
        <v/>
      </c>
      <c r="AJ1395" s="7" t="str">
        <f t="shared" si="192"/>
        <v/>
      </c>
      <c r="AK1395" s="7" t="str">
        <f t="shared" si="193"/>
        <v/>
      </c>
      <c r="AL1395" s="7" t="str">
        <f t="shared" si="194"/>
        <v/>
      </c>
      <c r="AM1395" s="7" t="str">
        <f t="shared" si="195"/>
        <v/>
      </c>
      <c r="AN1395" s="8" t="str">
        <f>IF(C1395="","",COUNTIF($C$2:C1395,C1395))</f>
        <v/>
      </c>
      <c r="AO1395" s="8" t="str">
        <f t="shared" si="196"/>
        <v/>
      </c>
      <c r="AP1395" s="8" t="str">
        <f>IF(C1395="","",IF(AND(OR([1]Consulta!$C$29="",A1395=[1]Consulta!$C$29),OR([1]Consulta!$E$29="",B1395=[1]Consulta!$E$29),OR([1]Consulta!$G$29="",D1395=[1]Consulta!$G$29,R1395=[1]Consulta!$G$29)),ROW()-1,""))</f>
        <v/>
      </c>
    </row>
    <row r="1396" spans="1:42" ht="15" customHeight="1" x14ac:dyDescent="0.25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 t="str">
        <f t="shared" si="189"/>
        <v/>
      </c>
      <c r="AG1396" s="7" t="str">
        <f t="shared" si="197"/>
        <v/>
      </c>
      <c r="AH1396" s="7" t="str">
        <f t="shared" si="190"/>
        <v/>
      </c>
      <c r="AI1396" s="7" t="str">
        <f t="shared" si="191"/>
        <v/>
      </c>
      <c r="AJ1396" s="7" t="str">
        <f t="shared" si="192"/>
        <v/>
      </c>
      <c r="AK1396" s="7" t="str">
        <f t="shared" si="193"/>
        <v/>
      </c>
      <c r="AL1396" s="7" t="str">
        <f t="shared" si="194"/>
        <v/>
      </c>
      <c r="AM1396" s="7" t="str">
        <f t="shared" si="195"/>
        <v/>
      </c>
      <c r="AN1396" s="8" t="str">
        <f>IF(C1396="","",COUNTIF($C$2:C1396,C1396))</f>
        <v/>
      </c>
      <c r="AO1396" s="8" t="str">
        <f t="shared" si="196"/>
        <v/>
      </c>
      <c r="AP1396" s="8" t="str">
        <f>IF(C1396="","",IF(AND(OR([1]Consulta!$C$29="",A1396=[1]Consulta!$C$29),OR([1]Consulta!$E$29="",B1396=[1]Consulta!$E$29),OR([1]Consulta!$G$29="",D1396=[1]Consulta!$G$29,R1396=[1]Consulta!$G$29)),ROW()-1,""))</f>
        <v/>
      </c>
    </row>
    <row r="1397" spans="1:42" ht="15" customHeight="1" x14ac:dyDescent="0.25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 t="str">
        <f t="shared" si="189"/>
        <v/>
      </c>
      <c r="AG1397" s="7" t="str">
        <f t="shared" si="197"/>
        <v/>
      </c>
      <c r="AH1397" s="7" t="str">
        <f t="shared" si="190"/>
        <v/>
      </c>
      <c r="AI1397" s="7" t="str">
        <f t="shared" si="191"/>
        <v/>
      </c>
      <c r="AJ1397" s="7" t="str">
        <f t="shared" si="192"/>
        <v/>
      </c>
      <c r="AK1397" s="7" t="str">
        <f t="shared" si="193"/>
        <v/>
      </c>
      <c r="AL1397" s="7" t="str">
        <f t="shared" si="194"/>
        <v/>
      </c>
      <c r="AM1397" s="7" t="str">
        <f t="shared" si="195"/>
        <v/>
      </c>
      <c r="AN1397" s="8" t="str">
        <f>IF(C1397="","",COUNTIF($C$2:C1397,C1397))</f>
        <v/>
      </c>
      <c r="AO1397" s="8" t="str">
        <f t="shared" si="196"/>
        <v/>
      </c>
      <c r="AP1397" s="8" t="str">
        <f>IF(C1397="","",IF(AND(OR([1]Consulta!$C$29="",A1397=[1]Consulta!$C$29),OR([1]Consulta!$E$29="",B1397=[1]Consulta!$E$29),OR([1]Consulta!$G$29="",D1397=[1]Consulta!$G$29,R1397=[1]Consulta!$G$29)),ROW()-1,""))</f>
        <v/>
      </c>
    </row>
    <row r="1398" spans="1:42" ht="15" customHeight="1" x14ac:dyDescent="0.25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 t="str">
        <f t="shared" si="189"/>
        <v/>
      </c>
      <c r="AG1398" s="7" t="str">
        <f t="shared" si="197"/>
        <v/>
      </c>
      <c r="AH1398" s="7" t="str">
        <f t="shared" si="190"/>
        <v/>
      </c>
      <c r="AI1398" s="7" t="str">
        <f t="shared" si="191"/>
        <v/>
      </c>
      <c r="AJ1398" s="7" t="str">
        <f t="shared" si="192"/>
        <v/>
      </c>
      <c r="AK1398" s="7" t="str">
        <f t="shared" si="193"/>
        <v/>
      </c>
      <c r="AL1398" s="7" t="str">
        <f t="shared" si="194"/>
        <v/>
      </c>
      <c r="AM1398" s="7" t="str">
        <f t="shared" si="195"/>
        <v/>
      </c>
      <c r="AN1398" s="8" t="str">
        <f>IF(C1398="","",COUNTIF($C$2:C1398,C1398))</f>
        <v/>
      </c>
      <c r="AO1398" s="8" t="str">
        <f t="shared" si="196"/>
        <v/>
      </c>
      <c r="AP1398" s="8" t="str">
        <f>IF(C1398="","",IF(AND(OR([1]Consulta!$C$29="",A1398=[1]Consulta!$C$29),OR([1]Consulta!$E$29="",B1398=[1]Consulta!$E$29),OR([1]Consulta!$G$29="",D1398=[1]Consulta!$G$29,R1398=[1]Consulta!$G$29)),ROW()-1,""))</f>
        <v/>
      </c>
    </row>
    <row r="1399" spans="1:42" ht="15" customHeight="1" x14ac:dyDescent="0.25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 t="str">
        <f t="shared" si="189"/>
        <v/>
      </c>
      <c r="AG1399" s="7" t="str">
        <f t="shared" si="197"/>
        <v/>
      </c>
      <c r="AH1399" s="7" t="str">
        <f t="shared" si="190"/>
        <v/>
      </c>
      <c r="AI1399" s="7" t="str">
        <f t="shared" si="191"/>
        <v/>
      </c>
      <c r="AJ1399" s="7" t="str">
        <f t="shared" si="192"/>
        <v/>
      </c>
      <c r="AK1399" s="7" t="str">
        <f t="shared" si="193"/>
        <v/>
      </c>
      <c r="AL1399" s="7" t="str">
        <f t="shared" si="194"/>
        <v/>
      </c>
      <c r="AM1399" s="7" t="str">
        <f t="shared" si="195"/>
        <v/>
      </c>
      <c r="AN1399" s="8" t="str">
        <f>IF(C1399="","",COUNTIF($C$2:C1399,C1399))</f>
        <v/>
      </c>
      <c r="AO1399" s="8" t="str">
        <f t="shared" si="196"/>
        <v/>
      </c>
      <c r="AP1399" s="8" t="str">
        <f>IF(C1399="","",IF(AND(OR([1]Consulta!$C$29="",A1399=[1]Consulta!$C$29),OR([1]Consulta!$E$29="",B1399=[1]Consulta!$E$29),OR([1]Consulta!$G$29="",D1399=[1]Consulta!$G$29,R1399=[1]Consulta!$G$29)),ROW()-1,""))</f>
        <v/>
      </c>
    </row>
    <row r="1400" spans="1:42" ht="15" customHeight="1" x14ac:dyDescent="0.25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 t="str">
        <f t="shared" si="189"/>
        <v/>
      </c>
      <c r="AG1400" s="7" t="str">
        <f t="shared" si="197"/>
        <v/>
      </c>
      <c r="AH1400" s="7" t="str">
        <f t="shared" si="190"/>
        <v/>
      </c>
      <c r="AI1400" s="7" t="str">
        <f t="shared" si="191"/>
        <v/>
      </c>
      <c r="AJ1400" s="7" t="str">
        <f t="shared" si="192"/>
        <v/>
      </c>
      <c r="AK1400" s="7" t="str">
        <f t="shared" si="193"/>
        <v/>
      </c>
      <c r="AL1400" s="7" t="str">
        <f t="shared" si="194"/>
        <v/>
      </c>
      <c r="AM1400" s="7" t="str">
        <f t="shared" si="195"/>
        <v/>
      </c>
      <c r="AN1400" s="8" t="str">
        <f>IF(C1400="","",COUNTIF($C$2:C1400,C1400))</f>
        <v/>
      </c>
      <c r="AO1400" s="8" t="str">
        <f t="shared" si="196"/>
        <v/>
      </c>
      <c r="AP1400" s="8" t="str">
        <f>IF(C1400="","",IF(AND(OR([1]Consulta!$C$29="",A1400=[1]Consulta!$C$29),OR([1]Consulta!$E$29="",B1400=[1]Consulta!$E$29),OR([1]Consulta!$G$29="",D1400=[1]Consulta!$G$29,R1400=[1]Consulta!$G$29)),ROW()-1,""))</f>
        <v/>
      </c>
    </row>
    <row r="1401" spans="1:42" ht="15" customHeight="1" x14ac:dyDescent="0.25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 t="str">
        <f t="shared" si="189"/>
        <v/>
      </c>
      <c r="AG1401" s="7" t="str">
        <f t="shared" si="197"/>
        <v/>
      </c>
      <c r="AH1401" s="7" t="str">
        <f t="shared" si="190"/>
        <v/>
      </c>
      <c r="AI1401" s="7" t="str">
        <f t="shared" si="191"/>
        <v/>
      </c>
      <c r="AJ1401" s="7" t="str">
        <f t="shared" si="192"/>
        <v/>
      </c>
      <c r="AK1401" s="7" t="str">
        <f t="shared" si="193"/>
        <v/>
      </c>
      <c r="AL1401" s="7" t="str">
        <f t="shared" si="194"/>
        <v/>
      </c>
      <c r="AM1401" s="7" t="str">
        <f t="shared" si="195"/>
        <v/>
      </c>
      <c r="AN1401" s="8" t="str">
        <f>IF(C1401="","",COUNTIF($C$2:C1401,C1401))</f>
        <v/>
      </c>
      <c r="AO1401" s="8" t="str">
        <f t="shared" si="196"/>
        <v/>
      </c>
      <c r="AP1401" s="8" t="str">
        <f>IF(C1401="","",IF(AND(OR([1]Consulta!$C$29="",A1401=[1]Consulta!$C$29),OR([1]Consulta!$E$29="",B1401=[1]Consulta!$E$29),OR([1]Consulta!$G$29="",D1401=[1]Consulta!$G$29,R1401=[1]Consulta!$G$29)),ROW()-1,""))</f>
        <v/>
      </c>
    </row>
    <row r="1402" spans="1:42" ht="15" customHeight="1" x14ac:dyDescent="0.25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 t="str">
        <f t="shared" si="189"/>
        <v/>
      </c>
      <c r="AG1402" s="7" t="str">
        <f t="shared" si="197"/>
        <v/>
      </c>
      <c r="AH1402" s="7" t="str">
        <f t="shared" si="190"/>
        <v/>
      </c>
      <c r="AI1402" s="7" t="str">
        <f t="shared" si="191"/>
        <v/>
      </c>
      <c r="AJ1402" s="7" t="str">
        <f t="shared" si="192"/>
        <v/>
      </c>
      <c r="AK1402" s="7" t="str">
        <f t="shared" si="193"/>
        <v/>
      </c>
      <c r="AL1402" s="7" t="str">
        <f t="shared" si="194"/>
        <v/>
      </c>
      <c r="AM1402" s="7" t="str">
        <f t="shared" si="195"/>
        <v/>
      </c>
      <c r="AN1402" s="8" t="str">
        <f>IF(C1402="","",COUNTIF($C$2:C1402,C1402))</f>
        <v/>
      </c>
      <c r="AO1402" s="8" t="str">
        <f t="shared" si="196"/>
        <v/>
      </c>
      <c r="AP1402" s="8" t="str">
        <f>IF(C1402="","",IF(AND(OR([1]Consulta!$C$29="",A1402=[1]Consulta!$C$29),OR([1]Consulta!$E$29="",B1402=[1]Consulta!$E$29),OR([1]Consulta!$G$29="",D1402=[1]Consulta!$G$29,R1402=[1]Consulta!$G$29)),ROW()-1,""))</f>
        <v/>
      </c>
    </row>
    <row r="1403" spans="1:42" ht="15" customHeight="1" x14ac:dyDescent="0.25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 t="str">
        <f t="shared" si="189"/>
        <v/>
      </c>
      <c r="AG1403" s="7" t="str">
        <f t="shared" si="197"/>
        <v/>
      </c>
      <c r="AH1403" s="7" t="str">
        <f t="shared" si="190"/>
        <v/>
      </c>
      <c r="AI1403" s="7" t="str">
        <f t="shared" si="191"/>
        <v/>
      </c>
      <c r="AJ1403" s="7" t="str">
        <f t="shared" si="192"/>
        <v/>
      </c>
      <c r="AK1403" s="7" t="str">
        <f t="shared" si="193"/>
        <v/>
      </c>
      <c r="AL1403" s="7" t="str">
        <f t="shared" si="194"/>
        <v/>
      </c>
      <c r="AM1403" s="7" t="str">
        <f t="shared" si="195"/>
        <v/>
      </c>
      <c r="AN1403" s="8" t="str">
        <f>IF(C1403="","",COUNTIF($C$2:C1403,C1403))</f>
        <v/>
      </c>
      <c r="AO1403" s="8" t="str">
        <f t="shared" si="196"/>
        <v/>
      </c>
      <c r="AP1403" s="8" t="str">
        <f>IF(C1403="","",IF(AND(OR([1]Consulta!$C$29="",A1403=[1]Consulta!$C$29),OR([1]Consulta!$E$29="",B1403=[1]Consulta!$E$29),OR([1]Consulta!$G$29="",D1403=[1]Consulta!$G$29,R1403=[1]Consulta!$G$29)),ROW()-1,""))</f>
        <v/>
      </c>
    </row>
    <row r="1404" spans="1:42" ht="15" customHeight="1" x14ac:dyDescent="0.25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 t="str">
        <f t="shared" si="189"/>
        <v/>
      </c>
      <c r="AG1404" s="7" t="str">
        <f t="shared" si="197"/>
        <v/>
      </c>
      <c r="AH1404" s="7" t="str">
        <f t="shared" si="190"/>
        <v/>
      </c>
      <c r="AI1404" s="7" t="str">
        <f t="shared" si="191"/>
        <v/>
      </c>
      <c r="AJ1404" s="7" t="str">
        <f t="shared" si="192"/>
        <v/>
      </c>
      <c r="AK1404" s="7" t="str">
        <f t="shared" si="193"/>
        <v/>
      </c>
      <c r="AL1404" s="7" t="str">
        <f t="shared" si="194"/>
        <v/>
      </c>
      <c r="AM1404" s="7" t="str">
        <f t="shared" si="195"/>
        <v/>
      </c>
      <c r="AN1404" s="8" t="str">
        <f>IF(C1404="","",COUNTIF($C$2:C1404,C1404))</f>
        <v/>
      </c>
      <c r="AO1404" s="8" t="str">
        <f t="shared" si="196"/>
        <v/>
      </c>
      <c r="AP1404" s="8" t="str">
        <f>IF(C1404="","",IF(AND(OR([1]Consulta!$C$29="",A1404=[1]Consulta!$C$29),OR([1]Consulta!$E$29="",B1404=[1]Consulta!$E$29),OR([1]Consulta!$G$29="",D1404=[1]Consulta!$G$29,R1404=[1]Consulta!$G$29)),ROW()-1,""))</f>
        <v/>
      </c>
    </row>
    <row r="1405" spans="1:42" ht="15" customHeight="1" x14ac:dyDescent="0.25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 t="str">
        <f t="shared" si="189"/>
        <v/>
      </c>
      <c r="AG1405" s="7" t="str">
        <f t="shared" si="197"/>
        <v/>
      </c>
      <c r="AH1405" s="7" t="str">
        <f t="shared" si="190"/>
        <v/>
      </c>
      <c r="AI1405" s="7" t="str">
        <f t="shared" si="191"/>
        <v/>
      </c>
      <c r="AJ1405" s="7" t="str">
        <f t="shared" si="192"/>
        <v/>
      </c>
      <c r="AK1405" s="7" t="str">
        <f t="shared" si="193"/>
        <v/>
      </c>
      <c r="AL1405" s="7" t="str">
        <f t="shared" si="194"/>
        <v/>
      </c>
      <c r="AM1405" s="7" t="str">
        <f t="shared" si="195"/>
        <v/>
      </c>
      <c r="AN1405" s="8" t="str">
        <f>IF(C1405="","",COUNTIF($C$2:C1405,C1405))</f>
        <v/>
      </c>
      <c r="AO1405" s="8" t="str">
        <f t="shared" si="196"/>
        <v/>
      </c>
      <c r="AP1405" s="8" t="str">
        <f>IF(C1405="","",IF(AND(OR([1]Consulta!$C$29="",A1405=[1]Consulta!$C$29),OR([1]Consulta!$E$29="",B1405=[1]Consulta!$E$29),OR([1]Consulta!$G$29="",D1405=[1]Consulta!$G$29,R1405=[1]Consulta!$G$29)),ROW()-1,""))</f>
        <v/>
      </c>
    </row>
    <row r="1406" spans="1:42" ht="15" customHeight="1" x14ac:dyDescent="0.25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 t="str">
        <f t="shared" si="189"/>
        <v/>
      </c>
      <c r="AG1406" s="7" t="str">
        <f t="shared" si="197"/>
        <v/>
      </c>
      <c r="AH1406" s="7" t="str">
        <f t="shared" si="190"/>
        <v/>
      </c>
      <c r="AI1406" s="7" t="str">
        <f t="shared" si="191"/>
        <v/>
      </c>
      <c r="AJ1406" s="7" t="str">
        <f t="shared" si="192"/>
        <v/>
      </c>
      <c r="AK1406" s="7" t="str">
        <f t="shared" si="193"/>
        <v/>
      </c>
      <c r="AL1406" s="7" t="str">
        <f t="shared" si="194"/>
        <v/>
      </c>
      <c r="AM1406" s="7" t="str">
        <f t="shared" si="195"/>
        <v/>
      </c>
      <c r="AN1406" s="8" t="str">
        <f>IF(C1406="","",COUNTIF($C$2:C1406,C1406))</f>
        <v/>
      </c>
      <c r="AO1406" s="8" t="str">
        <f t="shared" si="196"/>
        <v/>
      </c>
      <c r="AP1406" s="8" t="str">
        <f>IF(C1406="","",IF(AND(OR([1]Consulta!$C$29="",A1406=[1]Consulta!$C$29),OR([1]Consulta!$E$29="",B1406=[1]Consulta!$E$29),OR([1]Consulta!$G$29="",D1406=[1]Consulta!$G$29,R1406=[1]Consulta!$G$29)),ROW()-1,""))</f>
        <v/>
      </c>
    </row>
    <row r="1407" spans="1:42" ht="15" customHeight="1" x14ac:dyDescent="0.25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 t="str">
        <f t="shared" si="189"/>
        <v/>
      </c>
      <c r="AG1407" s="7" t="str">
        <f t="shared" si="197"/>
        <v/>
      </c>
      <c r="AH1407" s="7" t="str">
        <f t="shared" si="190"/>
        <v/>
      </c>
      <c r="AI1407" s="7" t="str">
        <f t="shared" si="191"/>
        <v/>
      </c>
      <c r="AJ1407" s="7" t="str">
        <f t="shared" si="192"/>
        <v/>
      </c>
      <c r="AK1407" s="7" t="str">
        <f t="shared" si="193"/>
        <v/>
      </c>
      <c r="AL1407" s="7" t="str">
        <f t="shared" si="194"/>
        <v/>
      </c>
      <c r="AM1407" s="7" t="str">
        <f t="shared" si="195"/>
        <v/>
      </c>
      <c r="AN1407" s="8" t="str">
        <f>IF(C1407="","",COUNTIF($C$2:C1407,C1407))</f>
        <v/>
      </c>
      <c r="AO1407" s="8" t="str">
        <f t="shared" si="196"/>
        <v/>
      </c>
      <c r="AP1407" s="8" t="str">
        <f>IF(C1407="","",IF(AND(OR([1]Consulta!$C$29="",A1407=[1]Consulta!$C$29),OR([1]Consulta!$E$29="",B1407=[1]Consulta!$E$29),OR([1]Consulta!$G$29="",D1407=[1]Consulta!$G$29,R1407=[1]Consulta!$G$29)),ROW()-1,""))</f>
        <v/>
      </c>
    </row>
    <row r="1408" spans="1:42" ht="15" customHeight="1" x14ac:dyDescent="0.25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 t="str">
        <f t="shared" si="189"/>
        <v/>
      </c>
      <c r="AG1408" s="7" t="str">
        <f t="shared" si="197"/>
        <v/>
      </c>
      <c r="AH1408" s="7" t="str">
        <f t="shared" si="190"/>
        <v/>
      </c>
      <c r="AI1408" s="7" t="str">
        <f t="shared" si="191"/>
        <v/>
      </c>
      <c r="AJ1408" s="7" t="str">
        <f t="shared" si="192"/>
        <v/>
      </c>
      <c r="AK1408" s="7" t="str">
        <f t="shared" si="193"/>
        <v/>
      </c>
      <c r="AL1408" s="7" t="str">
        <f t="shared" si="194"/>
        <v/>
      </c>
      <c r="AM1408" s="7" t="str">
        <f t="shared" si="195"/>
        <v/>
      </c>
      <c r="AN1408" s="8" t="str">
        <f>IF(C1408="","",COUNTIF($C$2:C1408,C1408))</f>
        <v/>
      </c>
      <c r="AO1408" s="8" t="str">
        <f t="shared" si="196"/>
        <v/>
      </c>
      <c r="AP1408" s="8" t="str">
        <f>IF(C1408="","",IF(AND(OR([1]Consulta!$C$29="",A1408=[1]Consulta!$C$29),OR([1]Consulta!$E$29="",B1408=[1]Consulta!$E$29),OR([1]Consulta!$G$29="",D1408=[1]Consulta!$G$29,R1408=[1]Consulta!$G$29)),ROW()-1,""))</f>
        <v/>
      </c>
    </row>
    <row r="1409" spans="1:42" ht="15" customHeight="1" x14ac:dyDescent="0.25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 t="str">
        <f t="shared" si="189"/>
        <v/>
      </c>
      <c r="AG1409" s="7" t="str">
        <f t="shared" si="197"/>
        <v/>
      </c>
      <c r="AH1409" s="7" t="str">
        <f t="shared" si="190"/>
        <v/>
      </c>
      <c r="AI1409" s="7" t="str">
        <f t="shared" si="191"/>
        <v/>
      </c>
      <c r="AJ1409" s="7" t="str">
        <f t="shared" si="192"/>
        <v/>
      </c>
      <c r="AK1409" s="7" t="str">
        <f t="shared" si="193"/>
        <v/>
      </c>
      <c r="AL1409" s="7" t="str">
        <f t="shared" si="194"/>
        <v/>
      </c>
      <c r="AM1409" s="7" t="str">
        <f t="shared" si="195"/>
        <v/>
      </c>
      <c r="AN1409" s="8" t="str">
        <f>IF(C1409="","",COUNTIF($C$2:C1409,C1409))</f>
        <v/>
      </c>
      <c r="AO1409" s="8" t="str">
        <f t="shared" si="196"/>
        <v/>
      </c>
      <c r="AP1409" s="8" t="str">
        <f>IF(C1409="","",IF(AND(OR([1]Consulta!$C$29="",A1409=[1]Consulta!$C$29),OR([1]Consulta!$E$29="",B1409=[1]Consulta!$E$29),OR([1]Consulta!$G$29="",D1409=[1]Consulta!$G$29,R1409=[1]Consulta!$G$29)),ROW()-1,""))</f>
        <v/>
      </c>
    </row>
    <row r="1410" spans="1:42" ht="15" customHeight="1" x14ac:dyDescent="0.25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 t="str">
        <f t="shared" ref="AF1410:AF1473" si="198">IF(C1410="","",IF(AND(ISNUMBER(K1410),ISNUMBER(L1410)),K1410-L1410,""))</f>
        <v/>
      </c>
      <c r="AG1410" s="7" t="str">
        <f t="shared" si="197"/>
        <v/>
      </c>
      <c r="AH1410" s="7" t="str">
        <f t="shared" ref="AH1410:AH1473" si="199">IF(C1410="","",IF(AND(ISNUMBER(Y1410),ISNUMBER(Z1410)),Y1410-Z1410,""))</f>
        <v/>
      </c>
      <c r="AI1410" s="7" t="str">
        <f t="shared" ref="AI1410:AI1473" si="200">IF(C1410="","",IF(AH1410="","N/A",IF(AH1410&lt;0,"ALARMA","OK")))</f>
        <v/>
      </c>
      <c r="AJ1410" s="7" t="str">
        <f t="shared" ref="AJ1410:AJ1473" si="201">IF(C1410="","",IF(ISNUMBER(M1410),IF(M1410&gt;0,"CON ERRORES","OK"),"N/A"))</f>
        <v/>
      </c>
      <c r="AK1410" s="7" t="str">
        <f t="shared" ref="AK1410:AK1473" si="202">IF(C1410="","",IF(ISNUMBER(AA1410),IF(AA1410&gt;0,"CON ERRORES","OK"),"N/A"))</f>
        <v/>
      </c>
      <c r="AL1410" s="7" t="str">
        <f t="shared" ref="AL1410:AL1473" si="203">IF(C1410="","",IF(OR(AG1410="ALARMA",AI1410="ALARMA",AJ1410="CON ERRORES",AK1410="CON ERRORES"),"REVISAR","OK"))</f>
        <v/>
      </c>
      <c r="AM1410" s="7" t="str">
        <f t="shared" ref="AM1410:AM1473" si="204">IF(C1410="","",IF(ISNUMBER(Q1410),Q1410,IF(ISNUMBER(AE1410),AE1410,"Ver detalle")))</f>
        <v/>
      </c>
      <c r="AN1410" s="8" t="str">
        <f>IF(C1410="","",COUNTIF($C$2:C1410,C1410))</f>
        <v/>
      </c>
      <c r="AO1410" s="8" t="str">
        <f t="shared" ref="AO1410:AO1473" si="205">IF(C1410="","",C1410&amp;"|"&amp;AN1410)</f>
        <v/>
      </c>
      <c r="AP1410" s="8" t="str">
        <f>IF(C1410="","",IF(AND(OR([1]Consulta!$C$29="",A1410=[1]Consulta!$C$29),OR([1]Consulta!$E$29="",B1410=[1]Consulta!$E$29),OR([1]Consulta!$G$29="",D1410=[1]Consulta!$G$29,R1410=[1]Consulta!$G$29)),ROW()-1,""))</f>
        <v/>
      </c>
    </row>
    <row r="1411" spans="1:42" ht="15" customHeight="1" x14ac:dyDescent="0.25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 t="str">
        <f t="shared" si="198"/>
        <v/>
      </c>
      <c r="AG1411" s="7" t="str">
        <f t="shared" ref="AG1411:AG1474" si="206">IF(C1411="","",IF(AF1411="","N/A",IF(AF1411&lt;0,"ALARMA","OK")))</f>
        <v/>
      </c>
      <c r="AH1411" s="7" t="str">
        <f t="shared" si="199"/>
        <v/>
      </c>
      <c r="AI1411" s="7" t="str">
        <f t="shared" si="200"/>
        <v/>
      </c>
      <c r="AJ1411" s="7" t="str">
        <f t="shared" si="201"/>
        <v/>
      </c>
      <c r="AK1411" s="7" t="str">
        <f t="shared" si="202"/>
        <v/>
      </c>
      <c r="AL1411" s="7" t="str">
        <f t="shared" si="203"/>
        <v/>
      </c>
      <c r="AM1411" s="7" t="str">
        <f t="shared" si="204"/>
        <v/>
      </c>
      <c r="AN1411" s="8" t="str">
        <f>IF(C1411="","",COUNTIF($C$2:C1411,C1411))</f>
        <v/>
      </c>
      <c r="AO1411" s="8" t="str">
        <f t="shared" si="205"/>
        <v/>
      </c>
      <c r="AP1411" s="8" t="str">
        <f>IF(C1411="","",IF(AND(OR([1]Consulta!$C$29="",A1411=[1]Consulta!$C$29),OR([1]Consulta!$E$29="",B1411=[1]Consulta!$E$29),OR([1]Consulta!$G$29="",D1411=[1]Consulta!$G$29,R1411=[1]Consulta!$G$29)),ROW()-1,""))</f>
        <v/>
      </c>
    </row>
    <row r="1412" spans="1:42" ht="15" customHeight="1" x14ac:dyDescent="0.25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 t="str">
        <f t="shared" si="198"/>
        <v/>
      </c>
      <c r="AG1412" s="7" t="str">
        <f t="shared" si="206"/>
        <v/>
      </c>
      <c r="AH1412" s="7" t="str">
        <f t="shared" si="199"/>
        <v/>
      </c>
      <c r="AI1412" s="7" t="str">
        <f t="shared" si="200"/>
        <v/>
      </c>
      <c r="AJ1412" s="7" t="str">
        <f t="shared" si="201"/>
        <v/>
      </c>
      <c r="AK1412" s="7" t="str">
        <f t="shared" si="202"/>
        <v/>
      </c>
      <c r="AL1412" s="7" t="str">
        <f t="shared" si="203"/>
        <v/>
      </c>
      <c r="AM1412" s="7" t="str">
        <f t="shared" si="204"/>
        <v/>
      </c>
      <c r="AN1412" s="8" t="str">
        <f>IF(C1412="","",COUNTIF($C$2:C1412,C1412))</f>
        <v/>
      </c>
      <c r="AO1412" s="8" t="str">
        <f t="shared" si="205"/>
        <v/>
      </c>
      <c r="AP1412" s="8" t="str">
        <f>IF(C1412="","",IF(AND(OR([1]Consulta!$C$29="",A1412=[1]Consulta!$C$29),OR([1]Consulta!$E$29="",B1412=[1]Consulta!$E$29),OR([1]Consulta!$G$29="",D1412=[1]Consulta!$G$29,R1412=[1]Consulta!$G$29)),ROW()-1,""))</f>
        <v/>
      </c>
    </row>
    <row r="1413" spans="1:42" ht="15" customHeight="1" x14ac:dyDescent="0.25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 t="str">
        <f t="shared" si="198"/>
        <v/>
      </c>
      <c r="AG1413" s="7" t="str">
        <f t="shared" si="206"/>
        <v/>
      </c>
      <c r="AH1413" s="7" t="str">
        <f t="shared" si="199"/>
        <v/>
      </c>
      <c r="AI1413" s="7" t="str">
        <f t="shared" si="200"/>
        <v/>
      </c>
      <c r="AJ1413" s="7" t="str">
        <f t="shared" si="201"/>
        <v/>
      </c>
      <c r="AK1413" s="7" t="str">
        <f t="shared" si="202"/>
        <v/>
      </c>
      <c r="AL1413" s="7" t="str">
        <f t="shared" si="203"/>
        <v/>
      </c>
      <c r="AM1413" s="7" t="str">
        <f t="shared" si="204"/>
        <v/>
      </c>
      <c r="AN1413" s="8" t="str">
        <f>IF(C1413="","",COUNTIF($C$2:C1413,C1413))</f>
        <v/>
      </c>
      <c r="AO1413" s="8" t="str">
        <f t="shared" si="205"/>
        <v/>
      </c>
      <c r="AP1413" s="8" t="str">
        <f>IF(C1413="","",IF(AND(OR([1]Consulta!$C$29="",A1413=[1]Consulta!$C$29),OR([1]Consulta!$E$29="",B1413=[1]Consulta!$E$29),OR([1]Consulta!$G$29="",D1413=[1]Consulta!$G$29,R1413=[1]Consulta!$G$29)),ROW()-1,""))</f>
        <v/>
      </c>
    </row>
    <row r="1414" spans="1:42" ht="15" customHeight="1" x14ac:dyDescent="0.25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 t="str">
        <f t="shared" si="198"/>
        <v/>
      </c>
      <c r="AG1414" s="7" t="str">
        <f t="shared" si="206"/>
        <v/>
      </c>
      <c r="AH1414" s="7" t="str">
        <f t="shared" si="199"/>
        <v/>
      </c>
      <c r="AI1414" s="7" t="str">
        <f t="shared" si="200"/>
        <v/>
      </c>
      <c r="AJ1414" s="7" t="str">
        <f t="shared" si="201"/>
        <v/>
      </c>
      <c r="AK1414" s="7" t="str">
        <f t="shared" si="202"/>
        <v/>
      </c>
      <c r="AL1414" s="7" t="str">
        <f t="shared" si="203"/>
        <v/>
      </c>
      <c r="AM1414" s="7" t="str">
        <f t="shared" si="204"/>
        <v/>
      </c>
      <c r="AN1414" s="8" t="str">
        <f>IF(C1414="","",COUNTIF($C$2:C1414,C1414))</f>
        <v/>
      </c>
      <c r="AO1414" s="8" t="str">
        <f t="shared" si="205"/>
        <v/>
      </c>
      <c r="AP1414" s="8" t="str">
        <f>IF(C1414="","",IF(AND(OR([1]Consulta!$C$29="",A1414=[1]Consulta!$C$29),OR([1]Consulta!$E$29="",B1414=[1]Consulta!$E$29),OR([1]Consulta!$G$29="",D1414=[1]Consulta!$G$29,R1414=[1]Consulta!$G$29)),ROW()-1,""))</f>
        <v/>
      </c>
    </row>
    <row r="1415" spans="1:42" ht="15" customHeight="1" x14ac:dyDescent="0.25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 t="str">
        <f t="shared" si="198"/>
        <v/>
      </c>
      <c r="AG1415" s="7" t="str">
        <f t="shared" si="206"/>
        <v/>
      </c>
      <c r="AH1415" s="7" t="str">
        <f t="shared" si="199"/>
        <v/>
      </c>
      <c r="AI1415" s="7" t="str">
        <f t="shared" si="200"/>
        <v/>
      </c>
      <c r="AJ1415" s="7" t="str">
        <f t="shared" si="201"/>
        <v/>
      </c>
      <c r="AK1415" s="7" t="str">
        <f t="shared" si="202"/>
        <v/>
      </c>
      <c r="AL1415" s="7" t="str">
        <f t="shared" si="203"/>
        <v/>
      </c>
      <c r="AM1415" s="7" t="str">
        <f t="shared" si="204"/>
        <v/>
      </c>
      <c r="AN1415" s="8" t="str">
        <f>IF(C1415="","",COUNTIF($C$2:C1415,C1415))</f>
        <v/>
      </c>
      <c r="AO1415" s="8" t="str">
        <f t="shared" si="205"/>
        <v/>
      </c>
      <c r="AP1415" s="8" t="str">
        <f>IF(C1415="","",IF(AND(OR([1]Consulta!$C$29="",A1415=[1]Consulta!$C$29),OR([1]Consulta!$E$29="",B1415=[1]Consulta!$E$29),OR([1]Consulta!$G$29="",D1415=[1]Consulta!$G$29,R1415=[1]Consulta!$G$29)),ROW()-1,""))</f>
        <v/>
      </c>
    </row>
    <row r="1416" spans="1:42" ht="15" customHeight="1" x14ac:dyDescent="0.25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 t="str">
        <f t="shared" si="198"/>
        <v/>
      </c>
      <c r="AG1416" s="7" t="str">
        <f t="shared" si="206"/>
        <v/>
      </c>
      <c r="AH1416" s="7" t="str">
        <f t="shared" si="199"/>
        <v/>
      </c>
      <c r="AI1416" s="7" t="str">
        <f t="shared" si="200"/>
        <v/>
      </c>
      <c r="AJ1416" s="7" t="str">
        <f t="shared" si="201"/>
        <v/>
      </c>
      <c r="AK1416" s="7" t="str">
        <f t="shared" si="202"/>
        <v/>
      </c>
      <c r="AL1416" s="7" t="str">
        <f t="shared" si="203"/>
        <v/>
      </c>
      <c r="AM1416" s="7" t="str">
        <f t="shared" si="204"/>
        <v/>
      </c>
      <c r="AN1416" s="8" t="str">
        <f>IF(C1416="","",COUNTIF($C$2:C1416,C1416))</f>
        <v/>
      </c>
      <c r="AO1416" s="8" t="str">
        <f t="shared" si="205"/>
        <v/>
      </c>
      <c r="AP1416" s="8" t="str">
        <f>IF(C1416="","",IF(AND(OR([1]Consulta!$C$29="",A1416=[1]Consulta!$C$29),OR([1]Consulta!$E$29="",B1416=[1]Consulta!$E$29),OR([1]Consulta!$G$29="",D1416=[1]Consulta!$G$29,R1416=[1]Consulta!$G$29)),ROW()-1,""))</f>
        <v/>
      </c>
    </row>
    <row r="1417" spans="1:42" ht="15" customHeight="1" x14ac:dyDescent="0.25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 t="str">
        <f t="shared" si="198"/>
        <v/>
      </c>
      <c r="AG1417" s="7" t="str">
        <f t="shared" si="206"/>
        <v/>
      </c>
      <c r="AH1417" s="7" t="str">
        <f t="shared" si="199"/>
        <v/>
      </c>
      <c r="AI1417" s="7" t="str">
        <f t="shared" si="200"/>
        <v/>
      </c>
      <c r="AJ1417" s="7" t="str">
        <f t="shared" si="201"/>
        <v/>
      </c>
      <c r="AK1417" s="7" t="str">
        <f t="shared" si="202"/>
        <v/>
      </c>
      <c r="AL1417" s="7" t="str">
        <f t="shared" si="203"/>
        <v/>
      </c>
      <c r="AM1417" s="7" t="str">
        <f t="shared" si="204"/>
        <v/>
      </c>
      <c r="AN1417" s="8" t="str">
        <f>IF(C1417="","",COUNTIF($C$2:C1417,C1417))</f>
        <v/>
      </c>
      <c r="AO1417" s="8" t="str">
        <f t="shared" si="205"/>
        <v/>
      </c>
      <c r="AP1417" s="8" t="str">
        <f>IF(C1417="","",IF(AND(OR([1]Consulta!$C$29="",A1417=[1]Consulta!$C$29),OR([1]Consulta!$E$29="",B1417=[1]Consulta!$E$29),OR([1]Consulta!$G$29="",D1417=[1]Consulta!$G$29,R1417=[1]Consulta!$G$29)),ROW()-1,""))</f>
        <v/>
      </c>
    </row>
    <row r="1418" spans="1:42" ht="15" customHeight="1" x14ac:dyDescent="0.25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 t="str">
        <f t="shared" si="198"/>
        <v/>
      </c>
      <c r="AG1418" s="7" t="str">
        <f t="shared" si="206"/>
        <v/>
      </c>
      <c r="AH1418" s="7" t="str">
        <f t="shared" si="199"/>
        <v/>
      </c>
      <c r="AI1418" s="7" t="str">
        <f t="shared" si="200"/>
        <v/>
      </c>
      <c r="AJ1418" s="7" t="str">
        <f t="shared" si="201"/>
        <v/>
      </c>
      <c r="AK1418" s="7" t="str">
        <f t="shared" si="202"/>
        <v/>
      </c>
      <c r="AL1418" s="7" t="str">
        <f t="shared" si="203"/>
        <v/>
      </c>
      <c r="AM1418" s="7" t="str">
        <f t="shared" si="204"/>
        <v/>
      </c>
      <c r="AN1418" s="8" t="str">
        <f>IF(C1418="","",COUNTIF($C$2:C1418,C1418))</f>
        <v/>
      </c>
      <c r="AO1418" s="8" t="str">
        <f t="shared" si="205"/>
        <v/>
      </c>
      <c r="AP1418" s="8" t="str">
        <f>IF(C1418="","",IF(AND(OR([1]Consulta!$C$29="",A1418=[1]Consulta!$C$29),OR([1]Consulta!$E$29="",B1418=[1]Consulta!$E$29),OR([1]Consulta!$G$29="",D1418=[1]Consulta!$G$29,R1418=[1]Consulta!$G$29)),ROW()-1,""))</f>
        <v/>
      </c>
    </row>
    <row r="1419" spans="1:42" ht="15" customHeight="1" x14ac:dyDescent="0.25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 t="str">
        <f t="shared" si="198"/>
        <v/>
      </c>
      <c r="AG1419" s="7" t="str">
        <f t="shared" si="206"/>
        <v/>
      </c>
      <c r="AH1419" s="7" t="str">
        <f t="shared" si="199"/>
        <v/>
      </c>
      <c r="AI1419" s="7" t="str">
        <f t="shared" si="200"/>
        <v/>
      </c>
      <c r="AJ1419" s="7" t="str">
        <f t="shared" si="201"/>
        <v/>
      </c>
      <c r="AK1419" s="7" t="str">
        <f t="shared" si="202"/>
        <v/>
      </c>
      <c r="AL1419" s="7" t="str">
        <f t="shared" si="203"/>
        <v/>
      </c>
      <c r="AM1419" s="7" t="str">
        <f t="shared" si="204"/>
        <v/>
      </c>
      <c r="AN1419" s="8" t="str">
        <f>IF(C1419="","",COUNTIF($C$2:C1419,C1419))</f>
        <v/>
      </c>
      <c r="AO1419" s="8" t="str">
        <f t="shared" si="205"/>
        <v/>
      </c>
      <c r="AP1419" s="8" t="str">
        <f>IF(C1419="","",IF(AND(OR([1]Consulta!$C$29="",A1419=[1]Consulta!$C$29),OR([1]Consulta!$E$29="",B1419=[1]Consulta!$E$29),OR([1]Consulta!$G$29="",D1419=[1]Consulta!$G$29,R1419=[1]Consulta!$G$29)),ROW()-1,""))</f>
        <v/>
      </c>
    </row>
    <row r="1420" spans="1:42" ht="15" customHeight="1" x14ac:dyDescent="0.25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 t="str">
        <f t="shared" si="198"/>
        <v/>
      </c>
      <c r="AG1420" s="7" t="str">
        <f t="shared" si="206"/>
        <v/>
      </c>
      <c r="AH1420" s="7" t="str">
        <f t="shared" si="199"/>
        <v/>
      </c>
      <c r="AI1420" s="7" t="str">
        <f t="shared" si="200"/>
        <v/>
      </c>
      <c r="AJ1420" s="7" t="str">
        <f t="shared" si="201"/>
        <v/>
      </c>
      <c r="AK1420" s="7" t="str">
        <f t="shared" si="202"/>
        <v/>
      </c>
      <c r="AL1420" s="7" t="str">
        <f t="shared" si="203"/>
        <v/>
      </c>
      <c r="AM1420" s="7" t="str">
        <f t="shared" si="204"/>
        <v/>
      </c>
      <c r="AN1420" s="8" t="str">
        <f>IF(C1420="","",COUNTIF($C$2:C1420,C1420))</f>
        <v/>
      </c>
      <c r="AO1420" s="8" t="str">
        <f t="shared" si="205"/>
        <v/>
      </c>
      <c r="AP1420" s="8" t="str">
        <f>IF(C1420="","",IF(AND(OR([1]Consulta!$C$29="",A1420=[1]Consulta!$C$29),OR([1]Consulta!$E$29="",B1420=[1]Consulta!$E$29),OR([1]Consulta!$G$29="",D1420=[1]Consulta!$G$29,R1420=[1]Consulta!$G$29)),ROW()-1,""))</f>
        <v/>
      </c>
    </row>
    <row r="1421" spans="1:42" ht="15" customHeight="1" x14ac:dyDescent="0.25">
      <c r="A1421" s="7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 t="str">
        <f t="shared" si="198"/>
        <v/>
      </c>
      <c r="AG1421" s="7" t="str">
        <f t="shared" si="206"/>
        <v/>
      </c>
      <c r="AH1421" s="7" t="str">
        <f t="shared" si="199"/>
        <v/>
      </c>
      <c r="AI1421" s="7" t="str">
        <f t="shared" si="200"/>
        <v/>
      </c>
      <c r="AJ1421" s="7" t="str">
        <f t="shared" si="201"/>
        <v/>
      </c>
      <c r="AK1421" s="7" t="str">
        <f t="shared" si="202"/>
        <v/>
      </c>
      <c r="AL1421" s="7" t="str">
        <f t="shared" si="203"/>
        <v/>
      </c>
      <c r="AM1421" s="7" t="str">
        <f t="shared" si="204"/>
        <v/>
      </c>
      <c r="AN1421" s="8" t="str">
        <f>IF(C1421="","",COUNTIF($C$2:C1421,C1421))</f>
        <v/>
      </c>
      <c r="AO1421" s="8" t="str">
        <f t="shared" si="205"/>
        <v/>
      </c>
      <c r="AP1421" s="8" t="str">
        <f>IF(C1421="","",IF(AND(OR([1]Consulta!$C$29="",A1421=[1]Consulta!$C$29),OR([1]Consulta!$E$29="",B1421=[1]Consulta!$E$29),OR([1]Consulta!$G$29="",D1421=[1]Consulta!$G$29,R1421=[1]Consulta!$G$29)),ROW()-1,""))</f>
        <v/>
      </c>
    </row>
    <row r="1422" spans="1:42" ht="15" customHeight="1" x14ac:dyDescent="0.25">
      <c r="A1422" s="7"/>
      <c r="B1422" s="7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 t="str">
        <f t="shared" si="198"/>
        <v/>
      </c>
      <c r="AG1422" s="7" t="str">
        <f t="shared" si="206"/>
        <v/>
      </c>
      <c r="AH1422" s="7" t="str">
        <f t="shared" si="199"/>
        <v/>
      </c>
      <c r="AI1422" s="7" t="str">
        <f t="shared" si="200"/>
        <v/>
      </c>
      <c r="AJ1422" s="7" t="str">
        <f t="shared" si="201"/>
        <v/>
      </c>
      <c r="AK1422" s="7" t="str">
        <f t="shared" si="202"/>
        <v/>
      </c>
      <c r="AL1422" s="7" t="str">
        <f t="shared" si="203"/>
        <v/>
      </c>
      <c r="AM1422" s="7" t="str">
        <f t="shared" si="204"/>
        <v/>
      </c>
      <c r="AN1422" s="8" t="str">
        <f>IF(C1422="","",COUNTIF($C$2:C1422,C1422))</f>
        <v/>
      </c>
      <c r="AO1422" s="8" t="str">
        <f t="shared" si="205"/>
        <v/>
      </c>
      <c r="AP1422" s="8" t="str">
        <f>IF(C1422="","",IF(AND(OR([1]Consulta!$C$29="",A1422=[1]Consulta!$C$29),OR([1]Consulta!$E$29="",B1422=[1]Consulta!$E$29),OR([1]Consulta!$G$29="",D1422=[1]Consulta!$G$29,R1422=[1]Consulta!$G$29)),ROW()-1,""))</f>
        <v/>
      </c>
    </row>
    <row r="1423" spans="1:42" ht="15" customHeight="1" x14ac:dyDescent="0.25">
      <c r="A1423" s="7"/>
      <c r="B1423" s="7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 t="str">
        <f t="shared" si="198"/>
        <v/>
      </c>
      <c r="AG1423" s="7" t="str">
        <f t="shared" si="206"/>
        <v/>
      </c>
      <c r="AH1423" s="7" t="str">
        <f t="shared" si="199"/>
        <v/>
      </c>
      <c r="AI1423" s="7" t="str">
        <f t="shared" si="200"/>
        <v/>
      </c>
      <c r="AJ1423" s="7" t="str">
        <f t="shared" si="201"/>
        <v/>
      </c>
      <c r="AK1423" s="7" t="str">
        <f t="shared" si="202"/>
        <v/>
      </c>
      <c r="AL1423" s="7" t="str">
        <f t="shared" si="203"/>
        <v/>
      </c>
      <c r="AM1423" s="7" t="str">
        <f t="shared" si="204"/>
        <v/>
      </c>
      <c r="AN1423" s="8" t="str">
        <f>IF(C1423="","",COUNTIF($C$2:C1423,C1423))</f>
        <v/>
      </c>
      <c r="AO1423" s="8" t="str">
        <f t="shared" si="205"/>
        <v/>
      </c>
      <c r="AP1423" s="8" t="str">
        <f>IF(C1423="","",IF(AND(OR([1]Consulta!$C$29="",A1423=[1]Consulta!$C$29),OR([1]Consulta!$E$29="",B1423=[1]Consulta!$E$29),OR([1]Consulta!$G$29="",D1423=[1]Consulta!$G$29,R1423=[1]Consulta!$G$29)),ROW()-1,""))</f>
        <v/>
      </c>
    </row>
    <row r="1424" spans="1:42" ht="15" customHeight="1" x14ac:dyDescent="0.25">
      <c r="A1424" s="7"/>
      <c r="B1424" s="7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 t="str">
        <f t="shared" si="198"/>
        <v/>
      </c>
      <c r="AG1424" s="7" t="str">
        <f t="shared" si="206"/>
        <v/>
      </c>
      <c r="AH1424" s="7" t="str">
        <f t="shared" si="199"/>
        <v/>
      </c>
      <c r="AI1424" s="7" t="str">
        <f t="shared" si="200"/>
        <v/>
      </c>
      <c r="AJ1424" s="7" t="str">
        <f t="shared" si="201"/>
        <v/>
      </c>
      <c r="AK1424" s="7" t="str">
        <f t="shared" si="202"/>
        <v/>
      </c>
      <c r="AL1424" s="7" t="str">
        <f t="shared" si="203"/>
        <v/>
      </c>
      <c r="AM1424" s="7" t="str">
        <f t="shared" si="204"/>
        <v/>
      </c>
      <c r="AN1424" s="8" t="str">
        <f>IF(C1424="","",COUNTIF($C$2:C1424,C1424))</f>
        <v/>
      </c>
      <c r="AO1424" s="8" t="str">
        <f t="shared" si="205"/>
        <v/>
      </c>
      <c r="AP1424" s="8" t="str">
        <f>IF(C1424="","",IF(AND(OR([1]Consulta!$C$29="",A1424=[1]Consulta!$C$29),OR([1]Consulta!$E$29="",B1424=[1]Consulta!$E$29),OR([1]Consulta!$G$29="",D1424=[1]Consulta!$G$29,R1424=[1]Consulta!$G$29)),ROW()-1,""))</f>
        <v/>
      </c>
    </row>
    <row r="1425" spans="1:42" ht="15" customHeight="1" x14ac:dyDescent="0.25">
      <c r="A1425" s="7"/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 t="str">
        <f t="shared" si="198"/>
        <v/>
      </c>
      <c r="AG1425" s="7" t="str">
        <f t="shared" si="206"/>
        <v/>
      </c>
      <c r="AH1425" s="7" t="str">
        <f t="shared" si="199"/>
        <v/>
      </c>
      <c r="AI1425" s="7" t="str">
        <f t="shared" si="200"/>
        <v/>
      </c>
      <c r="AJ1425" s="7" t="str">
        <f t="shared" si="201"/>
        <v/>
      </c>
      <c r="AK1425" s="7" t="str">
        <f t="shared" si="202"/>
        <v/>
      </c>
      <c r="AL1425" s="7" t="str">
        <f t="shared" si="203"/>
        <v/>
      </c>
      <c r="AM1425" s="7" t="str">
        <f t="shared" si="204"/>
        <v/>
      </c>
      <c r="AN1425" s="8" t="str">
        <f>IF(C1425="","",COUNTIF($C$2:C1425,C1425))</f>
        <v/>
      </c>
      <c r="AO1425" s="8" t="str">
        <f t="shared" si="205"/>
        <v/>
      </c>
      <c r="AP1425" s="8" t="str">
        <f>IF(C1425="","",IF(AND(OR([1]Consulta!$C$29="",A1425=[1]Consulta!$C$29),OR([1]Consulta!$E$29="",B1425=[1]Consulta!$E$29),OR([1]Consulta!$G$29="",D1425=[1]Consulta!$G$29,R1425=[1]Consulta!$G$29)),ROW()-1,""))</f>
        <v/>
      </c>
    </row>
    <row r="1426" spans="1:42" ht="15" customHeight="1" x14ac:dyDescent="0.25">
      <c r="A1426" s="7"/>
      <c r="B1426" s="7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 t="str">
        <f t="shared" si="198"/>
        <v/>
      </c>
      <c r="AG1426" s="7" t="str">
        <f t="shared" si="206"/>
        <v/>
      </c>
      <c r="AH1426" s="7" t="str">
        <f t="shared" si="199"/>
        <v/>
      </c>
      <c r="AI1426" s="7" t="str">
        <f t="shared" si="200"/>
        <v/>
      </c>
      <c r="AJ1426" s="7" t="str">
        <f t="shared" si="201"/>
        <v/>
      </c>
      <c r="AK1426" s="7" t="str">
        <f t="shared" si="202"/>
        <v/>
      </c>
      <c r="AL1426" s="7" t="str">
        <f t="shared" si="203"/>
        <v/>
      </c>
      <c r="AM1426" s="7" t="str">
        <f t="shared" si="204"/>
        <v/>
      </c>
      <c r="AN1426" s="8" t="str">
        <f>IF(C1426="","",COUNTIF($C$2:C1426,C1426))</f>
        <v/>
      </c>
      <c r="AO1426" s="8" t="str">
        <f t="shared" si="205"/>
        <v/>
      </c>
      <c r="AP1426" s="8" t="str">
        <f>IF(C1426="","",IF(AND(OR([1]Consulta!$C$29="",A1426=[1]Consulta!$C$29),OR([1]Consulta!$E$29="",B1426=[1]Consulta!$E$29),OR([1]Consulta!$G$29="",D1426=[1]Consulta!$G$29,R1426=[1]Consulta!$G$29)),ROW()-1,""))</f>
        <v/>
      </c>
    </row>
    <row r="1427" spans="1:42" ht="15" customHeight="1" x14ac:dyDescent="0.25">
      <c r="A1427" s="7"/>
      <c r="B1427" s="7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 t="str">
        <f t="shared" si="198"/>
        <v/>
      </c>
      <c r="AG1427" s="7" t="str">
        <f t="shared" si="206"/>
        <v/>
      </c>
      <c r="AH1427" s="7" t="str">
        <f t="shared" si="199"/>
        <v/>
      </c>
      <c r="AI1427" s="7" t="str">
        <f t="shared" si="200"/>
        <v/>
      </c>
      <c r="AJ1427" s="7" t="str">
        <f t="shared" si="201"/>
        <v/>
      </c>
      <c r="AK1427" s="7" t="str">
        <f t="shared" si="202"/>
        <v/>
      </c>
      <c r="AL1427" s="7" t="str">
        <f t="shared" si="203"/>
        <v/>
      </c>
      <c r="AM1427" s="7" t="str">
        <f t="shared" si="204"/>
        <v/>
      </c>
      <c r="AN1427" s="8" t="str">
        <f>IF(C1427="","",COUNTIF($C$2:C1427,C1427))</f>
        <v/>
      </c>
      <c r="AO1427" s="8" t="str">
        <f t="shared" si="205"/>
        <v/>
      </c>
      <c r="AP1427" s="8" t="str">
        <f>IF(C1427="","",IF(AND(OR([1]Consulta!$C$29="",A1427=[1]Consulta!$C$29),OR([1]Consulta!$E$29="",B1427=[1]Consulta!$E$29),OR([1]Consulta!$G$29="",D1427=[1]Consulta!$G$29,R1427=[1]Consulta!$G$29)),ROW()-1,""))</f>
        <v/>
      </c>
    </row>
    <row r="1428" spans="1:42" ht="15" customHeight="1" x14ac:dyDescent="0.25">
      <c r="A1428" s="7"/>
      <c r="B1428" s="7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 t="str">
        <f t="shared" si="198"/>
        <v/>
      </c>
      <c r="AG1428" s="7" t="str">
        <f t="shared" si="206"/>
        <v/>
      </c>
      <c r="AH1428" s="7" t="str">
        <f t="shared" si="199"/>
        <v/>
      </c>
      <c r="AI1428" s="7" t="str">
        <f t="shared" si="200"/>
        <v/>
      </c>
      <c r="AJ1428" s="7" t="str">
        <f t="shared" si="201"/>
        <v/>
      </c>
      <c r="AK1428" s="7" t="str">
        <f t="shared" si="202"/>
        <v/>
      </c>
      <c r="AL1428" s="7" t="str">
        <f t="shared" si="203"/>
        <v/>
      </c>
      <c r="AM1428" s="7" t="str">
        <f t="shared" si="204"/>
        <v/>
      </c>
      <c r="AN1428" s="8" t="str">
        <f>IF(C1428="","",COUNTIF($C$2:C1428,C1428))</f>
        <v/>
      </c>
      <c r="AO1428" s="8" t="str">
        <f t="shared" si="205"/>
        <v/>
      </c>
      <c r="AP1428" s="8" t="str">
        <f>IF(C1428="","",IF(AND(OR([1]Consulta!$C$29="",A1428=[1]Consulta!$C$29),OR([1]Consulta!$E$29="",B1428=[1]Consulta!$E$29),OR([1]Consulta!$G$29="",D1428=[1]Consulta!$G$29,R1428=[1]Consulta!$G$29)),ROW()-1,""))</f>
        <v/>
      </c>
    </row>
    <row r="1429" spans="1:42" ht="15" customHeight="1" x14ac:dyDescent="0.25">
      <c r="A1429" s="7"/>
      <c r="B1429" s="7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 t="str">
        <f t="shared" si="198"/>
        <v/>
      </c>
      <c r="AG1429" s="7" t="str">
        <f t="shared" si="206"/>
        <v/>
      </c>
      <c r="AH1429" s="7" t="str">
        <f t="shared" si="199"/>
        <v/>
      </c>
      <c r="AI1429" s="7" t="str">
        <f t="shared" si="200"/>
        <v/>
      </c>
      <c r="AJ1429" s="7" t="str">
        <f t="shared" si="201"/>
        <v/>
      </c>
      <c r="AK1429" s="7" t="str">
        <f t="shared" si="202"/>
        <v/>
      </c>
      <c r="AL1429" s="7" t="str">
        <f t="shared" si="203"/>
        <v/>
      </c>
      <c r="AM1429" s="7" t="str">
        <f t="shared" si="204"/>
        <v/>
      </c>
      <c r="AN1429" s="8" t="str">
        <f>IF(C1429="","",COUNTIF($C$2:C1429,C1429))</f>
        <v/>
      </c>
      <c r="AO1429" s="8" t="str">
        <f t="shared" si="205"/>
        <v/>
      </c>
      <c r="AP1429" s="8" t="str">
        <f>IF(C1429="","",IF(AND(OR([1]Consulta!$C$29="",A1429=[1]Consulta!$C$29),OR([1]Consulta!$E$29="",B1429=[1]Consulta!$E$29),OR([1]Consulta!$G$29="",D1429=[1]Consulta!$G$29,R1429=[1]Consulta!$G$29)),ROW()-1,""))</f>
        <v/>
      </c>
    </row>
    <row r="1430" spans="1:42" ht="15" customHeight="1" x14ac:dyDescent="0.25">
      <c r="A1430" s="7"/>
      <c r="B1430" s="7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 t="str">
        <f t="shared" si="198"/>
        <v/>
      </c>
      <c r="AG1430" s="7" t="str">
        <f t="shared" si="206"/>
        <v/>
      </c>
      <c r="AH1430" s="7" t="str">
        <f t="shared" si="199"/>
        <v/>
      </c>
      <c r="AI1430" s="7" t="str">
        <f t="shared" si="200"/>
        <v/>
      </c>
      <c r="AJ1430" s="7" t="str">
        <f t="shared" si="201"/>
        <v/>
      </c>
      <c r="AK1430" s="7" t="str">
        <f t="shared" si="202"/>
        <v/>
      </c>
      <c r="AL1430" s="7" t="str">
        <f t="shared" si="203"/>
        <v/>
      </c>
      <c r="AM1430" s="7" t="str">
        <f t="shared" si="204"/>
        <v/>
      </c>
      <c r="AN1430" s="8" t="str">
        <f>IF(C1430="","",COUNTIF($C$2:C1430,C1430))</f>
        <v/>
      </c>
      <c r="AO1430" s="8" t="str">
        <f t="shared" si="205"/>
        <v/>
      </c>
      <c r="AP1430" s="8" t="str">
        <f>IF(C1430="","",IF(AND(OR([1]Consulta!$C$29="",A1430=[1]Consulta!$C$29),OR([1]Consulta!$E$29="",B1430=[1]Consulta!$E$29),OR([1]Consulta!$G$29="",D1430=[1]Consulta!$G$29,R1430=[1]Consulta!$G$29)),ROW()-1,""))</f>
        <v/>
      </c>
    </row>
    <row r="1431" spans="1:42" ht="15" customHeight="1" x14ac:dyDescent="0.25">
      <c r="A1431" s="7"/>
      <c r="B1431" s="7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 t="str">
        <f t="shared" si="198"/>
        <v/>
      </c>
      <c r="AG1431" s="7" t="str">
        <f t="shared" si="206"/>
        <v/>
      </c>
      <c r="AH1431" s="7" t="str">
        <f t="shared" si="199"/>
        <v/>
      </c>
      <c r="AI1431" s="7" t="str">
        <f t="shared" si="200"/>
        <v/>
      </c>
      <c r="AJ1431" s="7" t="str">
        <f t="shared" si="201"/>
        <v/>
      </c>
      <c r="AK1431" s="7" t="str">
        <f t="shared" si="202"/>
        <v/>
      </c>
      <c r="AL1431" s="7" t="str">
        <f t="shared" si="203"/>
        <v/>
      </c>
      <c r="AM1431" s="7" t="str">
        <f t="shared" si="204"/>
        <v/>
      </c>
      <c r="AN1431" s="8" t="str">
        <f>IF(C1431="","",COUNTIF($C$2:C1431,C1431))</f>
        <v/>
      </c>
      <c r="AO1431" s="8" t="str">
        <f t="shared" si="205"/>
        <v/>
      </c>
      <c r="AP1431" s="8" t="str">
        <f>IF(C1431="","",IF(AND(OR([1]Consulta!$C$29="",A1431=[1]Consulta!$C$29),OR([1]Consulta!$E$29="",B1431=[1]Consulta!$E$29),OR([1]Consulta!$G$29="",D1431=[1]Consulta!$G$29,R1431=[1]Consulta!$G$29)),ROW()-1,""))</f>
        <v/>
      </c>
    </row>
    <row r="1432" spans="1:42" ht="15" customHeight="1" x14ac:dyDescent="0.25">
      <c r="A1432" s="7"/>
      <c r="B1432" s="7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 t="str">
        <f t="shared" si="198"/>
        <v/>
      </c>
      <c r="AG1432" s="7" t="str">
        <f t="shared" si="206"/>
        <v/>
      </c>
      <c r="AH1432" s="7" t="str">
        <f t="shared" si="199"/>
        <v/>
      </c>
      <c r="AI1432" s="7" t="str">
        <f t="shared" si="200"/>
        <v/>
      </c>
      <c r="AJ1432" s="7" t="str">
        <f t="shared" si="201"/>
        <v/>
      </c>
      <c r="AK1432" s="7" t="str">
        <f t="shared" si="202"/>
        <v/>
      </c>
      <c r="AL1432" s="7" t="str">
        <f t="shared" si="203"/>
        <v/>
      </c>
      <c r="AM1432" s="7" t="str">
        <f t="shared" si="204"/>
        <v/>
      </c>
      <c r="AN1432" s="8" t="str">
        <f>IF(C1432="","",COUNTIF($C$2:C1432,C1432))</f>
        <v/>
      </c>
      <c r="AO1432" s="8" t="str">
        <f t="shared" si="205"/>
        <v/>
      </c>
      <c r="AP1432" s="8" t="str">
        <f>IF(C1432="","",IF(AND(OR([1]Consulta!$C$29="",A1432=[1]Consulta!$C$29),OR([1]Consulta!$E$29="",B1432=[1]Consulta!$E$29),OR([1]Consulta!$G$29="",D1432=[1]Consulta!$G$29,R1432=[1]Consulta!$G$29)),ROW()-1,""))</f>
        <v/>
      </c>
    </row>
    <row r="1433" spans="1:42" ht="15" customHeight="1" x14ac:dyDescent="0.25">
      <c r="A1433" s="7"/>
      <c r="B1433" s="7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 t="str">
        <f t="shared" si="198"/>
        <v/>
      </c>
      <c r="AG1433" s="7" t="str">
        <f t="shared" si="206"/>
        <v/>
      </c>
      <c r="AH1433" s="7" t="str">
        <f t="shared" si="199"/>
        <v/>
      </c>
      <c r="AI1433" s="7" t="str">
        <f t="shared" si="200"/>
        <v/>
      </c>
      <c r="AJ1433" s="7" t="str">
        <f t="shared" si="201"/>
        <v/>
      </c>
      <c r="AK1433" s="7" t="str">
        <f t="shared" si="202"/>
        <v/>
      </c>
      <c r="AL1433" s="7" t="str">
        <f t="shared" si="203"/>
        <v/>
      </c>
      <c r="AM1433" s="7" t="str">
        <f t="shared" si="204"/>
        <v/>
      </c>
      <c r="AN1433" s="8" t="str">
        <f>IF(C1433="","",COUNTIF($C$2:C1433,C1433))</f>
        <v/>
      </c>
      <c r="AO1433" s="8" t="str">
        <f t="shared" si="205"/>
        <v/>
      </c>
      <c r="AP1433" s="8" t="str">
        <f>IF(C1433="","",IF(AND(OR([1]Consulta!$C$29="",A1433=[1]Consulta!$C$29),OR([1]Consulta!$E$29="",B1433=[1]Consulta!$E$29),OR([1]Consulta!$G$29="",D1433=[1]Consulta!$G$29,R1433=[1]Consulta!$G$29)),ROW()-1,""))</f>
        <v/>
      </c>
    </row>
    <row r="1434" spans="1:42" ht="15" customHeight="1" x14ac:dyDescent="0.25">
      <c r="A1434" s="7"/>
      <c r="B1434" s="7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 t="str">
        <f t="shared" si="198"/>
        <v/>
      </c>
      <c r="AG1434" s="7" t="str">
        <f t="shared" si="206"/>
        <v/>
      </c>
      <c r="AH1434" s="7" t="str">
        <f t="shared" si="199"/>
        <v/>
      </c>
      <c r="AI1434" s="7" t="str">
        <f t="shared" si="200"/>
        <v/>
      </c>
      <c r="AJ1434" s="7" t="str">
        <f t="shared" si="201"/>
        <v/>
      </c>
      <c r="AK1434" s="7" t="str">
        <f t="shared" si="202"/>
        <v/>
      </c>
      <c r="AL1434" s="7" t="str">
        <f t="shared" si="203"/>
        <v/>
      </c>
      <c r="AM1434" s="7" t="str">
        <f t="shared" si="204"/>
        <v/>
      </c>
      <c r="AN1434" s="8" t="str">
        <f>IF(C1434="","",COUNTIF($C$2:C1434,C1434))</f>
        <v/>
      </c>
      <c r="AO1434" s="8" t="str">
        <f t="shared" si="205"/>
        <v/>
      </c>
      <c r="AP1434" s="8" t="str">
        <f>IF(C1434="","",IF(AND(OR([1]Consulta!$C$29="",A1434=[1]Consulta!$C$29),OR([1]Consulta!$E$29="",B1434=[1]Consulta!$E$29),OR([1]Consulta!$G$29="",D1434=[1]Consulta!$G$29,R1434=[1]Consulta!$G$29)),ROW()-1,""))</f>
        <v/>
      </c>
    </row>
    <row r="1435" spans="1:42" ht="15" customHeight="1" x14ac:dyDescent="0.25">
      <c r="A1435" s="7"/>
      <c r="B1435" s="7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 t="str">
        <f t="shared" si="198"/>
        <v/>
      </c>
      <c r="AG1435" s="7" t="str">
        <f t="shared" si="206"/>
        <v/>
      </c>
      <c r="AH1435" s="7" t="str">
        <f t="shared" si="199"/>
        <v/>
      </c>
      <c r="AI1435" s="7" t="str">
        <f t="shared" si="200"/>
        <v/>
      </c>
      <c r="AJ1435" s="7" t="str">
        <f t="shared" si="201"/>
        <v/>
      </c>
      <c r="AK1435" s="7" t="str">
        <f t="shared" si="202"/>
        <v/>
      </c>
      <c r="AL1435" s="7" t="str">
        <f t="shared" si="203"/>
        <v/>
      </c>
      <c r="AM1435" s="7" t="str">
        <f t="shared" si="204"/>
        <v/>
      </c>
      <c r="AN1435" s="8" t="str">
        <f>IF(C1435="","",COUNTIF($C$2:C1435,C1435))</f>
        <v/>
      </c>
      <c r="AO1435" s="8" t="str">
        <f t="shared" si="205"/>
        <v/>
      </c>
      <c r="AP1435" s="8" t="str">
        <f>IF(C1435="","",IF(AND(OR([1]Consulta!$C$29="",A1435=[1]Consulta!$C$29),OR([1]Consulta!$E$29="",B1435=[1]Consulta!$E$29),OR([1]Consulta!$G$29="",D1435=[1]Consulta!$G$29,R1435=[1]Consulta!$G$29)),ROW()-1,""))</f>
        <v/>
      </c>
    </row>
    <row r="1436" spans="1:42" ht="15" customHeight="1" x14ac:dyDescent="0.25">
      <c r="A1436" s="7"/>
      <c r="B1436" s="7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 t="str">
        <f t="shared" si="198"/>
        <v/>
      </c>
      <c r="AG1436" s="7" t="str">
        <f t="shared" si="206"/>
        <v/>
      </c>
      <c r="AH1436" s="7" t="str">
        <f t="shared" si="199"/>
        <v/>
      </c>
      <c r="AI1436" s="7" t="str">
        <f t="shared" si="200"/>
        <v/>
      </c>
      <c r="AJ1436" s="7" t="str">
        <f t="shared" si="201"/>
        <v/>
      </c>
      <c r="AK1436" s="7" t="str">
        <f t="shared" si="202"/>
        <v/>
      </c>
      <c r="AL1436" s="7" t="str">
        <f t="shared" si="203"/>
        <v/>
      </c>
      <c r="AM1436" s="7" t="str">
        <f t="shared" si="204"/>
        <v/>
      </c>
      <c r="AN1436" s="8" t="str">
        <f>IF(C1436="","",COUNTIF($C$2:C1436,C1436))</f>
        <v/>
      </c>
      <c r="AO1436" s="8" t="str">
        <f t="shared" si="205"/>
        <v/>
      </c>
      <c r="AP1436" s="8" t="str">
        <f>IF(C1436="","",IF(AND(OR([1]Consulta!$C$29="",A1436=[1]Consulta!$C$29),OR([1]Consulta!$E$29="",B1436=[1]Consulta!$E$29),OR([1]Consulta!$G$29="",D1436=[1]Consulta!$G$29,R1436=[1]Consulta!$G$29)),ROW()-1,""))</f>
        <v/>
      </c>
    </row>
    <row r="1437" spans="1:42" ht="15" customHeight="1" x14ac:dyDescent="0.25">
      <c r="A1437" s="7"/>
      <c r="B1437" s="7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 t="str">
        <f t="shared" si="198"/>
        <v/>
      </c>
      <c r="AG1437" s="7" t="str">
        <f t="shared" si="206"/>
        <v/>
      </c>
      <c r="AH1437" s="7" t="str">
        <f t="shared" si="199"/>
        <v/>
      </c>
      <c r="AI1437" s="7" t="str">
        <f t="shared" si="200"/>
        <v/>
      </c>
      <c r="AJ1437" s="7" t="str">
        <f t="shared" si="201"/>
        <v/>
      </c>
      <c r="AK1437" s="7" t="str">
        <f t="shared" si="202"/>
        <v/>
      </c>
      <c r="AL1437" s="7" t="str">
        <f t="shared" si="203"/>
        <v/>
      </c>
      <c r="AM1437" s="7" t="str">
        <f t="shared" si="204"/>
        <v/>
      </c>
      <c r="AN1437" s="8" t="str">
        <f>IF(C1437="","",COUNTIF($C$2:C1437,C1437))</f>
        <v/>
      </c>
      <c r="AO1437" s="8" t="str">
        <f t="shared" si="205"/>
        <v/>
      </c>
      <c r="AP1437" s="8" t="str">
        <f>IF(C1437="","",IF(AND(OR([1]Consulta!$C$29="",A1437=[1]Consulta!$C$29),OR([1]Consulta!$E$29="",B1437=[1]Consulta!$E$29),OR([1]Consulta!$G$29="",D1437=[1]Consulta!$G$29,R1437=[1]Consulta!$G$29)),ROW()-1,""))</f>
        <v/>
      </c>
    </row>
    <row r="1438" spans="1:42" ht="15" customHeight="1" x14ac:dyDescent="0.25">
      <c r="A1438" s="7"/>
      <c r="B1438" s="7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 t="str">
        <f t="shared" si="198"/>
        <v/>
      </c>
      <c r="AG1438" s="7" t="str">
        <f t="shared" si="206"/>
        <v/>
      </c>
      <c r="AH1438" s="7" t="str">
        <f t="shared" si="199"/>
        <v/>
      </c>
      <c r="AI1438" s="7" t="str">
        <f t="shared" si="200"/>
        <v/>
      </c>
      <c r="AJ1438" s="7" t="str">
        <f t="shared" si="201"/>
        <v/>
      </c>
      <c r="AK1438" s="7" t="str">
        <f t="shared" si="202"/>
        <v/>
      </c>
      <c r="AL1438" s="7" t="str">
        <f t="shared" si="203"/>
        <v/>
      </c>
      <c r="AM1438" s="7" t="str">
        <f t="shared" si="204"/>
        <v/>
      </c>
      <c r="AN1438" s="8" t="str">
        <f>IF(C1438="","",COUNTIF($C$2:C1438,C1438))</f>
        <v/>
      </c>
      <c r="AO1438" s="8" t="str">
        <f t="shared" si="205"/>
        <v/>
      </c>
      <c r="AP1438" s="8" t="str">
        <f>IF(C1438="","",IF(AND(OR([1]Consulta!$C$29="",A1438=[1]Consulta!$C$29),OR([1]Consulta!$E$29="",B1438=[1]Consulta!$E$29),OR([1]Consulta!$G$29="",D1438=[1]Consulta!$G$29,R1438=[1]Consulta!$G$29)),ROW()-1,""))</f>
        <v/>
      </c>
    </row>
    <row r="1439" spans="1:42" ht="15" customHeight="1" x14ac:dyDescent="0.25">
      <c r="A1439" s="7"/>
      <c r="B1439" s="7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 t="str">
        <f t="shared" si="198"/>
        <v/>
      </c>
      <c r="AG1439" s="7" t="str">
        <f t="shared" si="206"/>
        <v/>
      </c>
      <c r="AH1439" s="7" t="str">
        <f t="shared" si="199"/>
        <v/>
      </c>
      <c r="AI1439" s="7" t="str">
        <f t="shared" si="200"/>
        <v/>
      </c>
      <c r="AJ1439" s="7" t="str">
        <f t="shared" si="201"/>
        <v/>
      </c>
      <c r="AK1439" s="7" t="str">
        <f t="shared" si="202"/>
        <v/>
      </c>
      <c r="AL1439" s="7" t="str">
        <f t="shared" si="203"/>
        <v/>
      </c>
      <c r="AM1439" s="7" t="str">
        <f t="shared" si="204"/>
        <v/>
      </c>
      <c r="AN1439" s="8" t="str">
        <f>IF(C1439="","",COUNTIF($C$2:C1439,C1439))</f>
        <v/>
      </c>
      <c r="AO1439" s="8" t="str">
        <f t="shared" si="205"/>
        <v/>
      </c>
      <c r="AP1439" s="8" t="str">
        <f>IF(C1439="","",IF(AND(OR([1]Consulta!$C$29="",A1439=[1]Consulta!$C$29),OR([1]Consulta!$E$29="",B1439=[1]Consulta!$E$29),OR([1]Consulta!$G$29="",D1439=[1]Consulta!$G$29,R1439=[1]Consulta!$G$29)),ROW()-1,""))</f>
        <v/>
      </c>
    </row>
    <row r="1440" spans="1:42" ht="15" customHeight="1" x14ac:dyDescent="0.25">
      <c r="A1440" s="7"/>
      <c r="B1440" s="7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 t="str">
        <f t="shared" si="198"/>
        <v/>
      </c>
      <c r="AG1440" s="7" t="str">
        <f t="shared" si="206"/>
        <v/>
      </c>
      <c r="AH1440" s="7" t="str">
        <f t="shared" si="199"/>
        <v/>
      </c>
      <c r="AI1440" s="7" t="str">
        <f t="shared" si="200"/>
        <v/>
      </c>
      <c r="AJ1440" s="7" t="str">
        <f t="shared" si="201"/>
        <v/>
      </c>
      <c r="AK1440" s="7" t="str">
        <f t="shared" si="202"/>
        <v/>
      </c>
      <c r="AL1440" s="7" t="str">
        <f t="shared" si="203"/>
        <v/>
      </c>
      <c r="AM1440" s="7" t="str">
        <f t="shared" si="204"/>
        <v/>
      </c>
      <c r="AN1440" s="8" t="str">
        <f>IF(C1440="","",COUNTIF($C$2:C1440,C1440))</f>
        <v/>
      </c>
      <c r="AO1440" s="8" t="str">
        <f t="shared" si="205"/>
        <v/>
      </c>
      <c r="AP1440" s="8" t="str">
        <f>IF(C1440="","",IF(AND(OR([1]Consulta!$C$29="",A1440=[1]Consulta!$C$29),OR([1]Consulta!$E$29="",B1440=[1]Consulta!$E$29),OR([1]Consulta!$G$29="",D1440=[1]Consulta!$G$29,R1440=[1]Consulta!$G$29)),ROW()-1,""))</f>
        <v/>
      </c>
    </row>
    <row r="1441" spans="1:42" ht="15" customHeight="1" x14ac:dyDescent="0.25">
      <c r="A1441" s="7"/>
      <c r="B1441" s="7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 t="str">
        <f t="shared" si="198"/>
        <v/>
      </c>
      <c r="AG1441" s="7" t="str">
        <f t="shared" si="206"/>
        <v/>
      </c>
      <c r="AH1441" s="7" t="str">
        <f t="shared" si="199"/>
        <v/>
      </c>
      <c r="AI1441" s="7" t="str">
        <f t="shared" si="200"/>
        <v/>
      </c>
      <c r="AJ1441" s="7" t="str">
        <f t="shared" si="201"/>
        <v/>
      </c>
      <c r="AK1441" s="7" t="str">
        <f t="shared" si="202"/>
        <v/>
      </c>
      <c r="AL1441" s="7" t="str">
        <f t="shared" si="203"/>
        <v/>
      </c>
      <c r="AM1441" s="7" t="str">
        <f t="shared" si="204"/>
        <v/>
      </c>
      <c r="AN1441" s="8" t="str">
        <f>IF(C1441="","",COUNTIF($C$2:C1441,C1441))</f>
        <v/>
      </c>
      <c r="AO1441" s="8" t="str">
        <f t="shared" si="205"/>
        <v/>
      </c>
      <c r="AP1441" s="8" t="str">
        <f>IF(C1441="","",IF(AND(OR([1]Consulta!$C$29="",A1441=[1]Consulta!$C$29),OR([1]Consulta!$E$29="",B1441=[1]Consulta!$E$29),OR([1]Consulta!$G$29="",D1441=[1]Consulta!$G$29,R1441=[1]Consulta!$G$29)),ROW()-1,""))</f>
        <v/>
      </c>
    </row>
    <row r="1442" spans="1:42" ht="15" customHeight="1" x14ac:dyDescent="0.25">
      <c r="A1442" s="7"/>
      <c r="B1442" s="7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 t="str">
        <f t="shared" si="198"/>
        <v/>
      </c>
      <c r="AG1442" s="7" t="str">
        <f t="shared" si="206"/>
        <v/>
      </c>
      <c r="AH1442" s="7" t="str">
        <f t="shared" si="199"/>
        <v/>
      </c>
      <c r="AI1442" s="7" t="str">
        <f t="shared" si="200"/>
        <v/>
      </c>
      <c r="AJ1442" s="7" t="str">
        <f t="shared" si="201"/>
        <v/>
      </c>
      <c r="AK1442" s="7" t="str">
        <f t="shared" si="202"/>
        <v/>
      </c>
      <c r="AL1442" s="7" t="str">
        <f t="shared" si="203"/>
        <v/>
      </c>
      <c r="AM1442" s="7" t="str">
        <f t="shared" si="204"/>
        <v/>
      </c>
      <c r="AN1442" s="8" t="str">
        <f>IF(C1442="","",COUNTIF($C$2:C1442,C1442))</f>
        <v/>
      </c>
      <c r="AO1442" s="8" t="str">
        <f t="shared" si="205"/>
        <v/>
      </c>
      <c r="AP1442" s="8" t="str">
        <f>IF(C1442="","",IF(AND(OR([1]Consulta!$C$29="",A1442=[1]Consulta!$C$29),OR([1]Consulta!$E$29="",B1442=[1]Consulta!$E$29),OR([1]Consulta!$G$29="",D1442=[1]Consulta!$G$29,R1442=[1]Consulta!$G$29)),ROW()-1,""))</f>
        <v/>
      </c>
    </row>
    <row r="1443" spans="1:42" ht="15" customHeight="1" x14ac:dyDescent="0.25">
      <c r="A1443" s="7"/>
      <c r="B1443" s="7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 t="str">
        <f t="shared" si="198"/>
        <v/>
      </c>
      <c r="AG1443" s="7" t="str">
        <f t="shared" si="206"/>
        <v/>
      </c>
      <c r="AH1443" s="7" t="str">
        <f t="shared" si="199"/>
        <v/>
      </c>
      <c r="AI1443" s="7" t="str">
        <f t="shared" si="200"/>
        <v/>
      </c>
      <c r="AJ1443" s="7" t="str">
        <f t="shared" si="201"/>
        <v/>
      </c>
      <c r="AK1443" s="7" t="str">
        <f t="shared" si="202"/>
        <v/>
      </c>
      <c r="AL1443" s="7" t="str">
        <f t="shared" si="203"/>
        <v/>
      </c>
      <c r="AM1443" s="7" t="str">
        <f t="shared" si="204"/>
        <v/>
      </c>
      <c r="AN1443" s="8" t="str">
        <f>IF(C1443="","",COUNTIF($C$2:C1443,C1443))</f>
        <v/>
      </c>
      <c r="AO1443" s="8" t="str">
        <f t="shared" si="205"/>
        <v/>
      </c>
      <c r="AP1443" s="8" t="str">
        <f>IF(C1443="","",IF(AND(OR([1]Consulta!$C$29="",A1443=[1]Consulta!$C$29),OR([1]Consulta!$E$29="",B1443=[1]Consulta!$E$29),OR([1]Consulta!$G$29="",D1443=[1]Consulta!$G$29,R1443=[1]Consulta!$G$29)),ROW()-1,""))</f>
        <v/>
      </c>
    </row>
    <row r="1444" spans="1:42" ht="15" customHeight="1" x14ac:dyDescent="0.25">
      <c r="A1444" s="7"/>
      <c r="B1444" s="7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 t="str">
        <f t="shared" si="198"/>
        <v/>
      </c>
      <c r="AG1444" s="7" t="str">
        <f t="shared" si="206"/>
        <v/>
      </c>
      <c r="AH1444" s="7" t="str">
        <f t="shared" si="199"/>
        <v/>
      </c>
      <c r="AI1444" s="7" t="str">
        <f t="shared" si="200"/>
        <v/>
      </c>
      <c r="AJ1444" s="7" t="str">
        <f t="shared" si="201"/>
        <v/>
      </c>
      <c r="AK1444" s="7" t="str">
        <f t="shared" si="202"/>
        <v/>
      </c>
      <c r="AL1444" s="7" t="str">
        <f t="shared" si="203"/>
        <v/>
      </c>
      <c r="AM1444" s="7" t="str">
        <f t="shared" si="204"/>
        <v/>
      </c>
      <c r="AN1444" s="8" t="str">
        <f>IF(C1444="","",COUNTIF($C$2:C1444,C1444))</f>
        <v/>
      </c>
      <c r="AO1444" s="8" t="str">
        <f t="shared" si="205"/>
        <v/>
      </c>
      <c r="AP1444" s="8" t="str">
        <f>IF(C1444="","",IF(AND(OR([1]Consulta!$C$29="",A1444=[1]Consulta!$C$29),OR([1]Consulta!$E$29="",B1444=[1]Consulta!$E$29),OR([1]Consulta!$G$29="",D1444=[1]Consulta!$G$29,R1444=[1]Consulta!$G$29)),ROW()-1,""))</f>
        <v/>
      </c>
    </row>
    <row r="1445" spans="1:42" ht="15" customHeight="1" x14ac:dyDescent="0.25">
      <c r="A1445" s="7"/>
      <c r="B1445" s="7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 t="str">
        <f t="shared" si="198"/>
        <v/>
      </c>
      <c r="AG1445" s="7" t="str">
        <f t="shared" si="206"/>
        <v/>
      </c>
      <c r="AH1445" s="7" t="str">
        <f t="shared" si="199"/>
        <v/>
      </c>
      <c r="AI1445" s="7" t="str">
        <f t="shared" si="200"/>
        <v/>
      </c>
      <c r="AJ1445" s="7" t="str">
        <f t="shared" si="201"/>
        <v/>
      </c>
      <c r="AK1445" s="7" t="str">
        <f t="shared" si="202"/>
        <v/>
      </c>
      <c r="AL1445" s="7" t="str">
        <f t="shared" si="203"/>
        <v/>
      </c>
      <c r="AM1445" s="7" t="str">
        <f t="shared" si="204"/>
        <v/>
      </c>
      <c r="AN1445" s="8" t="str">
        <f>IF(C1445="","",COUNTIF($C$2:C1445,C1445))</f>
        <v/>
      </c>
      <c r="AO1445" s="8" t="str">
        <f t="shared" si="205"/>
        <v/>
      </c>
      <c r="AP1445" s="8" t="str">
        <f>IF(C1445="","",IF(AND(OR([1]Consulta!$C$29="",A1445=[1]Consulta!$C$29),OR([1]Consulta!$E$29="",B1445=[1]Consulta!$E$29),OR([1]Consulta!$G$29="",D1445=[1]Consulta!$G$29,R1445=[1]Consulta!$G$29)),ROW()-1,""))</f>
        <v/>
      </c>
    </row>
    <row r="1446" spans="1:42" ht="15" customHeight="1" x14ac:dyDescent="0.25">
      <c r="A1446" s="7"/>
      <c r="B1446" s="7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 t="str">
        <f t="shared" si="198"/>
        <v/>
      </c>
      <c r="AG1446" s="7" t="str">
        <f t="shared" si="206"/>
        <v/>
      </c>
      <c r="AH1446" s="7" t="str">
        <f t="shared" si="199"/>
        <v/>
      </c>
      <c r="AI1446" s="7" t="str">
        <f t="shared" si="200"/>
        <v/>
      </c>
      <c r="AJ1446" s="7" t="str">
        <f t="shared" si="201"/>
        <v/>
      </c>
      <c r="AK1446" s="7" t="str">
        <f t="shared" si="202"/>
        <v/>
      </c>
      <c r="AL1446" s="7" t="str">
        <f t="shared" si="203"/>
        <v/>
      </c>
      <c r="AM1446" s="7" t="str">
        <f t="shared" si="204"/>
        <v/>
      </c>
      <c r="AN1446" s="8" t="str">
        <f>IF(C1446="","",COUNTIF($C$2:C1446,C1446))</f>
        <v/>
      </c>
      <c r="AO1446" s="8" t="str">
        <f t="shared" si="205"/>
        <v/>
      </c>
      <c r="AP1446" s="8" t="str">
        <f>IF(C1446="","",IF(AND(OR([1]Consulta!$C$29="",A1446=[1]Consulta!$C$29),OR([1]Consulta!$E$29="",B1446=[1]Consulta!$E$29),OR([1]Consulta!$G$29="",D1446=[1]Consulta!$G$29,R1446=[1]Consulta!$G$29)),ROW()-1,""))</f>
        <v/>
      </c>
    </row>
    <row r="1447" spans="1:42" ht="15" customHeight="1" x14ac:dyDescent="0.25">
      <c r="A1447" s="7"/>
      <c r="B1447" s="7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 t="str">
        <f t="shared" si="198"/>
        <v/>
      </c>
      <c r="AG1447" s="7" t="str">
        <f t="shared" si="206"/>
        <v/>
      </c>
      <c r="AH1447" s="7" t="str">
        <f t="shared" si="199"/>
        <v/>
      </c>
      <c r="AI1447" s="7" t="str">
        <f t="shared" si="200"/>
        <v/>
      </c>
      <c r="AJ1447" s="7" t="str">
        <f t="shared" si="201"/>
        <v/>
      </c>
      <c r="AK1447" s="7" t="str">
        <f t="shared" si="202"/>
        <v/>
      </c>
      <c r="AL1447" s="7" t="str">
        <f t="shared" si="203"/>
        <v/>
      </c>
      <c r="AM1447" s="7" t="str">
        <f t="shared" si="204"/>
        <v/>
      </c>
      <c r="AN1447" s="8" t="str">
        <f>IF(C1447="","",COUNTIF($C$2:C1447,C1447))</f>
        <v/>
      </c>
      <c r="AO1447" s="8" t="str">
        <f t="shared" si="205"/>
        <v/>
      </c>
      <c r="AP1447" s="8" t="str">
        <f>IF(C1447="","",IF(AND(OR([1]Consulta!$C$29="",A1447=[1]Consulta!$C$29),OR([1]Consulta!$E$29="",B1447=[1]Consulta!$E$29),OR([1]Consulta!$G$29="",D1447=[1]Consulta!$G$29,R1447=[1]Consulta!$G$29)),ROW()-1,""))</f>
        <v/>
      </c>
    </row>
    <row r="1448" spans="1:42" ht="15" customHeight="1" x14ac:dyDescent="0.25">
      <c r="A1448" s="7"/>
      <c r="B1448" s="7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 t="str">
        <f t="shared" si="198"/>
        <v/>
      </c>
      <c r="AG1448" s="7" t="str">
        <f t="shared" si="206"/>
        <v/>
      </c>
      <c r="AH1448" s="7" t="str">
        <f t="shared" si="199"/>
        <v/>
      </c>
      <c r="AI1448" s="7" t="str">
        <f t="shared" si="200"/>
        <v/>
      </c>
      <c r="AJ1448" s="7" t="str">
        <f t="shared" si="201"/>
        <v/>
      </c>
      <c r="AK1448" s="7" t="str">
        <f t="shared" si="202"/>
        <v/>
      </c>
      <c r="AL1448" s="7" t="str">
        <f t="shared" si="203"/>
        <v/>
      </c>
      <c r="AM1448" s="7" t="str">
        <f t="shared" si="204"/>
        <v/>
      </c>
      <c r="AN1448" s="8" t="str">
        <f>IF(C1448="","",COUNTIF($C$2:C1448,C1448))</f>
        <v/>
      </c>
      <c r="AO1448" s="8" t="str">
        <f t="shared" si="205"/>
        <v/>
      </c>
      <c r="AP1448" s="8" t="str">
        <f>IF(C1448="","",IF(AND(OR([1]Consulta!$C$29="",A1448=[1]Consulta!$C$29),OR([1]Consulta!$E$29="",B1448=[1]Consulta!$E$29),OR([1]Consulta!$G$29="",D1448=[1]Consulta!$G$29,R1448=[1]Consulta!$G$29)),ROW()-1,""))</f>
        <v/>
      </c>
    </row>
    <row r="1449" spans="1:42" ht="15" customHeight="1" x14ac:dyDescent="0.25">
      <c r="A1449" s="7"/>
      <c r="B1449" s="7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 t="str">
        <f t="shared" si="198"/>
        <v/>
      </c>
      <c r="AG1449" s="7" t="str">
        <f t="shared" si="206"/>
        <v/>
      </c>
      <c r="AH1449" s="7" t="str">
        <f t="shared" si="199"/>
        <v/>
      </c>
      <c r="AI1449" s="7" t="str">
        <f t="shared" si="200"/>
        <v/>
      </c>
      <c r="AJ1449" s="7" t="str">
        <f t="shared" si="201"/>
        <v/>
      </c>
      <c r="AK1449" s="7" t="str">
        <f t="shared" si="202"/>
        <v/>
      </c>
      <c r="AL1449" s="7" t="str">
        <f t="shared" si="203"/>
        <v/>
      </c>
      <c r="AM1449" s="7" t="str">
        <f t="shared" si="204"/>
        <v/>
      </c>
      <c r="AN1449" s="8" t="str">
        <f>IF(C1449="","",COUNTIF($C$2:C1449,C1449))</f>
        <v/>
      </c>
      <c r="AO1449" s="8" t="str">
        <f t="shared" si="205"/>
        <v/>
      </c>
      <c r="AP1449" s="8" t="str">
        <f>IF(C1449="","",IF(AND(OR([1]Consulta!$C$29="",A1449=[1]Consulta!$C$29),OR([1]Consulta!$E$29="",B1449=[1]Consulta!$E$29),OR([1]Consulta!$G$29="",D1449=[1]Consulta!$G$29,R1449=[1]Consulta!$G$29)),ROW()-1,""))</f>
        <v/>
      </c>
    </row>
    <row r="1450" spans="1:42" ht="15" customHeight="1" x14ac:dyDescent="0.25">
      <c r="A1450" s="7"/>
      <c r="B1450" s="7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 t="str">
        <f t="shared" si="198"/>
        <v/>
      </c>
      <c r="AG1450" s="7" t="str">
        <f t="shared" si="206"/>
        <v/>
      </c>
      <c r="AH1450" s="7" t="str">
        <f t="shared" si="199"/>
        <v/>
      </c>
      <c r="AI1450" s="7" t="str">
        <f t="shared" si="200"/>
        <v/>
      </c>
      <c r="AJ1450" s="7" t="str">
        <f t="shared" si="201"/>
        <v/>
      </c>
      <c r="AK1450" s="7" t="str">
        <f t="shared" si="202"/>
        <v/>
      </c>
      <c r="AL1450" s="7" t="str">
        <f t="shared" si="203"/>
        <v/>
      </c>
      <c r="AM1450" s="7" t="str">
        <f t="shared" si="204"/>
        <v/>
      </c>
      <c r="AN1450" s="8" t="str">
        <f>IF(C1450="","",COUNTIF($C$2:C1450,C1450))</f>
        <v/>
      </c>
      <c r="AO1450" s="8" t="str">
        <f t="shared" si="205"/>
        <v/>
      </c>
      <c r="AP1450" s="8" t="str">
        <f>IF(C1450="","",IF(AND(OR([1]Consulta!$C$29="",A1450=[1]Consulta!$C$29),OR([1]Consulta!$E$29="",B1450=[1]Consulta!$E$29),OR([1]Consulta!$G$29="",D1450=[1]Consulta!$G$29,R1450=[1]Consulta!$G$29)),ROW()-1,""))</f>
        <v/>
      </c>
    </row>
    <row r="1451" spans="1:42" ht="15" customHeight="1" x14ac:dyDescent="0.25">
      <c r="A1451" s="7"/>
      <c r="B1451" s="7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 t="str">
        <f t="shared" si="198"/>
        <v/>
      </c>
      <c r="AG1451" s="7" t="str">
        <f t="shared" si="206"/>
        <v/>
      </c>
      <c r="AH1451" s="7" t="str">
        <f t="shared" si="199"/>
        <v/>
      </c>
      <c r="AI1451" s="7" t="str">
        <f t="shared" si="200"/>
        <v/>
      </c>
      <c r="AJ1451" s="7" t="str">
        <f t="shared" si="201"/>
        <v/>
      </c>
      <c r="AK1451" s="7" t="str">
        <f t="shared" si="202"/>
        <v/>
      </c>
      <c r="AL1451" s="7" t="str">
        <f t="shared" si="203"/>
        <v/>
      </c>
      <c r="AM1451" s="7" t="str">
        <f t="shared" si="204"/>
        <v/>
      </c>
      <c r="AN1451" s="8" t="str">
        <f>IF(C1451="","",COUNTIF($C$2:C1451,C1451))</f>
        <v/>
      </c>
      <c r="AO1451" s="8" t="str">
        <f t="shared" si="205"/>
        <v/>
      </c>
      <c r="AP1451" s="8" t="str">
        <f>IF(C1451="","",IF(AND(OR([1]Consulta!$C$29="",A1451=[1]Consulta!$C$29),OR([1]Consulta!$E$29="",B1451=[1]Consulta!$E$29),OR([1]Consulta!$G$29="",D1451=[1]Consulta!$G$29,R1451=[1]Consulta!$G$29)),ROW()-1,""))</f>
        <v/>
      </c>
    </row>
    <row r="1452" spans="1:42" ht="15" customHeight="1" x14ac:dyDescent="0.25">
      <c r="A1452" s="7"/>
      <c r="B1452" s="7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 t="str">
        <f t="shared" si="198"/>
        <v/>
      </c>
      <c r="AG1452" s="7" t="str">
        <f t="shared" si="206"/>
        <v/>
      </c>
      <c r="AH1452" s="7" t="str">
        <f t="shared" si="199"/>
        <v/>
      </c>
      <c r="AI1452" s="7" t="str">
        <f t="shared" si="200"/>
        <v/>
      </c>
      <c r="AJ1452" s="7" t="str">
        <f t="shared" si="201"/>
        <v/>
      </c>
      <c r="AK1452" s="7" t="str">
        <f t="shared" si="202"/>
        <v/>
      </c>
      <c r="AL1452" s="7" t="str">
        <f t="shared" si="203"/>
        <v/>
      </c>
      <c r="AM1452" s="7" t="str">
        <f t="shared" si="204"/>
        <v/>
      </c>
      <c r="AN1452" s="8" t="str">
        <f>IF(C1452="","",COUNTIF($C$2:C1452,C1452))</f>
        <v/>
      </c>
      <c r="AO1452" s="8" t="str">
        <f t="shared" si="205"/>
        <v/>
      </c>
      <c r="AP1452" s="8" t="str">
        <f>IF(C1452="","",IF(AND(OR([1]Consulta!$C$29="",A1452=[1]Consulta!$C$29),OR([1]Consulta!$E$29="",B1452=[1]Consulta!$E$29),OR([1]Consulta!$G$29="",D1452=[1]Consulta!$G$29,R1452=[1]Consulta!$G$29)),ROW()-1,""))</f>
        <v/>
      </c>
    </row>
    <row r="1453" spans="1:42" ht="15" customHeight="1" x14ac:dyDescent="0.25">
      <c r="A1453" s="7"/>
      <c r="B1453" s="7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 t="str">
        <f t="shared" si="198"/>
        <v/>
      </c>
      <c r="AG1453" s="7" t="str">
        <f t="shared" si="206"/>
        <v/>
      </c>
      <c r="AH1453" s="7" t="str">
        <f t="shared" si="199"/>
        <v/>
      </c>
      <c r="AI1453" s="7" t="str">
        <f t="shared" si="200"/>
        <v/>
      </c>
      <c r="AJ1453" s="7" t="str">
        <f t="shared" si="201"/>
        <v/>
      </c>
      <c r="AK1453" s="7" t="str">
        <f t="shared" si="202"/>
        <v/>
      </c>
      <c r="AL1453" s="7" t="str">
        <f t="shared" si="203"/>
        <v/>
      </c>
      <c r="AM1453" s="7" t="str">
        <f t="shared" si="204"/>
        <v/>
      </c>
      <c r="AN1453" s="8" t="str">
        <f>IF(C1453="","",COUNTIF($C$2:C1453,C1453))</f>
        <v/>
      </c>
      <c r="AO1453" s="8" t="str">
        <f t="shared" si="205"/>
        <v/>
      </c>
      <c r="AP1453" s="8" t="str">
        <f>IF(C1453="","",IF(AND(OR([1]Consulta!$C$29="",A1453=[1]Consulta!$C$29),OR([1]Consulta!$E$29="",B1453=[1]Consulta!$E$29),OR([1]Consulta!$G$29="",D1453=[1]Consulta!$G$29,R1453=[1]Consulta!$G$29)),ROW()-1,""))</f>
        <v/>
      </c>
    </row>
    <row r="1454" spans="1:42" ht="15" customHeight="1" x14ac:dyDescent="0.25">
      <c r="A1454" s="7"/>
      <c r="B1454" s="7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 t="str">
        <f t="shared" si="198"/>
        <v/>
      </c>
      <c r="AG1454" s="7" t="str">
        <f t="shared" si="206"/>
        <v/>
      </c>
      <c r="AH1454" s="7" t="str">
        <f t="shared" si="199"/>
        <v/>
      </c>
      <c r="AI1454" s="7" t="str">
        <f t="shared" si="200"/>
        <v/>
      </c>
      <c r="AJ1454" s="7" t="str">
        <f t="shared" si="201"/>
        <v/>
      </c>
      <c r="AK1454" s="7" t="str">
        <f t="shared" si="202"/>
        <v/>
      </c>
      <c r="AL1454" s="7" t="str">
        <f t="shared" si="203"/>
        <v/>
      </c>
      <c r="AM1454" s="7" t="str">
        <f t="shared" si="204"/>
        <v/>
      </c>
      <c r="AN1454" s="8" t="str">
        <f>IF(C1454="","",COUNTIF($C$2:C1454,C1454))</f>
        <v/>
      </c>
      <c r="AO1454" s="8" t="str">
        <f t="shared" si="205"/>
        <v/>
      </c>
      <c r="AP1454" s="8" t="str">
        <f>IF(C1454="","",IF(AND(OR([1]Consulta!$C$29="",A1454=[1]Consulta!$C$29),OR([1]Consulta!$E$29="",B1454=[1]Consulta!$E$29),OR([1]Consulta!$G$29="",D1454=[1]Consulta!$G$29,R1454=[1]Consulta!$G$29)),ROW()-1,""))</f>
        <v/>
      </c>
    </row>
    <row r="1455" spans="1:42" ht="15" customHeight="1" x14ac:dyDescent="0.25">
      <c r="A1455" s="7"/>
      <c r="B1455" s="7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 t="str">
        <f t="shared" si="198"/>
        <v/>
      </c>
      <c r="AG1455" s="7" t="str">
        <f t="shared" si="206"/>
        <v/>
      </c>
      <c r="AH1455" s="7" t="str">
        <f t="shared" si="199"/>
        <v/>
      </c>
      <c r="AI1455" s="7" t="str">
        <f t="shared" si="200"/>
        <v/>
      </c>
      <c r="AJ1455" s="7" t="str">
        <f t="shared" si="201"/>
        <v/>
      </c>
      <c r="AK1455" s="7" t="str">
        <f t="shared" si="202"/>
        <v/>
      </c>
      <c r="AL1455" s="7" t="str">
        <f t="shared" si="203"/>
        <v/>
      </c>
      <c r="AM1455" s="7" t="str">
        <f t="shared" si="204"/>
        <v/>
      </c>
      <c r="AN1455" s="8" t="str">
        <f>IF(C1455="","",COUNTIF($C$2:C1455,C1455))</f>
        <v/>
      </c>
      <c r="AO1455" s="8" t="str">
        <f t="shared" si="205"/>
        <v/>
      </c>
      <c r="AP1455" s="8" t="str">
        <f>IF(C1455="","",IF(AND(OR([1]Consulta!$C$29="",A1455=[1]Consulta!$C$29),OR([1]Consulta!$E$29="",B1455=[1]Consulta!$E$29),OR([1]Consulta!$G$29="",D1455=[1]Consulta!$G$29,R1455=[1]Consulta!$G$29)),ROW()-1,""))</f>
        <v/>
      </c>
    </row>
    <row r="1456" spans="1:42" ht="15" customHeight="1" x14ac:dyDescent="0.25">
      <c r="A1456" s="7"/>
      <c r="B1456" s="7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 t="str">
        <f t="shared" si="198"/>
        <v/>
      </c>
      <c r="AG1456" s="7" t="str">
        <f t="shared" si="206"/>
        <v/>
      </c>
      <c r="AH1456" s="7" t="str">
        <f t="shared" si="199"/>
        <v/>
      </c>
      <c r="AI1456" s="7" t="str">
        <f t="shared" si="200"/>
        <v/>
      </c>
      <c r="AJ1456" s="7" t="str">
        <f t="shared" si="201"/>
        <v/>
      </c>
      <c r="AK1456" s="7" t="str">
        <f t="shared" si="202"/>
        <v/>
      </c>
      <c r="AL1456" s="7" t="str">
        <f t="shared" si="203"/>
        <v/>
      </c>
      <c r="AM1456" s="7" t="str">
        <f t="shared" si="204"/>
        <v/>
      </c>
      <c r="AN1456" s="8" t="str">
        <f>IF(C1456="","",COUNTIF($C$2:C1456,C1456))</f>
        <v/>
      </c>
      <c r="AO1456" s="8" t="str">
        <f t="shared" si="205"/>
        <v/>
      </c>
      <c r="AP1456" s="8" t="str">
        <f>IF(C1456="","",IF(AND(OR([1]Consulta!$C$29="",A1456=[1]Consulta!$C$29),OR([1]Consulta!$E$29="",B1456=[1]Consulta!$E$29),OR([1]Consulta!$G$29="",D1456=[1]Consulta!$G$29,R1456=[1]Consulta!$G$29)),ROW()-1,""))</f>
        <v/>
      </c>
    </row>
    <row r="1457" spans="1:42" ht="15" customHeight="1" x14ac:dyDescent="0.25">
      <c r="A1457" s="7"/>
      <c r="B1457" s="7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 t="str">
        <f t="shared" si="198"/>
        <v/>
      </c>
      <c r="AG1457" s="7" t="str">
        <f t="shared" si="206"/>
        <v/>
      </c>
      <c r="AH1457" s="7" t="str">
        <f t="shared" si="199"/>
        <v/>
      </c>
      <c r="AI1457" s="7" t="str">
        <f t="shared" si="200"/>
        <v/>
      </c>
      <c r="AJ1457" s="7" t="str">
        <f t="shared" si="201"/>
        <v/>
      </c>
      <c r="AK1457" s="7" t="str">
        <f t="shared" si="202"/>
        <v/>
      </c>
      <c r="AL1457" s="7" t="str">
        <f t="shared" si="203"/>
        <v/>
      </c>
      <c r="AM1457" s="7" t="str">
        <f t="shared" si="204"/>
        <v/>
      </c>
      <c r="AN1457" s="8" t="str">
        <f>IF(C1457="","",COUNTIF($C$2:C1457,C1457))</f>
        <v/>
      </c>
      <c r="AO1457" s="8" t="str">
        <f t="shared" si="205"/>
        <v/>
      </c>
      <c r="AP1457" s="8" t="str">
        <f>IF(C1457="","",IF(AND(OR([1]Consulta!$C$29="",A1457=[1]Consulta!$C$29),OR([1]Consulta!$E$29="",B1457=[1]Consulta!$E$29),OR([1]Consulta!$G$29="",D1457=[1]Consulta!$G$29,R1457=[1]Consulta!$G$29)),ROW()-1,""))</f>
        <v/>
      </c>
    </row>
    <row r="1458" spans="1:42" ht="15" customHeight="1" x14ac:dyDescent="0.25">
      <c r="A1458" s="7"/>
      <c r="B1458" s="7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 t="str">
        <f t="shared" si="198"/>
        <v/>
      </c>
      <c r="AG1458" s="7" t="str">
        <f t="shared" si="206"/>
        <v/>
      </c>
      <c r="AH1458" s="7" t="str">
        <f t="shared" si="199"/>
        <v/>
      </c>
      <c r="AI1458" s="7" t="str">
        <f t="shared" si="200"/>
        <v/>
      </c>
      <c r="AJ1458" s="7" t="str">
        <f t="shared" si="201"/>
        <v/>
      </c>
      <c r="AK1458" s="7" t="str">
        <f t="shared" si="202"/>
        <v/>
      </c>
      <c r="AL1458" s="7" t="str">
        <f t="shared" si="203"/>
        <v/>
      </c>
      <c r="AM1458" s="7" t="str">
        <f t="shared" si="204"/>
        <v/>
      </c>
      <c r="AN1458" s="8" t="str">
        <f>IF(C1458="","",COUNTIF($C$2:C1458,C1458))</f>
        <v/>
      </c>
      <c r="AO1458" s="8" t="str">
        <f t="shared" si="205"/>
        <v/>
      </c>
      <c r="AP1458" s="8" t="str">
        <f>IF(C1458="","",IF(AND(OR([1]Consulta!$C$29="",A1458=[1]Consulta!$C$29),OR([1]Consulta!$E$29="",B1458=[1]Consulta!$E$29),OR([1]Consulta!$G$29="",D1458=[1]Consulta!$G$29,R1458=[1]Consulta!$G$29)),ROW()-1,""))</f>
        <v/>
      </c>
    </row>
    <row r="1459" spans="1:42" ht="15" customHeight="1" x14ac:dyDescent="0.25">
      <c r="A1459" s="7"/>
      <c r="B1459" s="7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 t="str">
        <f t="shared" si="198"/>
        <v/>
      </c>
      <c r="AG1459" s="7" t="str">
        <f t="shared" si="206"/>
        <v/>
      </c>
      <c r="AH1459" s="7" t="str">
        <f t="shared" si="199"/>
        <v/>
      </c>
      <c r="AI1459" s="7" t="str">
        <f t="shared" si="200"/>
        <v/>
      </c>
      <c r="AJ1459" s="7" t="str">
        <f t="shared" si="201"/>
        <v/>
      </c>
      <c r="AK1459" s="7" t="str">
        <f t="shared" si="202"/>
        <v/>
      </c>
      <c r="AL1459" s="7" t="str">
        <f t="shared" si="203"/>
        <v/>
      </c>
      <c r="AM1459" s="7" t="str">
        <f t="shared" si="204"/>
        <v/>
      </c>
      <c r="AN1459" s="8" t="str">
        <f>IF(C1459="","",COUNTIF($C$2:C1459,C1459))</f>
        <v/>
      </c>
      <c r="AO1459" s="8" t="str">
        <f t="shared" si="205"/>
        <v/>
      </c>
      <c r="AP1459" s="8" t="str">
        <f>IF(C1459="","",IF(AND(OR([1]Consulta!$C$29="",A1459=[1]Consulta!$C$29),OR([1]Consulta!$E$29="",B1459=[1]Consulta!$E$29),OR([1]Consulta!$G$29="",D1459=[1]Consulta!$G$29,R1459=[1]Consulta!$G$29)),ROW()-1,""))</f>
        <v/>
      </c>
    </row>
    <row r="1460" spans="1:42" ht="15" customHeight="1" x14ac:dyDescent="0.25">
      <c r="A1460" s="7"/>
      <c r="B1460" s="7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 t="str">
        <f t="shared" si="198"/>
        <v/>
      </c>
      <c r="AG1460" s="7" t="str">
        <f t="shared" si="206"/>
        <v/>
      </c>
      <c r="AH1460" s="7" t="str">
        <f t="shared" si="199"/>
        <v/>
      </c>
      <c r="AI1460" s="7" t="str">
        <f t="shared" si="200"/>
        <v/>
      </c>
      <c r="AJ1460" s="7" t="str">
        <f t="shared" si="201"/>
        <v/>
      </c>
      <c r="AK1460" s="7" t="str">
        <f t="shared" si="202"/>
        <v/>
      </c>
      <c r="AL1460" s="7" t="str">
        <f t="shared" si="203"/>
        <v/>
      </c>
      <c r="AM1460" s="7" t="str">
        <f t="shared" si="204"/>
        <v/>
      </c>
      <c r="AN1460" s="8" t="str">
        <f>IF(C1460="","",COUNTIF($C$2:C1460,C1460))</f>
        <v/>
      </c>
      <c r="AO1460" s="8" t="str">
        <f t="shared" si="205"/>
        <v/>
      </c>
      <c r="AP1460" s="8" t="str">
        <f>IF(C1460="","",IF(AND(OR([1]Consulta!$C$29="",A1460=[1]Consulta!$C$29),OR([1]Consulta!$E$29="",B1460=[1]Consulta!$E$29),OR([1]Consulta!$G$29="",D1460=[1]Consulta!$G$29,R1460=[1]Consulta!$G$29)),ROW()-1,""))</f>
        <v/>
      </c>
    </row>
    <row r="1461" spans="1:42" ht="15" customHeight="1" x14ac:dyDescent="0.25">
      <c r="A1461" s="7"/>
      <c r="B1461" s="7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 t="str">
        <f t="shared" si="198"/>
        <v/>
      </c>
      <c r="AG1461" s="7" t="str">
        <f t="shared" si="206"/>
        <v/>
      </c>
      <c r="AH1461" s="7" t="str">
        <f t="shared" si="199"/>
        <v/>
      </c>
      <c r="AI1461" s="7" t="str">
        <f t="shared" si="200"/>
        <v/>
      </c>
      <c r="AJ1461" s="7" t="str">
        <f t="shared" si="201"/>
        <v/>
      </c>
      <c r="AK1461" s="7" t="str">
        <f t="shared" si="202"/>
        <v/>
      </c>
      <c r="AL1461" s="7" t="str">
        <f t="shared" si="203"/>
        <v/>
      </c>
      <c r="AM1461" s="7" t="str">
        <f t="shared" si="204"/>
        <v/>
      </c>
      <c r="AN1461" s="8" t="str">
        <f>IF(C1461="","",COUNTIF($C$2:C1461,C1461))</f>
        <v/>
      </c>
      <c r="AO1461" s="8" t="str">
        <f t="shared" si="205"/>
        <v/>
      </c>
      <c r="AP1461" s="8" t="str">
        <f>IF(C1461="","",IF(AND(OR([1]Consulta!$C$29="",A1461=[1]Consulta!$C$29),OR([1]Consulta!$E$29="",B1461=[1]Consulta!$E$29),OR([1]Consulta!$G$29="",D1461=[1]Consulta!$G$29,R1461=[1]Consulta!$G$29)),ROW()-1,""))</f>
        <v/>
      </c>
    </row>
    <row r="1462" spans="1:42" ht="15" customHeight="1" x14ac:dyDescent="0.25">
      <c r="A1462" s="7"/>
      <c r="B1462" s="7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 t="str">
        <f t="shared" si="198"/>
        <v/>
      </c>
      <c r="AG1462" s="7" t="str">
        <f t="shared" si="206"/>
        <v/>
      </c>
      <c r="AH1462" s="7" t="str">
        <f t="shared" si="199"/>
        <v/>
      </c>
      <c r="AI1462" s="7" t="str">
        <f t="shared" si="200"/>
        <v/>
      </c>
      <c r="AJ1462" s="7" t="str">
        <f t="shared" si="201"/>
        <v/>
      </c>
      <c r="AK1462" s="7" t="str">
        <f t="shared" si="202"/>
        <v/>
      </c>
      <c r="AL1462" s="7" t="str">
        <f t="shared" si="203"/>
        <v/>
      </c>
      <c r="AM1462" s="7" t="str">
        <f t="shared" si="204"/>
        <v/>
      </c>
      <c r="AN1462" s="8" t="str">
        <f>IF(C1462="","",COUNTIF($C$2:C1462,C1462))</f>
        <v/>
      </c>
      <c r="AO1462" s="8" t="str">
        <f t="shared" si="205"/>
        <v/>
      </c>
      <c r="AP1462" s="8" t="str">
        <f>IF(C1462="","",IF(AND(OR([1]Consulta!$C$29="",A1462=[1]Consulta!$C$29),OR([1]Consulta!$E$29="",B1462=[1]Consulta!$E$29),OR([1]Consulta!$G$29="",D1462=[1]Consulta!$G$29,R1462=[1]Consulta!$G$29)),ROW()-1,""))</f>
        <v/>
      </c>
    </row>
    <row r="1463" spans="1:42" ht="15" customHeight="1" x14ac:dyDescent="0.25">
      <c r="A1463" s="7"/>
      <c r="B1463" s="7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 t="str">
        <f t="shared" si="198"/>
        <v/>
      </c>
      <c r="AG1463" s="7" t="str">
        <f t="shared" si="206"/>
        <v/>
      </c>
      <c r="AH1463" s="7" t="str">
        <f t="shared" si="199"/>
        <v/>
      </c>
      <c r="AI1463" s="7" t="str">
        <f t="shared" si="200"/>
        <v/>
      </c>
      <c r="AJ1463" s="7" t="str">
        <f t="shared" si="201"/>
        <v/>
      </c>
      <c r="AK1463" s="7" t="str">
        <f t="shared" si="202"/>
        <v/>
      </c>
      <c r="AL1463" s="7" t="str">
        <f t="shared" si="203"/>
        <v/>
      </c>
      <c r="AM1463" s="7" t="str">
        <f t="shared" si="204"/>
        <v/>
      </c>
      <c r="AN1463" s="8" t="str">
        <f>IF(C1463="","",COUNTIF($C$2:C1463,C1463))</f>
        <v/>
      </c>
      <c r="AO1463" s="8" t="str">
        <f t="shared" si="205"/>
        <v/>
      </c>
      <c r="AP1463" s="8" t="str">
        <f>IF(C1463="","",IF(AND(OR([1]Consulta!$C$29="",A1463=[1]Consulta!$C$29),OR([1]Consulta!$E$29="",B1463=[1]Consulta!$E$29),OR([1]Consulta!$G$29="",D1463=[1]Consulta!$G$29,R1463=[1]Consulta!$G$29)),ROW()-1,""))</f>
        <v/>
      </c>
    </row>
    <row r="1464" spans="1:42" ht="15" customHeight="1" x14ac:dyDescent="0.25">
      <c r="A1464" s="7"/>
      <c r="B1464" s="7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 t="str">
        <f t="shared" si="198"/>
        <v/>
      </c>
      <c r="AG1464" s="7" t="str">
        <f t="shared" si="206"/>
        <v/>
      </c>
      <c r="AH1464" s="7" t="str">
        <f t="shared" si="199"/>
        <v/>
      </c>
      <c r="AI1464" s="7" t="str">
        <f t="shared" si="200"/>
        <v/>
      </c>
      <c r="AJ1464" s="7" t="str">
        <f t="shared" si="201"/>
        <v/>
      </c>
      <c r="AK1464" s="7" t="str">
        <f t="shared" si="202"/>
        <v/>
      </c>
      <c r="AL1464" s="7" t="str">
        <f t="shared" si="203"/>
        <v/>
      </c>
      <c r="AM1464" s="7" t="str">
        <f t="shared" si="204"/>
        <v/>
      </c>
      <c r="AN1464" s="8" t="str">
        <f>IF(C1464="","",COUNTIF($C$2:C1464,C1464))</f>
        <v/>
      </c>
      <c r="AO1464" s="8" t="str">
        <f t="shared" si="205"/>
        <v/>
      </c>
      <c r="AP1464" s="8" t="str">
        <f>IF(C1464="","",IF(AND(OR([1]Consulta!$C$29="",A1464=[1]Consulta!$C$29),OR([1]Consulta!$E$29="",B1464=[1]Consulta!$E$29),OR([1]Consulta!$G$29="",D1464=[1]Consulta!$G$29,R1464=[1]Consulta!$G$29)),ROW()-1,""))</f>
        <v/>
      </c>
    </row>
    <row r="1465" spans="1:42" ht="15" customHeight="1" x14ac:dyDescent="0.25">
      <c r="A1465" s="7"/>
      <c r="B1465" s="7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 t="str">
        <f t="shared" si="198"/>
        <v/>
      </c>
      <c r="AG1465" s="7" t="str">
        <f t="shared" si="206"/>
        <v/>
      </c>
      <c r="AH1465" s="7" t="str">
        <f t="shared" si="199"/>
        <v/>
      </c>
      <c r="AI1465" s="7" t="str">
        <f t="shared" si="200"/>
        <v/>
      </c>
      <c r="AJ1465" s="7" t="str">
        <f t="shared" si="201"/>
        <v/>
      </c>
      <c r="AK1465" s="7" t="str">
        <f t="shared" si="202"/>
        <v/>
      </c>
      <c r="AL1465" s="7" t="str">
        <f t="shared" si="203"/>
        <v/>
      </c>
      <c r="AM1465" s="7" t="str">
        <f t="shared" si="204"/>
        <v/>
      </c>
      <c r="AN1465" s="8" t="str">
        <f>IF(C1465="","",COUNTIF($C$2:C1465,C1465))</f>
        <v/>
      </c>
      <c r="AO1465" s="8" t="str">
        <f t="shared" si="205"/>
        <v/>
      </c>
      <c r="AP1465" s="8" t="str">
        <f>IF(C1465="","",IF(AND(OR([1]Consulta!$C$29="",A1465=[1]Consulta!$C$29),OR([1]Consulta!$E$29="",B1465=[1]Consulta!$E$29),OR([1]Consulta!$G$29="",D1465=[1]Consulta!$G$29,R1465=[1]Consulta!$G$29)),ROW()-1,""))</f>
        <v/>
      </c>
    </row>
    <row r="1466" spans="1:42" ht="15" customHeight="1" x14ac:dyDescent="0.25">
      <c r="A1466" s="7"/>
      <c r="B1466" s="7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 t="str">
        <f t="shared" si="198"/>
        <v/>
      </c>
      <c r="AG1466" s="7" t="str">
        <f t="shared" si="206"/>
        <v/>
      </c>
      <c r="AH1466" s="7" t="str">
        <f t="shared" si="199"/>
        <v/>
      </c>
      <c r="AI1466" s="7" t="str">
        <f t="shared" si="200"/>
        <v/>
      </c>
      <c r="AJ1466" s="7" t="str">
        <f t="shared" si="201"/>
        <v/>
      </c>
      <c r="AK1466" s="7" t="str">
        <f t="shared" si="202"/>
        <v/>
      </c>
      <c r="AL1466" s="7" t="str">
        <f t="shared" si="203"/>
        <v/>
      </c>
      <c r="AM1466" s="7" t="str">
        <f t="shared" si="204"/>
        <v/>
      </c>
      <c r="AN1466" s="8" t="str">
        <f>IF(C1466="","",COUNTIF($C$2:C1466,C1466))</f>
        <v/>
      </c>
      <c r="AO1466" s="8" t="str">
        <f t="shared" si="205"/>
        <v/>
      </c>
      <c r="AP1466" s="8" t="str">
        <f>IF(C1466="","",IF(AND(OR([1]Consulta!$C$29="",A1466=[1]Consulta!$C$29),OR([1]Consulta!$E$29="",B1466=[1]Consulta!$E$29),OR([1]Consulta!$G$29="",D1466=[1]Consulta!$G$29,R1466=[1]Consulta!$G$29)),ROW()-1,""))</f>
        <v/>
      </c>
    </row>
    <row r="1467" spans="1:42" ht="15" customHeight="1" x14ac:dyDescent="0.25">
      <c r="A1467" s="7"/>
      <c r="B1467" s="7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 t="str">
        <f t="shared" si="198"/>
        <v/>
      </c>
      <c r="AG1467" s="7" t="str">
        <f t="shared" si="206"/>
        <v/>
      </c>
      <c r="AH1467" s="7" t="str">
        <f t="shared" si="199"/>
        <v/>
      </c>
      <c r="AI1467" s="7" t="str">
        <f t="shared" si="200"/>
        <v/>
      </c>
      <c r="AJ1467" s="7" t="str">
        <f t="shared" si="201"/>
        <v/>
      </c>
      <c r="AK1467" s="7" t="str">
        <f t="shared" si="202"/>
        <v/>
      </c>
      <c r="AL1467" s="7" t="str">
        <f t="shared" si="203"/>
        <v/>
      </c>
      <c r="AM1467" s="7" t="str">
        <f t="shared" si="204"/>
        <v/>
      </c>
      <c r="AN1467" s="8" t="str">
        <f>IF(C1467="","",COUNTIF($C$2:C1467,C1467))</f>
        <v/>
      </c>
      <c r="AO1467" s="8" t="str">
        <f t="shared" si="205"/>
        <v/>
      </c>
      <c r="AP1467" s="8" t="str">
        <f>IF(C1467="","",IF(AND(OR([1]Consulta!$C$29="",A1467=[1]Consulta!$C$29),OR([1]Consulta!$E$29="",B1467=[1]Consulta!$E$29),OR([1]Consulta!$G$29="",D1467=[1]Consulta!$G$29,R1467=[1]Consulta!$G$29)),ROW()-1,""))</f>
        <v/>
      </c>
    </row>
    <row r="1468" spans="1:42" ht="15" customHeight="1" x14ac:dyDescent="0.25">
      <c r="A1468" s="7"/>
      <c r="B1468" s="7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 t="str">
        <f t="shared" si="198"/>
        <v/>
      </c>
      <c r="AG1468" s="7" t="str">
        <f t="shared" si="206"/>
        <v/>
      </c>
      <c r="AH1468" s="7" t="str">
        <f t="shared" si="199"/>
        <v/>
      </c>
      <c r="AI1468" s="7" t="str">
        <f t="shared" si="200"/>
        <v/>
      </c>
      <c r="AJ1468" s="7" t="str">
        <f t="shared" si="201"/>
        <v/>
      </c>
      <c r="AK1468" s="7" t="str">
        <f t="shared" si="202"/>
        <v/>
      </c>
      <c r="AL1468" s="7" t="str">
        <f t="shared" si="203"/>
        <v/>
      </c>
      <c r="AM1468" s="7" t="str">
        <f t="shared" si="204"/>
        <v/>
      </c>
      <c r="AN1468" s="8" t="str">
        <f>IF(C1468="","",COUNTIF($C$2:C1468,C1468))</f>
        <v/>
      </c>
      <c r="AO1468" s="8" t="str">
        <f t="shared" si="205"/>
        <v/>
      </c>
      <c r="AP1468" s="8" t="str">
        <f>IF(C1468="","",IF(AND(OR([1]Consulta!$C$29="",A1468=[1]Consulta!$C$29),OR([1]Consulta!$E$29="",B1468=[1]Consulta!$E$29),OR([1]Consulta!$G$29="",D1468=[1]Consulta!$G$29,R1468=[1]Consulta!$G$29)),ROW()-1,""))</f>
        <v/>
      </c>
    </row>
    <row r="1469" spans="1:42" ht="15" customHeight="1" x14ac:dyDescent="0.25">
      <c r="A1469" s="7"/>
      <c r="B1469" s="7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 t="str">
        <f t="shared" si="198"/>
        <v/>
      </c>
      <c r="AG1469" s="7" t="str">
        <f t="shared" si="206"/>
        <v/>
      </c>
      <c r="AH1469" s="7" t="str">
        <f t="shared" si="199"/>
        <v/>
      </c>
      <c r="AI1469" s="7" t="str">
        <f t="shared" si="200"/>
        <v/>
      </c>
      <c r="AJ1469" s="7" t="str">
        <f t="shared" si="201"/>
        <v/>
      </c>
      <c r="AK1469" s="7" t="str">
        <f t="shared" si="202"/>
        <v/>
      </c>
      <c r="AL1469" s="7" t="str">
        <f t="shared" si="203"/>
        <v/>
      </c>
      <c r="AM1469" s="7" t="str">
        <f t="shared" si="204"/>
        <v/>
      </c>
      <c r="AN1469" s="8" t="str">
        <f>IF(C1469="","",COUNTIF($C$2:C1469,C1469))</f>
        <v/>
      </c>
      <c r="AO1469" s="8" t="str">
        <f t="shared" si="205"/>
        <v/>
      </c>
      <c r="AP1469" s="8" t="str">
        <f>IF(C1469="","",IF(AND(OR([1]Consulta!$C$29="",A1469=[1]Consulta!$C$29),OR([1]Consulta!$E$29="",B1469=[1]Consulta!$E$29),OR([1]Consulta!$G$29="",D1469=[1]Consulta!$G$29,R1469=[1]Consulta!$G$29)),ROW()-1,""))</f>
        <v/>
      </c>
    </row>
    <row r="1470" spans="1:42" ht="15" customHeight="1" x14ac:dyDescent="0.25">
      <c r="A1470" s="7"/>
      <c r="B1470" s="7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 t="str">
        <f t="shared" si="198"/>
        <v/>
      </c>
      <c r="AG1470" s="7" t="str">
        <f t="shared" si="206"/>
        <v/>
      </c>
      <c r="AH1470" s="7" t="str">
        <f t="shared" si="199"/>
        <v/>
      </c>
      <c r="AI1470" s="7" t="str">
        <f t="shared" si="200"/>
        <v/>
      </c>
      <c r="AJ1470" s="7" t="str">
        <f t="shared" si="201"/>
        <v/>
      </c>
      <c r="AK1470" s="7" t="str">
        <f t="shared" si="202"/>
        <v/>
      </c>
      <c r="AL1470" s="7" t="str">
        <f t="shared" si="203"/>
        <v/>
      </c>
      <c r="AM1470" s="7" t="str">
        <f t="shared" si="204"/>
        <v/>
      </c>
      <c r="AN1470" s="8" t="str">
        <f>IF(C1470="","",COUNTIF($C$2:C1470,C1470))</f>
        <v/>
      </c>
      <c r="AO1470" s="8" t="str">
        <f t="shared" si="205"/>
        <v/>
      </c>
      <c r="AP1470" s="8" t="str">
        <f>IF(C1470="","",IF(AND(OR([1]Consulta!$C$29="",A1470=[1]Consulta!$C$29),OR([1]Consulta!$E$29="",B1470=[1]Consulta!$E$29),OR([1]Consulta!$G$29="",D1470=[1]Consulta!$G$29,R1470=[1]Consulta!$G$29)),ROW()-1,""))</f>
        <v/>
      </c>
    </row>
    <row r="1471" spans="1:42" ht="15" customHeight="1" x14ac:dyDescent="0.25">
      <c r="A1471" s="7"/>
      <c r="B1471" s="7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 t="str">
        <f t="shared" si="198"/>
        <v/>
      </c>
      <c r="AG1471" s="7" t="str">
        <f t="shared" si="206"/>
        <v/>
      </c>
      <c r="AH1471" s="7" t="str">
        <f t="shared" si="199"/>
        <v/>
      </c>
      <c r="AI1471" s="7" t="str">
        <f t="shared" si="200"/>
        <v/>
      </c>
      <c r="AJ1471" s="7" t="str">
        <f t="shared" si="201"/>
        <v/>
      </c>
      <c r="AK1471" s="7" t="str">
        <f t="shared" si="202"/>
        <v/>
      </c>
      <c r="AL1471" s="7" t="str">
        <f t="shared" si="203"/>
        <v/>
      </c>
      <c r="AM1471" s="7" t="str">
        <f t="shared" si="204"/>
        <v/>
      </c>
      <c r="AN1471" s="8" t="str">
        <f>IF(C1471="","",COUNTIF($C$2:C1471,C1471))</f>
        <v/>
      </c>
      <c r="AO1471" s="8" t="str">
        <f t="shared" si="205"/>
        <v/>
      </c>
      <c r="AP1471" s="8" t="str">
        <f>IF(C1471="","",IF(AND(OR([1]Consulta!$C$29="",A1471=[1]Consulta!$C$29),OR([1]Consulta!$E$29="",B1471=[1]Consulta!$E$29),OR([1]Consulta!$G$29="",D1471=[1]Consulta!$G$29,R1471=[1]Consulta!$G$29)),ROW()-1,""))</f>
        <v/>
      </c>
    </row>
    <row r="1472" spans="1:42" ht="15" customHeight="1" x14ac:dyDescent="0.25">
      <c r="A1472" s="7"/>
      <c r="B1472" s="7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 t="str">
        <f t="shared" si="198"/>
        <v/>
      </c>
      <c r="AG1472" s="7" t="str">
        <f t="shared" si="206"/>
        <v/>
      </c>
      <c r="AH1472" s="7" t="str">
        <f t="shared" si="199"/>
        <v/>
      </c>
      <c r="AI1472" s="7" t="str">
        <f t="shared" si="200"/>
        <v/>
      </c>
      <c r="AJ1472" s="7" t="str">
        <f t="shared" si="201"/>
        <v/>
      </c>
      <c r="AK1472" s="7" t="str">
        <f t="shared" si="202"/>
        <v/>
      </c>
      <c r="AL1472" s="7" t="str">
        <f t="shared" si="203"/>
        <v/>
      </c>
      <c r="AM1472" s="7" t="str">
        <f t="shared" si="204"/>
        <v/>
      </c>
      <c r="AN1472" s="8" t="str">
        <f>IF(C1472="","",COUNTIF($C$2:C1472,C1472))</f>
        <v/>
      </c>
      <c r="AO1472" s="8" t="str">
        <f t="shared" si="205"/>
        <v/>
      </c>
      <c r="AP1472" s="8" t="str">
        <f>IF(C1472="","",IF(AND(OR([1]Consulta!$C$29="",A1472=[1]Consulta!$C$29),OR([1]Consulta!$E$29="",B1472=[1]Consulta!$E$29),OR([1]Consulta!$G$29="",D1472=[1]Consulta!$G$29,R1472=[1]Consulta!$G$29)),ROW()-1,""))</f>
        <v/>
      </c>
    </row>
    <row r="1473" spans="1:42" ht="15" customHeight="1" x14ac:dyDescent="0.25">
      <c r="A1473" s="7"/>
      <c r="B1473" s="7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 t="str">
        <f t="shared" si="198"/>
        <v/>
      </c>
      <c r="AG1473" s="7" t="str">
        <f t="shared" si="206"/>
        <v/>
      </c>
      <c r="AH1473" s="7" t="str">
        <f t="shared" si="199"/>
        <v/>
      </c>
      <c r="AI1473" s="7" t="str">
        <f t="shared" si="200"/>
        <v/>
      </c>
      <c r="AJ1473" s="7" t="str">
        <f t="shared" si="201"/>
        <v/>
      </c>
      <c r="AK1473" s="7" t="str">
        <f t="shared" si="202"/>
        <v/>
      </c>
      <c r="AL1473" s="7" t="str">
        <f t="shared" si="203"/>
        <v/>
      </c>
      <c r="AM1473" s="7" t="str">
        <f t="shared" si="204"/>
        <v/>
      </c>
      <c r="AN1473" s="8" t="str">
        <f>IF(C1473="","",COUNTIF($C$2:C1473,C1473))</f>
        <v/>
      </c>
      <c r="AO1473" s="8" t="str">
        <f t="shared" si="205"/>
        <v/>
      </c>
      <c r="AP1473" s="8" t="str">
        <f>IF(C1473="","",IF(AND(OR([1]Consulta!$C$29="",A1473=[1]Consulta!$C$29),OR([1]Consulta!$E$29="",B1473=[1]Consulta!$E$29),OR([1]Consulta!$G$29="",D1473=[1]Consulta!$G$29,R1473=[1]Consulta!$G$29)),ROW()-1,""))</f>
        <v/>
      </c>
    </row>
    <row r="1474" spans="1:42" ht="15" customHeight="1" x14ac:dyDescent="0.25">
      <c r="A1474" s="7"/>
      <c r="B1474" s="7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 t="str">
        <f t="shared" ref="AF1474:AF1500" si="207">IF(C1474="","",IF(AND(ISNUMBER(K1474),ISNUMBER(L1474)),K1474-L1474,""))</f>
        <v/>
      </c>
      <c r="AG1474" s="7" t="str">
        <f t="shared" si="206"/>
        <v/>
      </c>
      <c r="AH1474" s="7" t="str">
        <f t="shared" ref="AH1474:AH1500" si="208">IF(C1474="","",IF(AND(ISNUMBER(Y1474),ISNUMBER(Z1474)),Y1474-Z1474,""))</f>
        <v/>
      </c>
      <c r="AI1474" s="7" t="str">
        <f t="shared" ref="AI1474:AI1500" si="209">IF(C1474="","",IF(AH1474="","N/A",IF(AH1474&lt;0,"ALARMA","OK")))</f>
        <v/>
      </c>
      <c r="AJ1474" s="7" t="str">
        <f t="shared" ref="AJ1474:AJ1500" si="210">IF(C1474="","",IF(ISNUMBER(M1474),IF(M1474&gt;0,"CON ERRORES","OK"),"N/A"))</f>
        <v/>
      </c>
      <c r="AK1474" s="7" t="str">
        <f t="shared" ref="AK1474:AK1500" si="211">IF(C1474="","",IF(ISNUMBER(AA1474),IF(AA1474&gt;0,"CON ERRORES","OK"),"N/A"))</f>
        <v/>
      </c>
      <c r="AL1474" s="7" t="str">
        <f t="shared" ref="AL1474:AL1500" si="212">IF(C1474="","",IF(OR(AG1474="ALARMA",AI1474="ALARMA",AJ1474="CON ERRORES",AK1474="CON ERRORES"),"REVISAR","OK"))</f>
        <v/>
      </c>
      <c r="AM1474" s="7" t="str">
        <f t="shared" ref="AM1474:AM1500" si="213">IF(C1474="","",IF(ISNUMBER(Q1474),Q1474,IF(ISNUMBER(AE1474),AE1474,"Ver detalle")))</f>
        <v/>
      </c>
      <c r="AN1474" s="8" t="str">
        <f>IF(C1474="","",COUNTIF($C$2:C1474,C1474))</f>
        <v/>
      </c>
      <c r="AO1474" s="8" t="str">
        <f t="shared" ref="AO1474:AO1500" si="214">IF(C1474="","",C1474&amp;"|"&amp;AN1474)</f>
        <v/>
      </c>
      <c r="AP1474" s="8" t="str">
        <f>IF(C1474="","",IF(AND(OR([1]Consulta!$C$29="",A1474=[1]Consulta!$C$29),OR([1]Consulta!$E$29="",B1474=[1]Consulta!$E$29),OR([1]Consulta!$G$29="",D1474=[1]Consulta!$G$29,R1474=[1]Consulta!$G$29)),ROW()-1,""))</f>
        <v/>
      </c>
    </row>
    <row r="1475" spans="1:42" ht="15" customHeight="1" x14ac:dyDescent="0.25">
      <c r="A1475" s="7"/>
      <c r="B1475" s="7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 t="str">
        <f t="shared" si="207"/>
        <v/>
      </c>
      <c r="AG1475" s="7" t="str">
        <f t="shared" ref="AG1475:AG1500" si="215">IF(C1475="","",IF(AF1475="","N/A",IF(AF1475&lt;0,"ALARMA","OK")))</f>
        <v/>
      </c>
      <c r="AH1475" s="7" t="str">
        <f t="shared" si="208"/>
        <v/>
      </c>
      <c r="AI1475" s="7" t="str">
        <f t="shared" si="209"/>
        <v/>
      </c>
      <c r="AJ1475" s="7" t="str">
        <f t="shared" si="210"/>
        <v/>
      </c>
      <c r="AK1475" s="7" t="str">
        <f t="shared" si="211"/>
        <v/>
      </c>
      <c r="AL1475" s="7" t="str">
        <f t="shared" si="212"/>
        <v/>
      </c>
      <c r="AM1475" s="7" t="str">
        <f t="shared" si="213"/>
        <v/>
      </c>
      <c r="AN1475" s="8" t="str">
        <f>IF(C1475="","",COUNTIF($C$2:C1475,C1475))</f>
        <v/>
      </c>
      <c r="AO1475" s="8" t="str">
        <f t="shared" si="214"/>
        <v/>
      </c>
      <c r="AP1475" s="8" t="str">
        <f>IF(C1475="","",IF(AND(OR([1]Consulta!$C$29="",A1475=[1]Consulta!$C$29),OR([1]Consulta!$E$29="",B1475=[1]Consulta!$E$29),OR([1]Consulta!$G$29="",D1475=[1]Consulta!$G$29,R1475=[1]Consulta!$G$29)),ROW()-1,""))</f>
        <v/>
      </c>
    </row>
    <row r="1476" spans="1:42" ht="15" customHeight="1" x14ac:dyDescent="0.25">
      <c r="A1476" s="7"/>
      <c r="B1476" s="7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 t="str">
        <f t="shared" si="207"/>
        <v/>
      </c>
      <c r="AG1476" s="7" t="str">
        <f t="shared" si="215"/>
        <v/>
      </c>
      <c r="AH1476" s="7" t="str">
        <f t="shared" si="208"/>
        <v/>
      </c>
      <c r="AI1476" s="7" t="str">
        <f t="shared" si="209"/>
        <v/>
      </c>
      <c r="AJ1476" s="7" t="str">
        <f t="shared" si="210"/>
        <v/>
      </c>
      <c r="AK1476" s="7" t="str">
        <f t="shared" si="211"/>
        <v/>
      </c>
      <c r="AL1476" s="7" t="str">
        <f t="shared" si="212"/>
        <v/>
      </c>
      <c r="AM1476" s="7" t="str">
        <f t="shared" si="213"/>
        <v/>
      </c>
      <c r="AN1476" s="8" t="str">
        <f>IF(C1476="","",COUNTIF($C$2:C1476,C1476))</f>
        <v/>
      </c>
      <c r="AO1476" s="8" t="str">
        <f t="shared" si="214"/>
        <v/>
      </c>
      <c r="AP1476" s="8" t="str">
        <f>IF(C1476="","",IF(AND(OR([1]Consulta!$C$29="",A1476=[1]Consulta!$C$29),OR([1]Consulta!$E$29="",B1476=[1]Consulta!$E$29),OR([1]Consulta!$G$29="",D1476=[1]Consulta!$G$29,R1476=[1]Consulta!$G$29)),ROW()-1,""))</f>
        <v/>
      </c>
    </row>
    <row r="1477" spans="1:42" ht="15" customHeight="1" x14ac:dyDescent="0.25">
      <c r="A1477" s="7"/>
      <c r="B1477" s="7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 t="str">
        <f t="shared" si="207"/>
        <v/>
      </c>
      <c r="AG1477" s="7" t="str">
        <f t="shared" si="215"/>
        <v/>
      </c>
      <c r="AH1477" s="7" t="str">
        <f t="shared" si="208"/>
        <v/>
      </c>
      <c r="AI1477" s="7" t="str">
        <f t="shared" si="209"/>
        <v/>
      </c>
      <c r="AJ1477" s="7" t="str">
        <f t="shared" si="210"/>
        <v/>
      </c>
      <c r="AK1477" s="7" t="str">
        <f t="shared" si="211"/>
        <v/>
      </c>
      <c r="AL1477" s="7" t="str">
        <f t="shared" si="212"/>
        <v/>
      </c>
      <c r="AM1477" s="7" t="str">
        <f t="shared" si="213"/>
        <v/>
      </c>
      <c r="AN1477" s="8" t="str">
        <f>IF(C1477="","",COUNTIF($C$2:C1477,C1477))</f>
        <v/>
      </c>
      <c r="AO1477" s="8" t="str">
        <f t="shared" si="214"/>
        <v/>
      </c>
      <c r="AP1477" s="8" t="str">
        <f>IF(C1477="","",IF(AND(OR([1]Consulta!$C$29="",A1477=[1]Consulta!$C$29),OR([1]Consulta!$E$29="",B1477=[1]Consulta!$E$29),OR([1]Consulta!$G$29="",D1477=[1]Consulta!$G$29,R1477=[1]Consulta!$G$29)),ROW()-1,""))</f>
        <v/>
      </c>
    </row>
    <row r="1478" spans="1:42" ht="15" customHeight="1" x14ac:dyDescent="0.25">
      <c r="A1478" s="7"/>
      <c r="B1478" s="7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 t="str">
        <f t="shared" si="207"/>
        <v/>
      </c>
      <c r="AG1478" s="7" t="str">
        <f t="shared" si="215"/>
        <v/>
      </c>
      <c r="AH1478" s="7" t="str">
        <f t="shared" si="208"/>
        <v/>
      </c>
      <c r="AI1478" s="7" t="str">
        <f t="shared" si="209"/>
        <v/>
      </c>
      <c r="AJ1478" s="7" t="str">
        <f t="shared" si="210"/>
        <v/>
      </c>
      <c r="AK1478" s="7" t="str">
        <f t="shared" si="211"/>
        <v/>
      </c>
      <c r="AL1478" s="7" t="str">
        <f t="shared" si="212"/>
        <v/>
      </c>
      <c r="AM1478" s="7" t="str">
        <f t="shared" si="213"/>
        <v/>
      </c>
      <c r="AN1478" s="8" t="str">
        <f>IF(C1478="","",COUNTIF($C$2:C1478,C1478))</f>
        <v/>
      </c>
      <c r="AO1478" s="8" t="str">
        <f t="shared" si="214"/>
        <v/>
      </c>
      <c r="AP1478" s="8" t="str">
        <f>IF(C1478="","",IF(AND(OR([1]Consulta!$C$29="",A1478=[1]Consulta!$C$29),OR([1]Consulta!$E$29="",B1478=[1]Consulta!$E$29),OR([1]Consulta!$G$29="",D1478=[1]Consulta!$G$29,R1478=[1]Consulta!$G$29)),ROW()-1,""))</f>
        <v/>
      </c>
    </row>
    <row r="1479" spans="1:42" ht="15" customHeight="1" x14ac:dyDescent="0.25">
      <c r="A1479" s="7"/>
      <c r="B1479" s="7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 t="str">
        <f t="shared" si="207"/>
        <v/>
      </c>
      <c r="AG1479" s="7" t="str">
        <f t="shared" si="215"/>
        <v/>
      </c>
      <c r="AH1479" s="7" t="str">
        <f t="shared" si="208"/>
        <v/>
      </c>
      <c r="AI1479" s="7" t="str">
        <f t="shared" si="209"/>
        <v/>
      </c>
      <c r="AJ1479" s="7" t="str">
        <f t="shared" si="210"/>
        <v/>
      </c>
      <c r="AK1479" s="7" t="str">
        <f t="shared" si="211"/>
        <v/>
      </c>
      <c r="AL1479" s="7" t="str">
        <f t="shared" si="212"/>
        <v/>
      </c>
      <c r="AM1479" s="7" t="str">
        <f t="shared" si="213"/>
        <v/>
      </c>
      <c r="AN1479" s="8" t="str">
        <f>IF(C1479="","",COUNTIF($C$2:C1479,C1479))</f>
        <v/>
      </c>
      <c r="AO1479" s="8" t="str">
        <f t="shared" si="214"/>
        <v/>
      </c>
      <c r="AP1479" s="8" t="str">
        <f>IF(C1479="","",IF(AND(OR([1]Consulta!$C$29="",A1479=[1]Consulta!$C$29),OR([1]Consulta!$E$29="",B1479=[1]Consulta!$E$29),OR([1]Consulta!$G$29="",D1479=[1]Consulta!$G$29,R1479=[1]Consulta!$G$29)),ROW()-1,""))</f>
        <v/>
      </c>
    </row>
    <row r="1480" spans="1:42" ht="15" customHeight="1" x14ac:dyDescent="0.25">
      <c r="A1480" s="7"/>
      <c r="B1480" s="7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 t="str">
        <f t="shared" si="207"/>
        <v/>
      </c>
      <c r="AG1480" s="7" t="str">
        <f t="shared" si="215"/>
        <v/>
      </c>
      <c r="AH1480" s="7" t="str">
        <f t="shared" si="208"/>
        <v/>
      </c>
      <c r="AI1480" s="7" t="str">
        <f t="shared" si="209"/>
        <v/>
      </c>
      <c r="AJ1480" s="7" t="str">
        <f t="shared" si="210"/>
        <v/>
      </c>
      <c r="AK1480" s="7" t="str">
        <f t="shared" si="211"/>
        <v/>
      </c>
      <c r="AL1480" s="7" t="str">
        <f t="shared" si="212"/>
        <v/>
      </c>
      <c r="AM1480" s="7" t="str">
        <f t="shared" si="213"/>
        <v/>
      </c>
      <c r="AN1480" s="8" t="str">
        <f>IF(C1480="","",COUNTIF($C$2:C1480,C1480))</f>
        <v/>
      </c>
      <c r="AO1480" s="8" t="str">
        <f t="shared" si="214"/>
        <v/>
      </c>
      <c r="AP1480" s="8" t="str">
        <f>IF(C1480="","",IF(AND(OR([1]Consulta!$C$29="",A1480=[1]Consulta!$C$29),OR([1]Consulta!$E$29="",B1480=[1]Consulta!$E$29),OR([1]Consulta!$G$29="",D1480=[1]Consulta!$G$29,R1480=[1]Consulta!$G$29)),ROW()-1,""))</f>
        <v/>
      </c>
    </row>
    <row r="1481" spans="1:42" ht="15" customHeight="1" x14ac:dyDescent="0.25">
      <c r="A1481" s="7"/>
      <c r="B1481" s="7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 t="str">
        <f t="shared" si="207"/>
        <v/>
      </c>
      <c r="AG1481" s="7" t="str">
        <f t="shared" si="215"/>
        <v/>
      </c>
      <c r="AH1481" s="7" t="str">
        <f t="shared" si="208"/>
        <v/>
      </c>
      <c r="AI1481" s="7" t="str">
        <f t="shared" si="209"/>
        <v/>
      </c>
      <c r="AJ1481" s="7" t="str">
        <f t="shared" si="210"/>
        <v/>
      </c>
      <c r="AK1481" s="7" t="str">
        <f t="shared" si="211"/>
        <v/>
      </c>
      <c r="AL1481" s="7" t="str">
        <f t="shared" si="212"/>
        <v/>
      </c>
      <c r="AM1481" s="7" t="str">
        <f t="shared" si="213"/>
        <v/>
      </c>
      <c r="AN1481" s="8" t="str">
        <f>IF(C1481="","",COUNTIF($C$2:C1481,C1481))</f>
        <v/>
      </c>
      <c r="AO1481" s="8" t="str">
        <f t="shared" si="214"/>
        <v/>
      </c>
      <c r="AP1481" s="8" t="str">
        <f>IF(C1481="","",IF(AND(OR([1]Consulta!$C$29="",A1481=[1]Consulta!$C$29),OR([1]Consulta!$E$29="",B1481=[1]Consulta!$E$29),OR([1]Consulta!$G$29="",D1481=[1]Consulta!$G$29,R1481=[1]Consulta!$G$29)),ROW()-1,""))</f>
        <v/>
      </c>
    </row>
    <row r="1482" spans="1:42" ht="15" customHeight="1" x14ac:dyDescent="0.25">
      <c r="A1482" s="7"/>
      <c r="B1482" s="7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 t="str">
        <f t="shared" si="207"/>
        <v/>
      </c>
      <c r="AG1482" s="7" t="str">
        <f t="shared" si="215"/>
        <v/>
      </c>
      <c r="AH1482" s="7" t="str">
        <f t="shared" si="208"/>
        <v/>
      </c>
      <c r="AI1482" s="7" t="str">
        <f t="shared" si="209"/>
        <v/>
      </c>
      <c r="AJ1482" s="7" t="str">
        <f t="shared" si="210"/>
        <v/>
      </c>
      <c r="AK1482" s="7" t="str">
        <f t="shared" si="211"/>
        <v/>
      </c>
      <c r="AL1482" s="7" t="str">
        <f t="shared" si="212"/>
        <v/>
      </c>
      <c r="AM1482" s="7" t="str">
        <f t="shared" si="213"/>
        <v/>
      </c>
      <c r="AN1482" s="8" t="str">
        <f>IF(C1482="","",COUNTIF($C$2:C1482,C1482))</f>
        <v/>
      </c>
      <c r="AO1482" s="8" t="str">
        <f t="shared" si="214"/>
        <v/>
      </c>
      <c r="AP1482" s="8" t="str">
        <f>IF(C1482="","",IF(AND(OR([1]Consulta!$C$29="",A1482=[1]Consulta!$C$29),OR([1]Consulta!$E$29="",B1482=[1]Consulta!$E$29),OR([1]Consulta!$G$29="",D1482=[1]Consulta!$G$29,R1482=[1]Consulta!$G$29)),ROW()-1,""))</f>
        <v/>
      </c>
    </row>
    <row r="1483" spans="1:42" ht="15" customHeight="1" x14ac:dyDescent="0.25">
      <c r="A1483" s="7"/>
      <c r="B1483" s="7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 t="str">
        <f t="shared" si="207"/>
        <v/>
      </c>
      <c r="AG1483" s="7" t="str">
        <f t="shared" si="215"/>
        <v/>
      </c>
      <c r="AH1483" s="7" t="str">
        <f t="shared" si="208"/>
        <v/>
      </c>
      <c r="AI1483" s="7" t="str">
        <f t="shared" si="209"/>
        <v/>
      </c>
      <c r="AJ1483" s="7" t="str">
        <f t="shared" si="210"/>
        <v/>
      </c>
      <c r="AK1483" s="7" t="str">
        <f t="shared" si="211"/>
        <v/>
      </c>
      <c r="AL1483" s="7" t="str">
        <f t="shared" si="212"/>
        <v/>
      </c>
      <c r="AM1483" s="7" t="str">
        <f t="shared" si="213"/>
        <v/>
      </c>
      <c r="AN1483" s="8" t="str">
        <f>IF(C1483="","",COUNTIF($C$2:C1483,C1483))</f>
        <v/>
      </c>
      <c r="AO1483" s="8" t="str">
        <f t="shared" si="214"/>
        <v/>
      </c>
      <c r="AP1483" s="8" t="str">
        <f>IF(C1483="","",IF(AND(OR([1]Consulta!$C$29="",A1483=[1]Consulta!$C$29),OR([1]Consulta!$E$29="",B1483=[1]Consulta!$E$29),OR([1]Consulta!$G$29="",D1483=[1]Consulta!$G$29,R1483=[1]Consulta!$G$29)),ROW()-1,""))</f>
        <v/>
      </c>
    </row>
    <row r="1484" spans="1:42" ht="15" customHeight="1" x14ac:dyDescent="0.25">
      <c r="A1484" s="7"/>
      <c r="B1484" s="7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 t="str">
        <f t="shared" si="207"/>
        <v/>
      </c>
      <c r="AG1484" s="7" t="str">
        <f t="shared" si="215"/>
        <v/>
      </c>
      <c r="AH1484" s="7" t="str">
        <f t="shared" si="208"/>
        <v/>
      </c>
      <c r="AI1484" s="7" t="str">
        <f t="shared" si="209"/>
        <v/>
      </c>
      <c r="AJ1484" s="7" t="str">
        <f t="shared" si="210"/>
        <v/>
      </c>
      <c r="AK1484" s="7" t="str">
        <f t="shared" si="211"/>
        <v/>
      </c>
      <c r="AL1484" s="7" t="str">
        <f t="shared" si="212"/>
        <v/>
      </c>
      <c r="AM1484" s="7" t="str">
        <f t="shared" si="213"/>
        <v/>
      </c>
      <c r="AN1484" s="8" t="str">
        <f>IF(C1484="","",COUNTIF($C$2:C1484,C1484))</f>
        <v/>
      </c>
      <c r="AO1484" s="8" t="str">
        <f t="shared" si="214"/>
        <v/>
      </c>
      <c r="AP1484" s="8" t="str">
        <f>IF(C1484="","",IF(AND(OR([1]Consulta!$C$29="",A1484=[1]Consulta!$C$29),OR([1]Consulta!$E$29="",B1484=[1]Consulta!$E$29),OR([1]Consulta!$G$29="",D1484=[1]Consulta!$G$29,R1484=[1]Consulta!$G$29)),ROW()-1,""))</f>
        <v/>
      </c>
    </row>
    <row r="1485" spans="1:42" ht="15" customHeight="1" x14ac:dyDescent="0.25">
      <c r="A1485" s="7"/>
      <c r="B1485" s="7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 t="str">
        <f t="shared" si="207"/>
        <v/>
      </c>
      <c r="AG1485" s="7" t="str">
        <f t="shared" si="215"/>
        <v/>
      </c>
      <c r="AH1485" s="7" t="str">
        <f t="shared" si="208"/>
        <v/>
      </c>
      <c r="AI1485" s="7" t="str">
        <f t="shared" si="209"/>
        <v/>
      </c>
      <c r="AJ1485" s="7" t="str">
        <f t="shared" si="210"/>
        <v/>
      </c>
      <c r="AK1485" s="7" t="str">
        <f t="shared" si="211"/>
        <v/>
      </c>
      <c r="AL1485" s="7" t="str">
        <f t="shared" si="212"/>
        <v/>
      </c>
      <c r="AM1485" s="7" t="str">
        <f t="shared" si="213"/>
        <v/>
      </c>
      <c r="AN1485" s="8" t="str">
        <f>IF(C1485="","",COUNTIF($C$2:C1485,C1485))</f>
        <v/>
      </c>
      <c r="AO1485" s="8" t="str">
        <f t="shared" si="214"/>
        <v/>
      </c>
      <c r="AP1485" s="8" t="str">
        <f>IF(C1485="","",IF(AND(OR([1]Consulta!$C$29="",A1485=[1]Consulta!$C$29),OR([1]Consulta!$E$29="",B1485=[1]Consulta!$E$29),OR([1]Consulta!$G$29="",D1485=[1]Consulta!$G$29,R1485=[1]Consulta!$G$29)),ROW()-1,""))</f>
        <v/>
      </c>
    </row>
    <row r="1486" spans="1:42" ht="15" customHeight="1" x14ac:dyDescent="0.25">
      <c r="A1486" s="7"/>
      <c r="B1486" s="7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 t="str">
        <f t="shared" si="207"/>
        <v/>
      </c>
      <c r="AG1486" s="7" t="str">
        <f t="shared" si="215"/>
        <v/>
      </c>
      <c r="AH1486" s="7" t="str">
        <f t="shared" si="208"/>
        <v/>
      </c>
      <c r="AI1486" s="7" t="str">
        <f t="shared" si="209"/>
        <v/>
      </c>
      <c r="AJ1486" s="7" t="str">
        <f t="shared" si="210"/>
        <v/>
      </c>
      <c r="AK1486" s="7" t="str">
        <f t="shared" si="211"/>
        <v/>
      </c>
      <c r="AL1486" s="7" t="str">
        <f t="shared" si="212"/>
        <v/>
      </c>
      <c r="AM1486" s="7" t="str">
        <f t="shared" si="213"/>
        <v/>
      </c>
      <c r="AN1486" s="8" t="str">
        <f>IF(C1486="","",COUNTIF($C$2:C1486,C1486))</f>
        <v/>
      </c>
      <c r="AO1486" s="8" t="str">
        <f t="shared" si="214"/>
        <v/>
      </c>
      <c r="AP1486" s="8" t="str">
        <f>IF(C1486="","",IF(AND(OR([1]Consulta!$C$29="",A1486=[1]Consulta!$C$29),OR([1]Consulta!$E$29="",B1486=[1]Consulta!$E$29),OR([1]Consulta!$G$29="",D1486=[1]Consulta!$G$29,R1486=[1]Consulta!$G$29)),ROW()-1,""))</f>
        <v/>
      </c>
    </row>
    <row r="1487" spans="1:42" ht="15" customHeight="1" x14ac:dyDescent="0.25">
      <c r="A1487" s="7"/>
      <c r="B1487" s="7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 t="str">
        <f t="shared" si="207"/>
        <v/>
      </c>
      <c r="AG1487" s="7" t="str">
        <f t="shared" si="215"/>
        <v/>
      </c>
      <c r="AH1487" s="7" t="str">
        <f t="shared" si="208"/>
        <v/>
      </c>
      <c r="AI1487" s="7" t="str">
        <f t="shared" si="209"/>
        <v/>
      </c>
      <c r="AJ1487" s="7" t="str">
        <f t="shared" si="210"/>
        <v/>
      </c>
      <c r="AK1487" s="7" t="str">
        <f t="shared" si="211"/>
        <v/>
      </c>
      <c r="AL1487" s="7" t="str">
        <f t="shared" si="212"/>
        <v/>
      </c>
      <c r="AM1487" s="7" t="str">
        <f t="shared" si="213"/>
        <v/>
      </c>
      <c r="AN1487" s="8" t="str">
        <f>IF(C1487="","",COUNTIF($C$2:C1487,C1487))</f>
        <v/>
      </c>
      <c r="AO1487" s="8" t="str">
        <f t="shared" si="214"/>
        <v/>
      </c>
      <c r="AP1487" s="8" t="str">
        <f>IF(C1487="","",IF(AND(OR([1]Consulta!$C$29="",A1487=[1]Consulta!$C$29),OR([1]Consulta!$E$29="",B1487=[1]Consulta!$E$29),OR([1]Consulta!$G$29="",D1487=[1]Consulta!$G$29,R1487=[1]Consulta!$G$29)),ROW()-1,""))</f>
        <v/>
      </c>
    </row>
    <row r="1488" spans="1:42" ht="15" customHeight="1" x14ac:dyDescent="0.25">
      <c r="A1488" s="7"/>
      <c r="B1488" s="7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 t="str">
        <f t="shared" si="207"/>
        <v/>
      </c>
      <c r="AG1488" s="7" t="str">
        <f t="shared" si="215"/>
        <v/>
      </c>
      <c r="AH1488" s="7" t="str">
        <f t="shared" si="208"/>
        <v/>
      </c>
      <c r="AI1488" s="7" t="str">
        <f t="shared" si="209"/>
        <v/>
      </c>
      <c r="AJ1488" s="7" t="str">
        <f t="shared" si="210"/>
        <v/>
      </c>
      <c r="AK1488" s="7" t="str">
        <f t="shared" si="211"/>
        <v/>
      </c>
      <c r="AL1488" s="7" t="str">
        <f t="shared" si="212"/>
        <v/>
      </c>
      <c r="AM1488" s="7" t="str">
        <f t="shared" si="213"/>
        <v/>
      </c>
      <c r="AN1488" s="8" t="str">
        <f>IF(C1488="","",COUNTIF($C$2:C1488,C1488))</f>
        <v/>
      </c>
      <c r="AO1488" s="8" t="str">
        <f t="shared" si="214"/>
        <v/>
      </c>
      <c r="AP1488" s="8" t="str">
        <f>IF(C1488="","",IF(AND(OR([1]Consulta!$C$29="",A1488=[1]Consulta!$C$29),OR([1]Consulta!$E$29="",B1488=[1]Consulta!$E$29),OR([1]Consulta!$G$29="",D1488=[1]Consulta!$G$29,R1488=[1]Consulta!$G$29)),ROW()-1,""))</f>
        <v/>
      </c>
    </row>
    <row r="1489" spans="1:42" ht="15" customHeight="1" x14ac:dyDescent="0.25">
      <c r="A1489" s="7"/>
      <c r="B1489" s="7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 t="str">
        <f t="shared" si="207"/>
        <v/>
      </c>
      <c r="AG1489" s="7" t="str">
        <f t="shared" si="215"/>
        <v/>
      </c>
      <c r="AH1489" s="7" t="str">
        <f t="shared" si="208"/>
        <v/>
      </c>
      <c r="AI1489" s="7" t="str">
        <f t="shared" si="209"/>
        <v/>
      </c>
      <c r="AJ1489" s="7" t="str">
        <f t="shared" si="210"/>
        <v/>
      </c>
      <c r="AK1489" s="7" t="str">
        <f t="shared" si="211"/>
        <v/>
      </c>
      <c r="AL1489" s="7" t="str">
        <f t="shared" si="212"/>
        <v/>
      </c>
      <c r="AM1489" s="7" t="str">
        <f t="shared" si="213"/>
        <v/>
      </c>
      <c r="AN1489" s="8" t="str">
        <f>IF(C1489="","",COUNTIF($C$2:C1489,C1489))</f>
        <v/>
      </c>
      <c r="AO1489" s="8" t="str">
        <f t="shared" si="214"/>
        <v/>
      </c>
      <c r="AP1489" s="8" t="str">
        <f>IF(C1489="","",IF(AND(OR([1]Consulta!$C$29="",A1489=[1]Consulta!$C$29),OR([1]Consulta!$E$29="",B1489=[1]Consulta!$E$29),OR([1]Consulta!$G$29="",D1489=[1]Consulta!$G$29,R1489=[1]Consulta!$G$29)),ROW()-1,""))</f>
        <v/>
      </c>
    </row>
    <row r="1490" spans="1:42" ht="15" customHeight="1" x14ac:dyDescent="0.25">
      <c r="A1490" s="7"/>
      <c r="B1490" s="7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 t="str">
        <f t="shared" si="207"/>
        <v/>
      </c>
      <c r="AG1490" s="7" t="str">
        <f t="shared" si="215"/>
        <v/>
      </c>
      <c r="AH1490" s="7" t="str">
        <f t="shared" si="208"/>
        <v/>
      </c>
      <c r="AI1490" s="7" t="str">
        <f t="shared" si="209"/>
        <v/>
      </c>
      <c r="AJ1490" s="7" t="str">
        <f t="shared" si="210"/>
        <v/>
      </c>
      <c r="AK1490" s="7" t="str">
        <f t="shared" si="211"/>
        <v/>
      </c>
      <c r="AL1490" s="7" t="str">
        <f t="shared" si="212"/>
        <v/>
      </c>
      <c r="AM1490" s="7" t="str">
        <f t="shared" si="213"/>
        <v/>
      </c>
      <c r="AN1490" s="8" t="str">
        <f>IF(C1490="","",COUNTIF($C$2:C1490,C1490))</f>
        <v/>
      </c>
      <c r="AO1490" s="8" t="str">
        <f t="shared" si="214"/>
        <v/>
      </c>
      <c r="AP1490" s="8" t="str">
        <f>IF(C1490="","",IF(AND(OR([1]Consulta!$C$29="",A1490=[1]Consulta!$C$29),OR([1]Consulta!$E$29="",B1490=[1]Consulta!$E$29),OR([1]Consulta!$G$29="",D1490=[1]Consulta!$G$29,R1490=[1]Consulta!$G$29)),ROW()-1,""))</f>
        <v/>
      </c>
    </row>
    <row r="1491" spans="1:42" ht="15" customHeight="1" x14ac:dyDescent="0.25">
      <c r="A1491" s="7"/>
      <c r="B1491" s="7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 t="str">
        <f t="shared" si="207"/>
        <v/>
      </c>
      <c r="AG1491" s="7" t="str">
        <f t="shared" si="215"/>
        <v/>
      </c>
      <c r="AH1491" s="7" t="str">
        <f t="shared" si="208"/>
        <v/>
      </c>
      <c r="AI1491" s="7" t="str">
        <f t="shared" si="209"/>
        <v/>
      </c>
      <c r="AJ1491" s="7" t="str">
        <f t="shared" si="210"/>
        <v/>
      </c>
      <c r="AK1491" s="7" t="str">
        <f t="shared" si="211"/>
        <v/>
      </c>
      <c r="AL1491" s="7" t="str">
        <f t="shared" si="212"/>
        <v/>
      </c>
      <c r="AM1491" s="7" t="str">
        <f t="shared" si="213"/>
        <v/>
      </c>
      <c r="AN1491" s="8" t="str">
        <f>IF(C1491="","",COUNTIF($C$2:C1491,C1491))</f>
        <v/>
      </c>
      <c r="AO1491" s="8" t="str">
        <f t="shared" si="214"/>
        <v/>
      </c>
      <c r="AP1491" s="8" t="str">
        <f>IF(C1491="","",IF(AND(OR([1]Consulta!$C$29="",A1491=[1]Consulta!$C$29),OR([1]Consulta!$E$29="",B1491=[1]Consulta!$E$29),OR([1]Consulta!$G$29="",D1491=[1]Consulta!$G$29,R1491=[1]Consulta!$G$29)),ROW()-1,""))</f>
        <v/>
      </c>
    </row>
    <row r="1492" spans="1:42" ht="15" customHeight="1" x14ac:dyDescent="0.25">
      <c r="A1492" s="7"/>
      <c r="B1492" s="7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 t="str">
        <f t="shared" si="207"/>
        <v/>
      </c>
      <c r="AG1492" s="7" t="str">
        <f t="shared" si="215"/>
        <v/>
      </c>
      <c r="AH1492" s="7" t="str">
        <f t="shared" si="208"/>
        <v/>
      </c>
      <c r="AI1492" s="7" t="str">
        <f t="shared" si="209"/>
        <v/>
      </c>
      <c r="AJ1492" s="7" t="str">
        <f t="shared" si="210"/>
        <v/>
      </c>
      <c r="AK1492" s="7" t="str">
        <f t="shared" si="211"/>
        <v/>
      </c>
      <c r="AL1492" s="7" t="str">
        <f t="shared" si="212"/>
        <v/>
      </c>
      <c r="AM1492" s="7" t="str">
        <f t="shared" si="213"/>
        <v/>
      </c>
      <c r="AN1492" s="8" t="str">
        <f>IF(C1492="","",COUNTIF($C$2:C1492,C1492))</f>
        <v/>
      </c>
      <c r="AO1492" s="8" t="str">
        <f t="shared" si="214"/>
        <v/>
      </c>
      <c r="AP1492" s="8" t="str">
        <f>IF(C1492="","",IF(AND(OR([1]Consulta!$C$29="",A1492=[1]Consulta!$C$29),OR([1]Consulta!$E$29="",B1492=[1]Consulta!$E$29),OR([1]Consulta!$G$29="",D1492=[1]Consulta!$G$29,R1492=[1]Consulta!$G$29)),ROW()-1,""))</f>
        <v/>
      </c>
    </row>
    <row r="1493" spans="1:42" ht="15" customHeight="1" x14ac:dyDescent="0.25">
      <c r="A1493" s="7"/>
      <c r="B1493" s="7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 t="str">
        <f t="shared" si="207"/>
        <v/>
      </c>
      <c r="AG1493" s="7" t="str">
        <f t="shared" si="215"/>
        <v/>
      </c>
      <c r="AH1493" s="7" t="str">
        <f t="shared" si="208"/>
        <v/>
      </c>
      <c r="AI1493" s="7" t="str">
        <f t="shared" si="209"/>
        <v/>
      </c>
      <c r="AJ1493" s="7" t="str">
        <f t="shared" si="210"/>
        <v/>
      </c>
      <c r="AK1493" s="7" t="str">
        <f t="shared" si="211"/>
        <v/>
      </c>
      <c r="AL1493" s="7" t="str">
        <f t="shared" si="212"/>
        <v/>
      </c>
      <c r="AM1493" s="7" t="str">
        <f t="shared" si="213"/>
        <v/>
      </c>
      <c r="AN1493" s="8" t="str">
        <f>IF(C1493="","",COUNTIF($C$2:C1493,C1493))</f>
        <v/>
      </c>
      <c r="AO1493" s="8" t="str">
        <f t="shared" si="214"/>
        <v/>
      </c>
      <c r="AP1493" s="8" t="str">
        <f>IF(C1493="","",IF(AND(OR([1]Consulta!$C$29="",A1493=[1]Consulta!$C$29),OR([1]Consulta!$E$29="",B1493=[1]Consulta!$E$29),OR([1]Consulta!$G$29="",D1493=[1]Consulta!$G$29,R1493=[1]Consulta!$G$29)),ROW()-1,""))</f>
        <v/>
      </c>
    </row>
    <row r="1494" spans="1:42" ht="15" customHeight="1" x14ac:dyDescent="0.25">
      <c r="A1494" s="7"/>
      <c r="B1494" s="7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 t="str">
        <f t="shared" si="207"/>
        <v/>
      </c>
      <c r="AG1494" s="7" t="str">
        <f t="shared" si="215"/>
        <v/>
      </c>
      <c r="AH1494" s="7" t="str">
        <f t="shared" si="208"/>
        <v/>
      </c>
      <c r="AI1494" s="7" t="str">
        <f t="shared" si="209"/>
        <v/>
      </c>
      <c r="AJ1494" s="7" t="str">
        <f t="shared" si="210"/>
        <v/>
      </c>
      <c r="AK1494" s="7" t="str">
        <f t="shared" si="211"/>
        <v/>
      </c>
      <c r="AL1494" s="7" t="str">
        <f t="shared" si="212"/>
        <v/>
      </c>
      <c r="AM1494" s="7" t="str">
        <f t="shared" si="213"/>
        <v/>
      </c>
      <c r="AN1494" s="8" t="str">
        <f>IF(C1494="","",COUNTIF($C$2:C1494,C1494))</f>
        <v/>
      </c>
      <c r="AO1494" s="8" t="str">
        <f t="shared" si="214"/>
        <v/>
      </c>
      <c r="AP1494" s="8" t="str">
        <f>IF(C1494="","",IF(AND(OR([1]Consulta!$C$29="",A1494=[1]Consulta!$C$29),OR([1]Consulta!$E$29="",B1494=[1]Consulta!$E$29),OR([1]Consulta!$G$29="",D1494=[1]Consulta!$G$29,R1494=[1]Consulta!$G$29)),ROW()-1,""))</f>
        <v/>
      </c>
    </row>
    <row r="1495" spans="1:42" ht="15" customHeight="1" x14ac:dyDescent="0.25">
      <c r="A1495" s="7"/>
      <c r="B1495" s="7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 t="str">
        <f t="shared" si="207"/>
        <v/>
      </c>
      <c r="AG1495" s="7" t="str">
        <f t="shared" si="215"/>
        <v/>
      </c>
      <c r="AH1495" s="7" t="str">
        <f t="shared" si="208"/>
        <v/>
      </c>
      <c r="AI1495" s="7" t="str">
        <f t="shared" si="209"/>
        <v/>
      </c>
      <c r="AJ1495" s="7" t="str">
        <f t="shared" si="210"/>
        <v/>
      </c>
      <c r="AK1495" s="7" t="str">
        <f t="shared" si="211"/>
        <v/>
      </c>
      <c r="AL1495" s="7" t="str">
        <f t="shared" si="212"/>
        <v/>
      </c>
      <c r="AM1495" s="7" t="str">
        <f t="shared" si="213"/>
        <v/>
      </c>
      <c r="AN1495" s="8" t="str">
        <f>IF(C1495="","",COUNTIF($C$2:C1495,C1495))</f>
        <v/>
      </c>
      <c r="AO1495" s="8" t="str">
        <f t="shared" si="214"/>
        <v/>
      </c>
      <c r="AP1495" s="8" t="str">
        <f>IF(C1495="","",IF(AND(OR([1]Consulta!$C$29="",A1495=[1]Consulta!$C$29),OR([1]Consulta!$E$29="",B1495=[1]Consulta!$E$29),OR([1]Consulta!$G$29="",D1495=[1]Consulta!$G$29,R1495=[1]Consulta!$G$29)),ROW()-1,""))</f>
        <v/>
      </c>
    </row>
    <row r="1496" spans="1:42" ht="15" customHeight="1" x14ac:dyDescent="0.25">
      <c r="A1496" s="7"/>
      <c r="B1496" s="7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 t="str">
        <f t="shared" si="207"/>
        <v/>
      </c>
      <c r="AG1496" s="7" t="str">
        <f t="shared" si="215"/>
        <v/>
      </c>
      <c r="AH1496" s="7" t="str">
        <f t="shared" si="208"/>
        <v/>
      </c>
      <c r="AI1496" s="7" t="str">
        <f t="shared" si="209"/>
        <v/>
      </c>
      <c r="AJ1496" s="7" t="str">
        <f t="shared" si="210"/>
        <v/>
      </c>
      <c r="AK1496" s="7" t="str">
        <f t="shared" si="211"/>
        <v/>
      </c>
      <c r="AL1496" s="7" t="str">
        <f t="shared" si="212"/>
        <v/>
      </c>
      <c r="AM1496" s="7" t="str">
        <f t="shared" si="213"/>
        <v/>
      </c>
      <c r="AN1496" s="8" t="str">
        <f>IF(C1496="","",COUNTIF($C$2:C1496,C1496))</f>
        <v/>
      </c>
      <c r="AO1496" s="8" t="str">
        <f t="shared" si="214"/>
        <v/>
      </c>
      <c r="AP1496" s="8" t="str">
        <f>IF(C1496="","",IF(AND(OR([1]Consulta!$C$29="",A1496=[1]Consulta!$C$29),OR([1]Consulta!$E$29="",B1496=[1]Consulta!$E$29),OR([1]Consulta!$G$29="",D1496=[1]Consulta!$G$29,R1496=[1]Consulta!$G$29)),ROW()-1,""))</f>
        <v/>
      </c>
    </row>
    <row r="1497" spans="1:42" ht="15" customHeight="1" x14ac:dyDescent="0.25">
      <c r="A1497" s="7"/>
      <c r="B1497" s="7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 t="str">
        <f t="shared" si="207"/>
        <v/>
      </c>
      <c r="AG1497" s="7" t="str">
        <f t="shared" si="215"/>
        <v/>
      </c>
      <c r="AH1497" s="7" t="str">
        <f t="shared" si="208"/>
        <v/>
      </c>
      <c r="AI1497" s="7" t="str">
        <f t="shared" si="209"/>
        <v/>
      </c>
      <c r="AJ1497" s="7" t="str">
        <f t="shared" si="210"/>
        <v/>
      </c>
      <c r="AK1497" s="7" t="str">
        <f t="shared" si="211"/>
        <v/>
      </c>
      <c r="AL1497" s="7" t="str">
        <f t="shared" si="212"/>
        <v/>
      </c>
      <c r="AM1497" s="7" t="str">
        <f t="shared" si="213"/>
        <v/>
      </c>
      <c r="AN1497" s="8" t="str">
        <f>IF(C1497="","",COUNTIF($C$2:C1497,C1497))</f>
        <v/>
      </c>
      <c r="AO1497" s="8" t="str">
        <f t="shared" si="214"/>
        <v/>
      </c>
      <c r="AP1497" s="8" t="str">
        <f>IF(C1497="","",IF(AND(OR([1]Consulta!$C$29="",A1497=[1]Consulta!$C$29),OR([1]Consulta!$E$29="",B1497=[1]Consulta!$E$29),OR([1]Consulta!$G$29="",D1497=[1]Consulta!$G$29,R1497=[1]Consulta!$G$29)),ROW()-1,""))</f>
        <v/>
      </c>
    </row>
    <row r="1498" spans="1:42" ht="15" customHeight="1" x14ac:dyDescent="0.25">
      <c r="A1498" s="7"/>
      <c r="B1498" s="7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 t="str">
        <f t="shared" si="207"/>
        <v/>
      </c>
      <c r="AG1498" s="7" t="str">
        <f t="shared" si="215"/>
        <v/>
      </c>
      <c r="AH1498" s="7" t="str">
        <f t="shared" si="208"/>
        <v/>
      </c>
      <c r="AI1498" s="7" t="str">
        <f t="shared" si="209"/>
        <v/>
      </c>
      <c r="AJ1498" s="7" t="str">
        <f t="shared" si="210"/>
        <v/>
      </c>
      <c r="AK1498" s="7" t="str">
        <f t="shared" si="211"/>
        <v/>
      </c>
      <c r="AL1498" s="7" t="str">
        <f t="shared" si="212"/>
        <v/>
      </c>
      <c r="AM1498" s="7" t="str">
        <f t="shared" si="213"/>
        <v/>
      </c>
      <c r="AN1498" s="8" t="str">
        <f>IF(C1498="","",COUNTIF($C$2:C1498,C1498))</f>
        <v/>
      </c>
      <c r="AO1498" s="8" t="str">
        <f t="shared" si="214"/>
        <v/>
      </c>
      <c r="AP1498" s="8" t="str">
        <f>IF(C1498="","",IF(AND(OR([1]Consulta!$C$29="",A1498=[1]Consulta!$C$29),OR([1]Consulta!$E$29="",B1498=[1]Consulta!$E$29),OR([1]Consulta!$G$29="",D1498=[1]Consulta!$G$29,R1498=[1]Consulta!$G$29)),ROW()-1,""))</f>
        <v/>
      </c>
    </row>
    <row r="1499" spans="1:42" ht="15" customHeight="1" x14ac:dyDescent="0.25">
      <c r="A1499" s="7"/>
      <c r="B1499" s="7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 t="str">
        <f t="shared" si="207"/>
        <v/>
      </c>
      <c r="AG1499" s="7" t="str">
        <f t="shared" si="215"/>
        <v/>
      </c>
      <c r="AH1499" s="7" t="str">
        <f t="shared" si="208"/>
        <v/>
      </c>
      <c r="AI1499" s="7" t="str">
        <f t="shared" si="209"/>
        <v/>
      </c>
      <c r="AJ1499" s="7" t="str">
        <f t="shared" si="210"/>
        <v/>
      </c>
      <c r="AK1499" s="7" t="str">
        <f t="shared" si="211"/>
        <v/>
      </c>
      <c r="AL1499" s="7" t="str">
        <f t="shared" si="212"/>
        <v/>
      </c>
      <c r="AM1499" s="7" t="str">
        <f t="shared" si="213"/>
        <v/>
      </c>
      <c r="AN1499" s="8" t="str">
        <f>IF(C1499="","",COUNTIF($C$2:C1499,C1499))</f>
        <v/>
      </c>
      <c r="AO1499" s="8" t="str">
        <f t="shared" si="214"/>
        <v/>
      </c>
      <c r="AP1499" s="8" t="str">
        <f>IF(C1499="","",IF(AND(OR([1]Consulta!$C$29="",A1499=[1]Consulta!$C$29),OR([1]Consulta!$E$29="",B1499=[1]Consulta!$E$29),OR([1]Consulta!$G$29="",D1499=[1]Consulta!$G$29,R1499=[1]Consulta!$G$29)),ROW()-1,""))</f>
        <v/>
      </c>
    </row>
    <row r="1500" spans="1:42" ht="15" customHeight="1" x14ac:dyDescent="0.25">
      <c r="A1500" s="7"/>
      <c r="B1500" s="7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 t="str">
        <f t="shared" si="207"/>
        <v/>
      </c>
      <c r="AG1500" s="7" t="str">
        <f t="shared" si="215"/>
        <v/>
      </c>
      <c r="AH1500" s="7" t="str">
        <f t="shared" si="208"/>
        <v/>
      </c>
      <c r="AI1500" s="7" t="str">
        <f t="shared" si="209"/>
        <v/>
      </c>
      <c r="AJ1500" s="7" t="str">
        <f t="shared" si="210"/>
        <v/>
      </c>
      <c r="AK1500" s="7" t="str">
        <f t="shared" si="211"/>
        <v/>
      </c>
      <c r="AL1500" s="7" t="str">
        <f t="shared" si="212"/>
        <v/>
      </c>
      <c r="AM1500" s="7" t="str">
        <f t="shared" si="213"/>
        <v/>
      </c>
      <c r="AN1500" s="8" t="str">
        <f>IF(C1500="","",COUNTIF($C$2:C1500,C1500))</f>
        <v/>
      </c>
      <c r="AO1500" s="8" t="str">
        <f t="shared" si="214"/>
        <v/>
      </c>
      <c r="AP1500" s="8" t="str">
        <f>IF(C1500="","",IF(AND(OR([1]Consulta!$C$29="",A1500=[1]Consulta!$C$29),OR([1]Consulta!$E$29="",B1500=[1]Consulta!$E$29),OR([1]Consulta!$G$29="",D1500=[1]Consulta!$G$29,R1500=[1]Consulta!$G$29)),ROW()-1,""))</f>
        <v/>
      </c>
    </row>
  </sheetData>
  <autoFilter ref="A1:AM1500" xr:uid="{00000000-0009-0000-0000-000002000000}"/>
  <conditionalFormatting sqref="AG2:AG1500">
    <cfRule type="cellIs" dxfId="6" priority="1" operator="equal">
      <formula>"ALARMA"</formula>
    </cfRule>
    <cfRule type="cellIs" dxfId="5" priority="2" operator="equal">
      <formula>"REVISAR"</formula>
    </cfRule>
    <cfRule type="cellIs" dxfId="4" priority="3" operator="equal">
      <formula>"OK"</formula>
    </cfRule>
  </conditionalFormatting>
  <conditionalFormatting sqref="AI2:AI1500 AL2:AL1500">
    <cfRule type="cellIs" dxfId="3" priority="4" operator="equal">
      <formula>"ALARMA"</formula>
    </cfRule>
    <cfRule type="cellIs" dxfId="2" priority="5" operator="equal">
      <formula>"REVISAR"</formula>
    </cfRule>
  </conditionalFormatting>
  <conditionalFormatting sqref="AI2:AL1500">
    <cfRule type="cellIs" dxfId="1" priority="6" operator="equal">
      <formula>"OK"</formula>
    </cfRule>
  </conditionalFormatting>
  <conditionalFormatting sqref="AJ2:AK1500">
    <cfRule type="cellIs" dxfId="0" priority="7" operator="equal">
      <formula>"CON ERRORES"</formula>
    </cfRule>
  </conditionalFormatting>
  <dataValidations count="2">
    <dataValidation type="list" allowBlank="1" sqref="U2:U1500 G2:G1500" xr:uid="{72FC0F43-64B3-4CF3-84DB-1AAA51B65D25}">
      <formula1>"Doble Hilo,Bidireccional"</formula1>
      <formula2>0</formula2>
    </dataValidation>
    <dataValidation type="list" allowBlank="1" error="Selecciona una zona de la lista o agrega una nueva y actualiza la lista de validacion." sqref="A1098:A1500" xr:uid="{D01DCE1D-D581-4377-BD8A-70B12D2C4CE5}">
      <formula1>"Norte del Valle,Valle"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error="Selecciona una zona de la lista o agrega una nueva y actualiza la lista de validacion." xr:uid="{4F175C9A-E393-4E4B-B6E6-363FB2C88644}">
          <x14:formula1>
            <xm:f>Listas!$E$2:$E$4</xm:f>
          </x14:formula1>
          <xm:sqref>A109:A1097</xm:sqref>
        </x14:dataValidation>
        <x14:dataValidation type="list" allowBlank="1" showInputMessage="1" showErrorMessage="1" xr:uid="{2217BA48-B67A-4AF7-9F1C-693A0A2366A1}">
          <x14:formula1>
            <xm:f>Listas!$C$2:$C$148</xm:f>
          </x14:formula1>
          <xm:sqref>D2:D121</xm:sqref>
        </x14:dataValidation>
        <x14:dataValidation type="list" allowBlank="1" error="Selecciona una zona de la lista o agrega una nueva y actualiza la lista de validacion." xr:uid="{4BEA795B-6267-4282-910B-897753B4CA2A}">
          <x14:formula1>
            <xm:f>Listas!$E$2:$E$6</xm:f>
          </x14:formula1>
          <xm:sqref>A2:A108</xm:sqref>
        </x14:dataValidation>
        <x14:dataValidation type="list" allowBlank="1" showInputMessage="1" showErrorMessage="1" xr:uid="{C7249978-F692-4A14-8A9B-DE2DEBA2E452}">
          <x14:formula1>
            <xm:f>Listas!$G$3:$G$23</xm:f>
          </x14:formula1>
          <xm:sqref>B2:B92 B94:B137</xm:sqref>
        </x14:dataValidation>
        <x14:dataValidation type="list" allowBlank="1" showInputMessage="1" showErrorMessage="1" xr:uid="{A4747DAB-196C-4E48-ADC7-45C72DF5742E}">
          <x14:formula1>
            <xm:f>Listas!$G$2:$G$23</xm:f>
          </x14:formula1>
          <xm:sqref>B93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9259D-EA8F-42B2-B05E-3DB2E60DC762}">
  <dimension ref="B1:G148"/>
  <sheetViews>
    <sheetView workbookViewId="0">
      <selection activeCell="G12" sqref="G12"/>
    </sheetView>
  </sheetViews>
  <sheetFormatPr baseColWidth="10" defaultColWidth="11.42578125" defaultRowHeight="15" x14ac:dyDescent="0.25"/>
  <cols>
    <col min="5" max="5" width="12.5703125" bestFit="1" customWidth="1"/>
  </cols>
  <sheetData>
    <row r="1" spans="2:7" x14ac:dyDescent="0.25">
      <c r="C1" t="s">
        <v>479</v>
      </c>
      <c r="E1" s="11" t="s">
        <v>0</v>
      </c>
      <c r="G1" s="11" t="s">
        <v>1</v>
      </c>
    </row>
    <row r="2" spans="2:7" x14ac:dyDescent="0.25">
      <c r="B2" t="s">
        <v>480</v>
      </c>
      <c r="C2" s="12" t="s">
        <v>481</v>
      </c>
      <c r="E2" s="13" t="s">
        <v>40</v>
      </c>
      <c r="G2" s="13" t="s">
        <v>586</v>
      </c>
    </row>
    <row r="3" spans="2:7" x14ac:dyDescent="0.25">
      <c r="B3" t="s">
        <v>482</v>
      </c>
      <c r="C3" s="12" t="s">
        <v>483</v>
      </c>
      <c r="E3" s="13" t="s">
        <v>294</v>
      </c>
      <c r="G3" s="13" t="s">
        <v>417</v>
      </c>
    </row>
    <row r="4" spans="2:7" x14ac:dyDescent="0.25">
      <c r="B4" t="s">
        <v>482</v>
      </c>
      <c r="C4" s="12" t="s">
        <v>484</v>
      </c>
      <c r="E4" s="17" t="s">
        <v>480</v>
      </c>
      <c r="G4" s="13" t="s">
        <v>150</v>
      </c>
    </row>
    <row r="5" spans="2:7" x14ac:dyDescent="0.25">
      <c r="C5" s="12" t="s">
        <v>282</v>
      </c>
      <c r="E5" s="19" t="s">
        <v>585</v>
      </c>
      <c r="G5" s="13" t="s">
        <v>215</v>
      </c>
    </row>
    <row r="6" spans="2:7" x14ac:dyDescent="0.25">
      <c r="C6" s="12" t="s">
        <v>485</v>
      </c>
      <c r="E6" s="16"/>
      <c r="G6" s="13" t="s">
        <v>41</v>
      </c>
    </row>
    <row r="7" spans="2:7" x14ac:dyDescent="0.25">
      <c r="C7" s="12" t="s">
        <v>486</v>
      </c>
      <c r="G7" s="13" t="s">
        <v>75</v>
      </c>
    </row>
    <row r="8" spans="2:7" x14ac:dyDescent="0.25">
      <c r="C8" s="12" t="s">
        <v>487</v>
      </c>
      <c r="G8" s="13" t="s">
        <v>502</v>
      </c>
    </row>
    <row r="9" spans="2:7" x14ac:dyDescent="0.25">
      <c r="C9" s="12" t="s">
        <v>488</v>
      </c>
      <c r="G9" s="13" t="s">
        <v>136</v>
      </c>
    </row>
    <row r="10" spans="2:7" x14ac:dyDescent="0.25">
      <c r="C10" s="12" t="s">
        <v>489</v>
      </c>
      <c r="G10" s="13" t="s">
        <v>144</v>
      </c>
    </row>
    <row r="11" spans="2:7" x14ac:dyDescent="0.25">
      <c r="C11" s="12" t="s">
        <v>490</v>
      </c>
      <c r="G11" s="13" t="s">
        <v>188</v>
      </c>
    </row>
    <row r="12" spans="2:7" x14ac:dyDescent="0.25">
      <c r="C12" s="12" t="s">
        <v>491</v>
      </c>
      <c r="G12" s="13" t="s">
        <v>587</v>
      </c>
    </row>
    <row r="13" spans="2:7" x14ac:dyDescent="0.25">
      <c r="C13" s="12" t="s">
        <v>492</v>
      </c>
      <c r="G13" s="13" t="s">
        <v>122</v>
      </c>
    </row>
    <row r="14" spans="2:7" x14ac:dyDescent="0.25">
      <c r="C14" s="12" t="s">
        <v>493</v>
      </c>
      <c r="G14" s="13" t="s">
        <v>433</v>
      </c>
    </row>
    <row r="15" spans="2:7" x14ac:dyDescent="0.25">
      <c r="C15" s="12" t="s">
        <v>494</v>
      </c>
      <c r="G15" s="13" t="s">
        <v>270</v>
      </c>
    </row>
    <row r="16" spans="2:7" x14ac:dyDescent="0.25">
      <c r="C16" s="12" t="s">
        <v>424</v>
      </c>
      <c r="G16" s="13" t="s">
        <v>458</v>
      </c>
    </row>
    <row r="17" spans="3:7" x14ac:dyDescent="0.25">
      <c r="C17" s="14" t="s">
        <v>419</v>
      </c>
      <c r="G17" s="13" t="s">
        <v>248</v>
      </c>
    </row>
    <row r="18" spans="3:7" x14ac:dyDescent="0.25">
      <c r="C18" s="12" t="s">
        <v>430</v>
      </c>
      <c r="G18" s="13" t="s">
        <v>386</v>
      </c>
    </row>
    <row r="19" spans="3:7" x14ac:dyDescent="0.25">
      <c r="C19" s="12" t="s">
        <v>150</v>
      </c>
      <c r="G19" s="13" t="s">
        <v>287</v>
      </c>
    </row>
    <row r="20" spans="3:7" x14ac:dyDescent="0.25">
      <c r="C20" s="12" t="s">
        <v>210</v>
      </c>
      <c r="G20" s="13" t="s">
        <v>198</v>
      </c>
    </row>
    <row r="21" spans="3:7" x14ac:dyDescent="0.25">
      <c r="C21" s="12" t="s">
        <v>495</v>
      </c>
      <c r="G21" s="13" t="s">
        <v>49</v>
      </c>
    </row>
    <row r="22" spans="3:7" x14ac:dyDescent="0.25">
      <c r="C22" s="12" t="s">
        <v>327</v>
      </c>
      <c r="G22" s="13" t="s">
        <v>409</v>
      </c>
    </row>
    <row r="23" spans="3:7" x14ac:dyDescent="0.25">
      <c r="C23" s="12" t="s">
        <v>364</v>
      </c>
      <c r="G23" s="13" t="s">
        <v>193</v>
      </c>
    </row>
    <row r="24" spans="3:7" x14ac:dyDescent="0.25">
      <c r="C24" s="12" t="s">
        <v>496</v>
      </c>
    </row>
    <row r="25" spans="3:7" x14ac:dyDescent="0.25">
      <c r="C25" s="12" t="s">
        <v>75</v>
      </c>
    </row>
    <row r="26" spans="3:7" x14ac:dyDescent="0.25">
      <c r="C26" s="12" t="s">
        <v>497</v>
      </c>
    </row>
    <row r="27" spans="3:7" x14ac:dyDescent="0.25">
      <c r="C27" s="12" t="s">
        <v>498</v>
      </c>
    </row>
    <row r="28" spans="3:7" x14ac:dyDescent="0.25">
      <c r="C28" s="12" t="s">
        <v>499</v>
      </c>
    </row>
    <row r="29" spans="3:7" x14ac:dyDescent="0.25">
      <c r="C29" s="12" t="s">
        <v>500</v>
      </c>
    </row>
    <row r="30" spans="3:7" x14ac:dyDescent="0.25">
      <c r="C30" s="12" t="s">
        <v>501</v>
      </c>
    </row>
    <row r="31" spans="3:7" x14ac:dyDescent="0.25">
      <c r="C31" s="12" t="s">
        <v>502</v>
      </c>
    </row>
    <row r="32" spans="3:7" x14ac:dyDescent="0.25">
      <c r="C32" s="12" t="s">
        <v>84</v>
      </c>
    </row>
    <row r="33" spans="3:3" x14ac:dyDescent="0.25">
      <c r="C33" s="12" t="s">
        <v>412</v>
      </c>
    </row>
    <row r="34" spans="3:3" x14ac:dyDescent="0.25">
      <c r="C34" s="12" t="s">
        <v>503</v>
      </c>
    </row>
    <row r="35" spans="3:3" x14ac:dyDescent="0.25">
      <c r="C35" s="12" t="s">
        <v>504</v>
      </c>
    </row>
    <row r="36" spans="3:3" x14ac:dyDescent="0.25">
      <c r="C36" s="12" t="s">
        <v>505</v>
      </c>
    </row>
    <row r="37" spans="3:3" x14ac:dyDescent="0.25">
      <c r="C37" s="12" t="s">
        <v>506</v>
      </c>
    </row>
    <row r="38" spans="3:3" x14ac:dyDescent="0.25">
      <c r="C38" s="12" t="s">
        <v>507</v>
      </c>
    </row>
    <row r="39" spans="3:3" x14ac:dyDescent="0.25">
      <c r="C39" s="12" t="s">
        <v>508</v>
      </c>
    </row>
    <row r="40" spans="3:3" x14ac:dyDescent="0.25">
      <c r="C40" s="12" t="s">
        <v>509</v>
      </c>
    </row>
    <row r="41" spans="3:3" x14ac:dyDescent="0.25">
      <c r="C41" s="12" t="s">
        <v>510</v>
      </c>
    </row>
    <row r="42" spans="3:3" x14ac:dyDescent="0.25">
      <c r="C42" s="12" t="s">
        <v>511</v>
      </c>
    </row>
    <row r="43" spans="3:3" x14ac:dyDescent="0.25">
      <c r="C43" s="12" t="s">
        <v>512</v>
      </c>
    </row>
    <row r="44" spans="3:3" x14ac:dyDescent="0.25">
      <c r="C44" s="12" t="s">
        <v>513</v>
      </c>
    </row>
    <row r="45" spans="3:3" x14ac:dyDescent="0.25">
      <c r="C45" s="12" t="s">
        <v>514</v>
      </c>
    </row>
    <row r="46" spans="3:3" x14ac:dyDescent="0.25">
      <c r="C46" s="15" t="s">
        <v>136</v>
      </c>
    </row>
    <row r="47" spans="3:3" x14ac:dyDescent="0.25">
      <c r="C47" s="12" t="s">
        <v>515</v>
      </c>
    </row>
    <row r="48" spans="3:3" x14ac:dyDescent="0.25">
      <c r="C48" s="12" t="s">
        <v>516</v>
      </c>
    </row>
    <row r="49" spans="3:3" x14ac:dyDescent="0.25">
      <c r="C49" s="12" t="s">
        <v>517</v>
      </c>
    </row>
    <row r="50" spans="3:3" x14ac:dyDescent="0.25">
      <c r="C50" s="12" t="s">
        <v>518</v>
      </c>
    </row>
    <row r="51" spans="3:3" x14ac:dyDescent="0.25">
      <c r="C51" s="12" t="s">
        <v>255</v>
      </c>
    </row>
    <row r="52" spans="3:3" x14ac:dyDescent="0.25">
      <c r="C52" s="12" t="s">
        <v>519</v>
      </c>
    </row>
    <row r="53" spans="3:3" x14ac:dyDescent="0.25">
      <c r="C53" s="12" t="s">
        <v>520</v>
      </c>
    </row>
    <row r="54" spans="3:3" x14ac:dyDescent="0.25">
      <c r="C54" s="12" t="s">
        <v>263</v>
      </c>
    </row>
    <row r="55" spans="3:3" x14ac:dyDescent="0.25">
      <c r="C55" s="12" t="s">
        <v>521</v>
      </c>
    </row>
    <row r="56" spans="3:3" x14ac:dyDescent="0.25">
      <c r="C56" s="12" t="s">
        <v>522</v>
      </c>
    </row>
    <row r="57" spans="3:3" x14ac:dyDescent="0.25">
      <c r="C57" s="12" t="s">
        <v>144</v>
      </c>
    </row>
    <row r="58" spans="3:3" x14ac:dyDescent="0.25">
      <c r="C58" s="12" t="s">
        <v>523</v>
      </c>
    </row>
    <row r="59" spans="3:3" x14ac:dyDescent="0.25">
      <c r="C59" s="12" t="s">
        <v>524</v>
      </c>
    </row>
    <row r="60" spans="3:3" x14ac:dyDescent="0.25">
      <c r="C60" s="12" t="s">
        <v>525</v>
      </c>
    </row>
    <row r="61" spans="3:3" x14ac:dyDescent="0.25">
      <c r="C61" s="12" t="s">
        <v>526</v>
      </c>
    </row>
    <row r="62" spans="3:3" x14ac:dyDescent="0.25">
      <c r="C62" s="12" t="s">
        <v>527</v>
      </c>
    </row>
    <row r="63" spans="3:3" x14ac:dyDescent="0.25">
      <c r="C63" s="12" t="s">
        <v>528</v>
      </c>
    </row>
    <row r="64" spans="3:3" x14ac:dyDescent="0.25">
      <c r="C64" s="12" t="s">
        <v>454</v>
      </c>
    </row>
    <row r="65" spans="3:3" x14ac:dyDescent="0.25">
      <c r="C65" s="12" t="s">
        <v>529</v>
      </c>
    </row>
    <row r="66" spans="3:3" x14ac:dyDescent="0.25">
      <c r="C66" s="12" t="s">
        <v>530</v>
      </c>
    </row>
    <row r="67" spans="3:3" x14ac:dyDescent="0.25">
      <c r="C67" s="12" t="s">
        <v>375</v>
      </c>
    </row>
    <row r="68" spans="3:3" x14ac:dyDescent="0.25">
      <c r="C68" s="12" t="s">
        <v>531</v>
      </c>
    </row>
    <row r="69" spans="3:3" x14ac:dyDescent="0.25">
      <c r="C69" s="12" t="s">
        <v>532</v>
      </c>
    </row>
    <row r="70" spans="3:3" x14ac:dyDescent="0.25">
      <c r="C70" s="12" t="s">
        <v>533</v>
      </c>
    </row>
    <row r="71" spans="3:3" x14ac:dyDescent="0.25">
      <c r="C71" s="12" t="s">
        <v>188</v>
      </c>
    </row>
    <row r="72" spans="3:3" x14ac:dyDescent="0.25">
      <c r="C72" s="12" t="s">
        <v>534</v>
      </c>
    </row>
    <row r="73" spans="3:3" x14ac:dyDescent="0.25">
      <c r="C73" s="12" t="s">
        <v>535</v>
      </c>
    </row>
    <row r="74" spans="3:3" x14ac:dyDescent="0.25">
      <c r="C74" s="12" t="s">
        <v>536</v>
      </c>
    </row>
    <row r="75" spans="3:3" x14ac:dyDescent="0.25">
      <c r="C75" s="12" t="s">
        <v>537</v>
      </c>
    </row>
    <row r="76" spans="3:3" x14ac:dyDescent="0.25">
      <c r="C76" s="12" t="s">
        <v>538</v>
      </c>
    </row>
    <row r="77" spans="3:3" x14ac:dyDescent="0.25">
      <c r="C77" s="12" t="s">
        <v>313</v>
      </c>
    </row>
    <row r="78" spans="3:3" x14ac:dyDescent="0.25">
      <c r="C78" s="12" t="s">
        <v>539</v>
      </c>
    </row>
    <row r="79" spans="3:3" x14ac:dyDescent="0.25">
      <c r="C79" s="12" t="s">
        <v>540</v>
      </c>
    </row>
    <row r="80" spans="3:3" x14ac:dyDescent="0.25">
      <c r="C80" s="12" t="s">
        <v>541</v>
      </c>
    </row>
    <row r="81" spans="3:3" x14ac:dyDescent="0.25">
      <c r="C81" s="12" t="s">
        <v>542</v>
      </c>
    </row>
    <row r="82" spans="3:3" x14ac:dyDescent="0.25">
      <c r="C82" s="12" t="s">
        <v>302</v>
      </c>
    </row>
    <row r="83" spans="3:3" x14ac:dyDescent="0.25">
      <c r="C83" s="12" t="s">
        <v>543</v>
      </c>
    </row>
    <row r="84" spans="3:3" x14ac:dyDescent="0.25">
      <c r="C84" s="12" t="s">
        <v>544</v>
      </c>
    </row>
    <row r="85" spans="3:3" x14ac:dyDescent="0.25">
      <c r="C85" s="12" t="s">
        <v>545</v>
      </c>
    </row>
    <row r="86" spans="3:3" x14ac:dyDescent="0.25">
      <c r="C86" s="12" t="s">
        <v>546</v>
      </c>
    </row>
    <row r="87" spans="3:3" x14ac:dyDescent="0.25">
      <c r="C87" s="12" t="s">
        <v>547</v>
      </c>
    </row>
    <row r="88" spans="3:3" x14ac:dyDescent="0.25">
      <c r="C88" s="12" t="s">
        <v>118</v>
      </c>
    </row>
    <row r="89" spans="3:3" x14ac:dyDescent="0.25">
      <c r="C89" s="12" t="s">
        <v>126</v>
      </c>
    </row>
    <row r="90" spans="3:3" x14ac:dyDescent="0.25">
      <c r="C90" s="12" t="s">
        <v>548</v>
      </c>
    </row>
    <row r="91" spans="3:3" x14ac:dyDescent="0.25">
      <c r="C91" s="12" t="s">
        <v>549</v>
      </c>
    </row>
    <row r="92" spans="3:3" x14ac:dyDescent="0.25">
      <c r="C92" s="12" t="s">
        <v>550</v>
      </c>
    </row>
    <row r="93" spans="3:3" x14ac:dyDescent="0.25">
      <c r="C93" s="12" t="s">
        <v>308</v>
      </c>
    </row>
    <row r="94" spans="3:3" x14ac:dyDescent="0.25">
      <c r="C94" s="12" t="s">
        <v>433</v>
      </c>
    </row>
    <row r="95" spans="3:3" x14ac:dyDescent="0.25">
      <c r="C95" s="12" t="s">
        <v>439</v>
      </c>
    </row>
    <row r="96" spans="3:3" x14ac:dyDescent="0.25">
      <c r="C96" s="12" t="s">
        <v>551</v>
      </c>
    </row>
    <row r="97" spans="3:3" x14ac:dyDescent="0.25">
      <c r="C97" s="12" t="s">
        <v>270</v>
      </c>
    </row>
    <row r="98" spans="3:3" x14ac:dyDescent="0.25">
      <c r="C98" s="12" t="s">
        <v>270</v>
      </c>
    </row>
    <row r="99" spans="3:3" x14ac:dyDescent="0.25">
      <c r="C99" s="12" t="s">
        <v>338</v>
      </c>
    </row>
    <row r="100" spans="3:3" x14ac:dyDescent="0.25">
      <c r="C100" s="12" t="s">
        <v>357</v>
      </c>
    </row>
    <row r="101" spans="3:3" x14ac:dyDescent="0.25">
      <c r="C101" s="12" t="s">
        <v>357</v>
      </c>
    </row>
    <row r="102" spans="3:3" x14ac:dyDescent="0.25">
      <c r="C102" s="12" t="s">
        <v>552</v>
      </c>
    </row>
    <row r="103" spans="3:3" x14ac:dyDescent="0.25">
      <c r="C103" s="12" t="s">
        <v>458</v>
      </c>
    </row>
    <row r="104" spans="3:3" x14ac:dyDescent="0.25">
      <c r="C104" s="12" t="s">
        <v>460</v>
      </c>
    </row>
    <row r="105" spans="3:3" x14ac:dyDescent="0.25">
      <c r="C105" s="12" t="s">
        <v>248</v>
      </c>
    </row>
    <row r="106" spans="3:3" x14ac:dyDescent="0.25">
      <c r="C106" s="12" t="s">
        <v>386</v>
      </c>
    </row>
    <row r="107" spans="3:3" x14ac:dyDescent="0.25">
      <c r="C107" s="12" t="s">
        <v>553</v>
      </c>
    </row>
    <row r="108" spans="3:3" x14ac:dyDescent="0.25">
      <c r="C108" s="12" t="s">
        <v>554</v>
      </c>
    </row>
    <row r="109" spans="3:3" x14ac:dyDescent="0.25">
      <c r="C109" s="12" t="s">
        <v>287</v>
      </c>
    </row>
    <row r="110" spans="3:3" x14ac:dyDescent="0.25">
      <c r="C110" s="12" t="s">
        <v>555</v>
      </c>
    </row>
    <row r="111" spans="3:3" x14ac:dyDescent="0.25">
      <c r="C111" s="12" t="s">
        <v>556</v>
      </c>
    </row>
    <row r="112" spans="3:3" x14ac:dyDescent="0.25">
      <c r="C112" s="12" t="s">
        <v>198</v>
      </c>
    </row>
    <row r="113" spans="3:3" x14ac:dyDescent="0.25">
      <c r="C113" s="12" t="s">
        <v>323</v>
      </c>
    </row>
    <row r="114" spans="3:3" x14ac:dyDescent="0.25">
      <c r="C114" s="12" t="s">
        <v>557</v>
      </c>
    </row>
    <row r="115" spans="3:3" x14ac:dyDescent="0.25">
      <c r="C115" s="12" t="s">
        <v>558</v>
      </c>
    </row>
    <row r="116" spans="3:3" x14ac:dyDescent="0.25">
      <c r="C116" s="12" t="s">
        <v>559</v>
      </c>
    </row>
    <row r="117" spans="3:3" x14ac:dyDescent="0.25">
      <c r="C117" s="12" t="s">
        <v>560</v>
      </c>
    </row>
    <row r="118" spans="3:3" x14ac:dyDescent="0.25">
      <c r="C118" s="12" t="s">
        <v>561</v>
      </c>
    </row>
    <row r="119" spans="3:3" x14ac:dyDescent="0.25">
      <c r="C119" s="12" t="s">
        <v>562</v>
      </c>
    </row>
    <row r="120" spans="3:3" x14ac:dyDescent="0.25">
      <c r="C120" s="12" t="s">
        <v>563</v>
      </c>
    </row>
    <row r="121" spans="3:3" x14ac:dyDescent="0.25">
      <c r="C121" s="12" t="s">
        <v>564</v>
      </c>
    </row>
    <row r="122" spans="3:3" x14ac:dyDescent="0.25">
      <c r="C122" s="12" t="s">
        <v>392</v>
      </c>
    </row>
    <row r="123" spans="3:3" x14ac:dyDescent="0.25">
      <c r="C123" s="12" t="s">
        <v>565</v>
      </c>
    </row>
    <row r="124" spans="3:3" x14ac:dyDescent="0.25">
      <c r="C124" s="12" t="s">
        <v>566</v>
      </c>
    </row>
    <row r="125" spans="3:3" x14ac:dyDescent="0.25">
      <c r="C125" s="12" t="s">
        <v>567</v>
      </c>
    </row>
    <row r="126" spans="3:3" x14ac:dyDescent="0.25">
      <c r="C126" s="12" t="s">
        <v>568</v>
      </c>
    </row>
    <row r="127" spans="3:3" x14ac:dyDescent="0.25">
      <c r="C127" s="12" t="s">
        <v>569</v>
      </c>
    </row>
    <row r="128" spans="3:3" x14ac:dyDescent="0.25">
      <c r="C128" s="12" t="s">
        <v>570</v>
      </c>
    </row>
    <row r="129" spans="3:3" x14ac:dyDescent="0.25">
      <c r="C129" s="12" t="s">
        <v>571</v>
      </c>
    </row>
    <row r="130" spans="3:3" x14ac:dyDescent="0.25">
      <c r="C130" s="12" t="s">
        <v>572</v>
      </c>
    </row>
    <row r="131" spans="3:3" x14ac:dyDescent="0.25">
      <c r="C131" s="12" t="s">
        <v>244</v>
      </c>
    </row>
    <row r="132" spans="3:3" x14ac:dyDescent="0.25">
      <c r="C132" s="12" t="s">
        <v>402</v>
      </c>
    </row>
    <row r="133" spans="3:3" x14ac:dyDescent="0.25">
      <c r="C133" s="12" t="s">
        <v>292</v>
      </c>
    </row>
    <row r="134" spans="3:3" x14ac:dyDescent="0.25">
      <c r="C134" s="12" t="s">
        <v>49</v>
      </c>
    </row>
    <row r="135" spans="3:3" x14ac:dyDescent="0.25">
      <c r="C135" s="12" t="s">
        <v>573</v>
      </c>
    </row>
    <row r="136" spans="3:3" x14ac:dyDescent="0.25">
      <c r="C136" s="12" t="s">
        <v>574</v>
      </c>
    </row>
    <row r="137" spans="3:3" x14ac:dyDescent="0.25">
      <c r="C137" s="12" t="s">
        <v>575</v>
      </c>
    </row>
    <row r="138" spans="3:3" x14ac:dyDescent="0.25">
      <c r="C138" s="12" t="s">
        <v>576</v>
      </c>
    </row>
    <row r="139" spans="3:3" x14ac:dyDescent="0.25">
      <c r="C139" s="12" t="s">
        <v>577</v>
      </c>
    </row>
    <row r="140" spans="3:3" x14ac:dyDescent="0.25">
      <c r="C140" s="12" t="s">
        <v>578</v>
      </c>
    </row>
    <row r="141" spans="3:3" x14ac:dyDescent="0.25">
      <c r="C141" s="12" t="s">
        <v>43</v>
      </c>
    </row>
    <row r="142" spans="3:3" x14ac:dyDescent="0.25">
      <c r="C142" s="12" t="s">
        <v>579</v>
      </c>
    </row>
    <row r="143" spans="3:3" x14ac:dyDescent="0.25">
      <c r="C143" s="12" t="s">
        <v>317</v>
      </c>
    </row>
    <row r="144" spans="3:3" x14ac:dyDescent="0.25">
      <c r="C144" s="12" t="s">
        <v>580</v>
      </c>
    </row>
    <row r="145" spans="3:3" x14ac:dyDescent="0.25">
      <c r="C145" s="12" t="s">
        <v>409</v>
      </c>
    </row>
    <row r="146" spans="3:3" x14ac:dyDescent="0.25">
      <c r="C146" s="12" t="s">
        <v>193</v>
      </c>
    </row>
    <row r="147" spans="3:3" x14ac:dyDescent="0.25">
      <c r="C147" s="12" t="s">
        <v>581</v>
      </c>
    </row>
    <row r="148" spans="3:3" x14ac:dyDescent="0.25">
      <c r="C148" s="15" t="s">
        <v>582</v>
      </c>
    </row>
  </sheetData>
  <dataValidations disablePrompts="1" count="2">
    <dataValidation type="list" allowBlank="1" error="Selecciona una zona de la lista o agrega una nueva y actualiza la lista de validacion." sqref="F2:F89" xr:uid="{76A01DD9-5718-4113-8EF4-36EC51B92D84}">
      <formula1>"Norte del Valle,Valle"</formula1>
      <formula2>0</formula2>
    </dataValidation>
    <dataValidation allowBlank="1" error="Selecciona una zona de la lista o agrega una nueva y actualiza la lista de validacion." sqref="E2:E6" xr:uid="{0A538A39-3CF0-4481-872B-178754E1CBA7}"/>
  </dataValidation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FEIVER ANGARITA MONSALVE</dc:creator>
  <cp:lastModifiedBy>JOSE FEIVER ANGARITA MONSALVE</cp:lastModifiedBy>
  <dcterms:created xsi:type="dcterms:W3CDTF">2026-08-28T00:18:38Z</dcterms:created>
  <dcterms:modified xsi:type="dcterms:W3CDTF">2026-08-28T03:20:32Z</dcterms:modified>
</cp:coreProperties>
</file>